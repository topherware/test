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21"/>
  <workbookPr defaultThemeVersion="166925"/>
  <xr:revisionPtr revIDLastSave="0" documentId="8_{45A85441-37ED-4390-863D-B3ACC475CC1A}" xr6:coauthVersionLast="47" xr6:coauthVersionMax="47" xr10:uidLastSave="{00000000-0000-0000-0000-000000000000}"/>
  <bookViews>
    <workbookView xWindow="240" yWindow="105" windowWidth="14805" windowHeight="8010" xr2:uid="{00000000-000D-0000-FFFF-FFFF00000000}"/>
  </bookViews>
  <sheets>
    <sheet name="Kaizen 2016" sheetId="9" r:id="rId1"/>
    <sheet name="Kaizen 2017" sheetId="4" r:id="rId2"/>
    <sheet name="Kaizen 2018" sheetId="3" r:id="rId3"/>
    <sheet name="Kaizen 2019" sheetId="6" r:id="rId4"/>
    <sheet name="Kaizen 2020" sheetId="5" r:id="rId5"/>
    <sheet name="Kaizen 2021" sheetId="7" r:id="rId6"/>
    <sheet name="Kaizen 2022" sheetId="2" r:id="rId7"/>
    <sheet name="Kaizen 2023" sheetId="8" r:id="rId8"/>
  </sheets>
  <externalReferences>
    <externalReference r:id="rId9"/>
    <externalReference r:id="rId10"/>
    <externalReference r:id="rId11"/>
    <externalReference r:id="rId12"/>
    <externalReference r:id="rId1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L123" i="8" l="1"/>
  <c r="O123" i="8"/>
  <c r="R123" i="8" s="1"/>
  <c r="BL122" i="8"/>
  <c r="O122" i="8"/>
  <c r="R122" i="8" s="1"/>
  <c r="BL121" i="8"/>
  <c r="O121" i="8"/>
  <c r="R121" i="8" s="1"/>
  <c r="CA120" i="8"/>
  <c r="BV120" i="8"/>
  <c r="BQ120" i="8"/>
  <c r="BG120" i="8"/>
  <c r="BB120" i="8"/>
  <c r="AW120" i="8"/>
  <c r="AR120" i="8"/>
  <c r="AM120" i="8"/>
  <c r="AH120" i="8"/>
  <c r="AG120" i="8"/>
  <c r="AF120" i="8"/>
  <c r="AB120" i="8"/>
  <c r="X120" i="8"/>
  <c r="Q120" i="8"/>
  <c r="L120" i="8"/>
  <c r="CA119" i="8"/>
  <c r="BV119" i="8"/>
  <c r="BQ119" i="8"/>
  <c r="BL119" i="8"/>
  <c r="BG119" i="8"/>
  <c r="BB119" i="8"/>
  <c r="AW119" i="8"/>
  <c r="AR119" i="8"/>
  <c r="AM119" i="8"/>
  <c r="AH119" i="8"/>
  <c r="AG119" i="8"/>
  <c r="AF119" i="8"/>
  <c r="AB119" i="8"/>
  <c r="L119" i="8"/>
  <c r="CA118" i="8"/>
  <c r="BV118" i="8"/>
  <c r="BQ118" i="8"/>
  <c r="BG118" i="8"/>
  <c r="BB118" i="8"/>
  <c r="AW118" i="8"/>
  <c r="AR118" i="8"/>
  <c r="AM118" i="8"/>
  <c r="AH118" i="8"/>
  <c r="AG118" i="8"/>
  <c r="AF118" i="8"/>
  <c r="AB118" i="8"/>
  <c r="V118" i="8"/>
  <c r="X118" i="8" s="1"/>
  <c r="Q118" i="8"/>
  <c r="L118" i="8"/>
  <c r="CA117" i="8"/>
  <c r="BV117" i="8"/>
  <c r="BQ117" i="8"/>
  <c r="BG117" i="8"/>
  <c r="BB117" i="8"/>
  <c r="AW117" i="8"/>
  <c r="AR117" i="8"/>
  <c r="AM117" i="8"/>
  <c r="AH117" i="8"/>
  <c r="AG117" i="8"/>
  <c r="AF117" i="8"/>
  <c r="AB117" i="8"/>
  <c r="X117" i="8"/>
  <c r="Q117" i="8"/>
  <c r="L117" i="8"/>
  <c r="CA116" i="8"/>
  <c r="BV116" i="8"/>
  <c r="BQ116" i="8"/>
  <c r="BG116" i="8"/>
  <c r="BB116" i="8"/>
  <c r="AW116" i="8"/>
  <c r="AR116" i="8"/>
  <c r="AM116" i="8"/>
  <c r="AH116" i="8"/>
  <c r="AG116" i="8"/>
  <c r="AF116" i="8"/>
  <c r="AB116" i="8"/>
  <c r="V116" i="8"/>
  <c r="X116" i="8" s="1"/>
  <c r="Q116" i="8"/>
  <c r="L116" i="8"/>
  <c r="CA115" i="8"/>
  <c r="BV115" i="8"/>
  <c r="BQ115" i="8"/>
  <c r="BL115" i="8"/>
  <c r="BG115" i="8"/>
  <c r="BB115" i="8"/>
  <c r="AW115" i="8"/>
  <c r="AR115" i="8"/>
  <c r="AM115" i="8"/>
  <c r="AH115" i="8"/>
  <c r="AG115" i="8"/>
  <c r="AF115" i="8"/>
  <c r="AB115" i="8"/>
  <c r="V115" i="8"/>
  <c r="X115" i="8" s="1"/>
  <c r="Q115" i="8"/>
  <c r="L115" i="8"/>
  <c r="B115" i="8"/>
  <c r="B116" i="8" s="1"/>
  <c r="B117" i="8" s="1"/>
  <c r="B118" i="8" s="1"/>
  <c r="B119" i="8" s="1"/>
  <c r="B120" i="8" s="1"/>
  <c r="CA114" i="8"/>
  <c r="BV114" i="8"/>
  <c r="BQ114" i="8"/>
  <c r="BL114" i="8"/>
  <c r="BG114" i="8"/>
  <c r="BB114" i="8"/>
  <c r="AW114" i="8"/>
  <c r="AR114" i="8"/>
  <c r="AM114" i="8"/>
  <c r="AH114" i="8"/>
  <c r="AG114" i="8"/>
  <c r="AF114" i="8"/>
  <c r="AB114" i="8"/>
  <c r="X114" i="8"/>
  <c r="Q114" i="8"/>
  <c r="L114" i="8"/>
  <c r="CA113" i="8"/>
  <c r="BV113" i="8"/>
  <c r="BQ113" i="8"/>
  <c r="BL113" i="8"/>
  <c r="BG113" i="8"/>
  <c r="BB113" i="8"/>
  <c r="AW113" i="8"/>
  <c r="AR113" i="8"/>
  <c r="AM113" i="8"/>
  <c r="AH113" i="8"/>
  <c r="AG113" i="8"/>
  <c r="AF113" i="8"/>
  <c r="AB113" i="8"/>
  <c r="L113" i="8"/>
  <c r="CA112" i="8"/>
  <c r="BV112" i="8"/>
  <c r="BQ112" i="8"/>
  <c r="BL112" i="8"/>
  <c r="BG112" i="8"/>
  <c r="BB112" i="8"/>
  <c r="AW112" i="8"/>
  <c r="AR112" i="8"/>
  <c r="AM112" i="8"/>
  <c r="AH112" i="8"/>
  <c r="AG112" i="8"/>
  <c r="AF112" i="8"/>
  <c r="AB112" i="8"/>
  <c r="L112" i="8"/>
  <c r="CA111" i="8"/>
  <c r="BV111" i="8"/>
  <c r="BQ111" i="8"/>
  <c r="BG111" i="8"/>
  <c r="BB111" i="8"/>
  <c r="AW111" i="8"/>
  <c r="AR111" i="8"/>
  <c r="AM111" i="8"/>
  <c r="AH111" i="8"/>
  <c r="AG111" i="8"/>
  <c r="AF111" i="8"/>
  <c r="AB111" i="8"/>
  <c r="V111" i="8"/>
  <c r="Q111" i="8"/>
  <c r="L111" i="8"/>
  <c r="CA110" i="8"/>
  <c r="BV110" i="8"/>
  <c r="BQ110" i="8"/>
  <c r="BL110" i="8"/>
  <c r="BG110" i="8"/>
  <c r="BB110" i="8"/>
  <c r="AW110" i="8"/>
  <c r="AR110" i="8"/>
  <c r="AM110" i="8"/>
  <c r="AH110" i="8"/>
  <c r="AG110" i="8"/>
  <c r="AF110" i="8"/>
  <c r="AB110" i="8"/>
  <c r="L110" i="8"/>
  <c r="CA109" i="8"/>
  <c r="BV109" i="8"/>
  <c r="BQ109" i="8"/>
  <c r="BL109" i="8"/>
  <c r="BG109" i="8"/>
  <c r="BB109" i="8"/>
  <c r="AW109" i="8"/>
  <c r="AR109" i="8"/>
  <c r="AM109" i="8"/>
  <c r="AH109" i="8"/>
  <c r="AG109" i="8"/>
  <c r="AF109" i="8"/>
  <c r="AB109" i="8"/>
  <c r="L109" i="8"/>
  <c r="CA108" i="8"/>
  <c r="BV108" i="8"/>
  <c r="BQ108" i="8"/>
  <c r="BL108" i="8"/>
  <c r="BG108" i="8"/>
  <c r="BB108" i="8"/>
  <c r="AW108" i="8"/>
  <c r="AR108" i="8"/>
  <c r="AM108" i="8"/>
  <c r="AH108" i="8"/>
  <c r="AG108" i="8"/>
  <c r="AF108" i="8"/>
  <c r="AB108" i="8"/>
  <c r="L108" i="8"/>
  <c r="CA107" i="8"/>
  <c r="BV107" i="8"/>
  <c r="BQ107" i="8"/>
  <c r="BL107" i="8"/>
  <c r="BG107" i="8"/>
  <c r="BB107" i="8"/>
  <c r="AW107" i="8"/>
  <c r="AR107" i="8"/>
  <c r="AM107" i="8"/>
  <c r="AH107" i="8"/>
  <c r="AG107" i="8"/>
  <c r="AF107" i="8"/>
  <c r="AB107" i="8"/>
  <c r="L107" i="8"/>
  <c r="CA106" i="8"/>
  <c r="BV106" i="8"/>
  <c r="BQ106" i="8"/>
  <c r="BL106" i="8"/>
  <c r="BG106" i="8"/>
  <c r="BB106" i="8"/>
  <c r="AW106" i="8"/>
  <c r="AR106" i="8"/>
  <c r="AM106" i="8"/>
  <c r="AH106" i="8"/>
  <c r="AG106" i="8"/>
  <c r="AF106" i="8"/>
  <c r="AB106" i="8"/>
  <c r="X106" i="8"/>
  <c r="Q106" i="8"/>
  <c r="L106" i="8"/>
  <c r="CA105" i="8"/>
  <c r="BV105" i="8"/>
  <c r="BQ105" i="8"/>
  <c r="BL105" i="8"/>
  <c r="BG105" i="8"/>
  <c r="BB105" i="8"/>
  <c r="AW105" i="8"/>
  <c r="AR105" i="8"/>
  <c r="AM105" i="8"/>
  <c r="AH105" i="8"/>
  <c r="AG105" i="8"/>
  <c r="AF105" i="8"/>
  <c r="AB105" i="8"/>
  <c r="L105" i="8"/>
  <c r="CA104" i="8"/>
  <c r="BV104" i="8"/>
  <c r="BQ104" i="8"/>
  <c r="BL104" i="8"/>
  <c r="BG104" i="8"/>
  <c r="BB104" i="8"/>
  <c r="AW104" i="8"/>
  <c r="AR104" i="8"/>
  <c r="AM104" i="8"/>
  <c r="AH104" i="8"/>
  <c r="AG104" i="8"/>
  <c r="AF104" i="8"/>
  <c r="AB104" i="8"/>
  <c r="L104" i="8"/>
  <c r="CA103" i="8"/>
  <c r="BV103" i="8"/>
  <c r="BQ103" i="8"/>
  <c r="BL103" i="8"/>
  <c r="BG103" i="8"/>
  <c r="BB103" i="8"/>
  <c r="AW103" i="8"/>
  <c r="AR103" i="8"/>
  <c r="AM103" i="8"/>
  <c r="AH103" i="8"/>
  <c r="AG103" i="8"/>
  <c r="AF103" i="8"/>
  <c r="AB103" i="8"/>
  <c r="L103" i="8"/>
  <c r="CA102" i="8"/>
  <c r="BV102" i="8"/>
  <c r="BQ102" i="8"/>
  <c r="BL102" i="8"/>
  <c r="BG102" i="8"/>
  <c r="BB102" i="8"/>
  <c r="AW102" i="8"/>
  <c r="AR102" i="8"/>
  <c r="AM102" i="8"/>
  <c r="AH102" i="8"/>
  <c r="AG102" i="8"/>
  <c r="AF102" i="8"/>
  <c r="AB102" i="8"/>
  <c r="Q102" i="8"/>
  <c r="L102" i="8"/>
  <c r="CA101" i="8"/>
  <c r="BV101" i="8"/>
  <c r="BQ101" i="8"/>
  <c r="BL101" i="8"/>
  <c r="BG101" i="8"/>
  <c r="BB101" i="8"/>
  <c r="AW101" i="8"/>
  <c r="AR101" i="8"/>
  <c r="AM101" i="8"/>
  <c r="AH101" i="8"/>
  <c r="AG101" i="8"/>
  <c r="AF101" i="8"/>
  <c r="AB101" i="8"/>
  <c r="Q101" i="8"/>
  <c r="L101" i="8"/>
  <c r="CF100" i="8"/>
  <c r="CA100" i="8"/>
  <c r="BV100" i="8"/>
  <c r="BQ100" i="8"/>
  <c r="BL100" i="8"/>
  <c r="BG100" i="8"/>
  <c r="BB100" i="8"/>
  <c r="AW100" i="8"/>
  <c r="AR100" i="8"/>
  <c r="AM100" i="8"/>
  <c r="AH100" i="8"/>
  <c r="AG100" i="8"/>
  <c r="AF100" i="8"/>
  <c r="AB100" i="8"/>
  <c r="L100" i="8"/>
  <c r="CF99" i="8"/>
  <c r="CA99" i="8"/>
  <c r="BV99" i="8"/>
  <c r="BQ99" i="8"/>
  <c r="BG99" i="8"/>
  <c r="BB99" i="8"/>
  <c r="AW99" i="8"/>
  <c r="AR99" i="8"/>
  <c r="AM99" i="8"/>
  <c r="AH99" i="8"/>
  <c r="AG99" i="8"/>
  <c r="AF99" i="8"/>
  <c r="AB99" i="8"/>
  <c r="Q99" i="8"/>
  <c r="L99" i="8"/>
  <c r="CF98" i="8"/>
  <c r="CA98" i="8"/>
  <c r="BV98" i="8"/>
  <c r="BQ98" i="8"/>
  <c r="BL98" i="8"/>
  <c r="BG98" i="8"/>
  <c r="BB98" i="8"/>
  <c r="AW98" i="8"/>
  <c r="AR98" i="8"/>
  <c r="AM98" i="8"/>
  <c r="AH98" i="8"/>
  <c r="AG98" i="8"/>
  <c r="AF98" i="8"/>
  <c r="AB98" i="8"/>
  <c r="V98" i="8"/>
  <c r="X98" i="8" s="1"/>
  <c r="Q98" i="8"/>
  <c r="L98" i="8"/>
  <c r="CF97" i="8"/>
  <c r="CA97" i="8"/>
  <c r="BV97" i="8"/>
  <c r="BQ97" i="8"/>
  <c r="BL97" i="8"/>
  <c r="BG97" i="8"/>
  <c r="BB97" i="8"/>
  <c r="AW97" i="8"/>
  <c r="AR97" i="8"/>
  <c r="AM97" i="8"/>
  <c r="AH97" i="8"/>
  <c r="AG97" i="8"/>
  <c r="AF97" i="8"/>
  <c r="AB97" i="8"/>
  <c r="V97" i="8"/>
  <c r="X97" i="8" s="1"/>
  <c r="Q97" i="8"/>
  <c r="L97" i="8"/>
  <c r="CF96" i="8"/>
  <c r="CA96" i="8"/>
  <c r="BV96" i="8"/>
  <c r="BQ96" i="8"/>
  <c r="BL96" i="8"/>
  <c r="BG96" i="8"/>
  <c r="BB96" i="8"/>
  <c r="AW96" i="8"/>
  <c r="AR96" i="8"/>
  <c r="AM96" i="8"/>
  <c r="AH96" i="8"/>
  <c r="AG96" i="8"/>
  <c r="AF96" i="8"/>
  <c r="AB96" i="8"/>
  <c r="Q96" i="8"/>
  <c r="L96" i="8"/>
  <c r="CF95" i="8"/>
  <c r="CA95" i="8"/>
  <c r="BV95" i="8"/>
  <c r="BQ95" i="8"/>
  <c r="BL95" i="8"/>
  <c r="BG95" i="8"/>
  <c r="BB95" i="8"/>
  <c r="AW95" i="8"/>
  <c r="AR95" i="8"/>
  <c r="AM95" i="8"/>
  <c r="AH95" i="8"/>
  <c r="AG95" i="8"/>
  <c r="AF95" i="8"/>
  <c r="AB95" i="8"/>
  <c r="L95" i="8"/>
  <c r="CF94" i="8"/>
  <c r="CA94" i="8"/>
  <c r="BV94" i="8"/>
  <c r="BQ94" i="8"/>
  <c r="BG94" i="8"/>
  <c r="BB94" i="8"/>
  <c r="AW94" i="8"/>
  <c r="AR94" i="8"/>
  <c r="AM94" i="8"/>
  <c r="AH94" i="8"/>
  <c r="AG94" i="8"/>
  <c r="AF94" i="8"/>
  <c r="AB94" i="8"/>
  <c r="X94" i="8"/>
  <c r="Q94" i="8"/>
  <c r="L94" i="8"/>
  <c r="CF93" i="8"/>
  <c r="CA93" i="8"/>
  <c r="BV93" i="8"/>
  <c r="BQ93" i="8"/>
  <c r="BG93" i="8"/>
  <c r="BB93" i="8"/>
  <c r="AW93" i="8"/>
  <c r="AR93" i="8"/>
  <c r="AM93" i="8"/>
  <c r="AH93" i="8"/>
  <c r="AG93" i="8"/>
  <c r="AF93" i="8"/>
  <c r="AB93" i="8"/>
  <c r="L93" i="8"/>
  <c r="CF92" i="8"/>
  <c r="CA92" i="8"/>
  <c r="BV92" i="8"/>
  <c r="BQ92" i="8"/>
  <c r="BG92" i="8"/>
  <c r="BB92" i="8"/>
  <c r="AW92" i="8"/>
  <c r="AR92" i="8"/>
  <c r="AM92" i="8"/>
  <c r="AH92" i="8"/>
  <c r="AG92" i="8"/>
  <c r="AF92" i="8"/>
  <c r="AB92" i="8"/>
  <c r="X92" i="8"/>
  <c r="Q92" i="8"/>
  <c r="L92" i="8"/>
  <c r="CF91" i="8"/>
  <c r="CA91" i="8"/>
  <c r="BV91" i="8"/>
  <c r="BQ91" i="8"/>
  <c r="BL91" i="8"/>
  <c r="BG91" i="8"/>
  <c r="BB91" i="8"/>
  <c r="AW91" i="8"/>
  <c r="AR91" i="8"/>
  <c r="AM91" i="8"/>
  <c r="AH91" i="8"/>
  <c r="AG91" i="8"/>
  <c r="AF91" i="8"/>
  <c r="AB91" i="8"/>
  <c r="L91" i="8"/>
  <c r="CF90" i="8"/>
  <c r="CA90" i="8"/>
  <c r="BV90" i="8"/>
  <c r="BQ90" i="8"/>
  <c r="BL90" i="8"/>
  <c r="BG90" i="8"/>
  <c r="BB90" i="8"/>
  <c r="AW90" i="8"/>
  <c r="AR90" i="8"/>
  <c r="AM90" i="8"/>
  <c r="AH90" i="8"/>
  <c r="AG90" i="8"/>
  <c r="AF90" i="8"/>
  <c r="AB90" i="8"/>
  <c r="L90" i="8"/>
  <c r="CF89" i="8"/>
  <c r="CA89" i="8"/>
  <c r="BV89" i="8"/>
  <c r="BQ89" i="8"/>
  <c r="BG89" i="8"/>
  <c r="BB89" i="8"/>
  <c r="AW89" i="8"/>
  <c r="AR89" i="8"/>
  <c r="AM89" i="8"/>
  <c r="AH89" i="8"/>
  <c r="AG89" i="8"/>
  <c r="AF89" i="8"/>
  <c r="AB89" i="8"/>
  <c r="L89" i="8"/>
  <c r="CF88" i="8"/>
  <c r="CA88" i="8"/>
  <c r="BV88" i="8"/>
  <c r="BQ88" i="8"/>
  <c r="BL88" i="8"/>
  <c r="BG88" i="8"/>
  <c r="BB88" i="8"/>
  <c r="AW88" i="8"/>
  <c r="AR88" i="8"/>
  <c r="AM88" i="8"/>
  <c r="AH88" i="8"/>
  <c r="AG88" i="8"/>
  <c r="AF88" i="8"/>
  <c r="AB88" i="8"/>
  <c r="L88" i="8"/>
  <c r="CF87" i="8"/>
  <c r="CA87" i="8"/>
  <c r="BV87" i="8"/>
  <c r="BQ87" i="8"/>
  <c r="BL87" i="8"/>
  <c r="BG87" i="8"/>
  <c r="BB87" i="8"/>
  <c r="AW87" i="8"/>
  <c r="AR87" i="8"/>
  <c r="AM87" i="8"/>
  <c r="AH87" i="8"/>
  <c r="AG87" i="8"/>
  <c r="AF87" i="8"/>
  <c r="AB87" i="8"/>
  <c r="L87" i="8"/>
  <c r="CF86" i="8"/>
  <c r="CA86" i="8"/>
  <c r="BV86" i="8"/>
  <c r="BQ86" i="8"/>
  <c r="BL86" i="8"/>
  <c r="BG86" i="8"/>
  <c r="BB86" i="8"/>
  <c r="AW86" i="8"/>
  <c r="AR86" i="8"/>
  <c r="AM86" i="8"/>
  <c r="AH86" i="8"/>
  <c r="AG86" i="8"/>
  <c r="AF86" i="8"/>
  <c r="AB86" i="8"/>
  <c r="L86" i="8"/>
  <c r="CF85" i="8"/>
  <c r="CA85" i="8"/>
  <c r="BV85" i="8"/>
  <c r="BQ85" i="8"/>
  <c r="BG85" i="8"/>
  <c r="BB85" i="8"/>
  <c r="AW85" i="8"/>
  <c r="AR85" i="8"/>
  <c r="AM85" i="8"/>
  <c r="AH85" i="8"/>
  <c r="AG85" i="8"/>
  <c r="AF85" i="8"/>
  <c r="AB85" i="8"/>
  <c r="V85" i="8"/>
  <c r="X85" i="8" s="1"/>
  <c r="Q85" i="8"/>
  <c r="L85" i="8"/>
  <c r="CF84" i="8"/>
  <c r="CA84" i="8"/>
  <c r="BV84" i="8"/>
  <c r="BQ84" i="8"/>
  <c r="BL84" i="8"/>
  <c r="BG84" i="8"/>
  <c r="BB84" i="8"/>
  <c r="AW84" i="8"/>
  <c r="AR84" i="8"/>
  <c r="AM84" i="8"/>
  <c r="AH84" i="8"/>
  <c r="AG84" i="8"/>
  <c r="AF84" i="8"/>
  <c r="AB84" i="8"/>
  <c r="X84" i="8"/>
  <c r="Q84" i="8"/>
  <c r="L84" i="8"/>
  <c r="CF83" i="8"/>
  <c r="CA83" i="8"/>
  <c r="BV83" i="8"/>
  <c r="BQ83" i="8"/>
  <c r="BL83" i="8"/>
  <c r="BG83" i="8"/>
  <c r="BB83" i="8"/>
  <c r="AW83" i="8"/>
  <c r="AR83" i="8"/>
  <c r="AM83" i="8"/>
  <c r="AH83" i="8"/>
  <c r="AG83" i="8"/>
  <c r="AF83" i="8"/>
  <c r="AB83" i="8"/>
  <c r="V83" i="8"/>
  <c r="X83" i="8" s="1"/>
  <c r="Q83" i="8"/>
  <c r="L83" i="8"/>
  <c r="B83" i="8"/>
  <c r="B84" i="8" s="1"/>
  <c r="B85" i="8" s="1"/>
  <c r="B86" i="8" s="1"/>
  <c r="B87" i="8" s="1"/>
  <c r="B88" i="8" s="1"/>
  <c r="B89" i="8" s="1"/>
  <c r="B90" i="8" s="1"/>
  <c r="B91" i="8" s="1"/>
  <c r="B92" i="8" s="1"/>
  <c r="B93" i="8" s="1"/>
  <c r="B94" i="8" s="1"/>
  <c r="B95" i="8" s="1"/>
  <c r="B96" i="8" s="1"/>
  <c r="B97" i="8" s="1"/>
  <c r="B98" i="8" s="1"/>
  <c r="B99" i="8" s="1"/>
  <c r="B100" i="8" s="1"/>
  <c r="B101" i="8" s="1"/>
  <c r="B102" i="8" s="1"/>
  <c r="B103" i="8" s="1"/>
  <c r="B104" i="8" s="1"/>
  <c r="B105" i="8" s="1"/>
  <c r="B106" i="8" s="1"/>
  <c r="B107" i="8" s="1"/>
  <c r="B108" i="8" s="1"/>
  <c r="B109" i="8" s="1"/>
  <c r="B110" i="8" s="1"/>
  <c r="B111" i="8" s="1"/>
  <c r="B112" i="8" s="1"/>
  <c r="B113" i="8" s="1"/>
  <c r="B114" i="8" s="1"/>
  <c r="CF82" i="8"/>
  <c r="CA82" i="8"/>
  <c r="BV82" i="8"/>
  <c r="BQ82" i="8"/>
  <c r="BL82" i="8"/>
  <c r="BG82" i="8"/>
  <c r="BB82" i="8"/>
  <c r="AW82" i="8"/>
  <c r="AR82" i="8"/>
  <c r="AM82" i="8"/>
  <c r="AH82" i="8"/>
  <c r="AG82" i="8"/>
  <c r="AF82" i="8"/>
  <c r="AB82" i="8"/>
  <c r="L82" i="8"/>
  <c r="CF81" i="8"/>
  <c r="CA81" i="8"/>
  <c r="BV81" i="8"/>
  <c r="BQ81" i="8"/>
  <c r="BL81" i="8"/>
  <c r="BG81" i="8"/>
  <c r="BB81" i="8"/>
  <c r="AW81" i="8"/>
  <c r="AR81" i="8"/>
  <c r="AM81" i="8"/>
  <c r="AH81" i="8"/>
  <c r="AG81" i="8"/>
  <c r="AF81" i="8"/>
  <c r="AB81" i="8"/>
  <c r="X81" i="8"/>
  <c r="Q81" i="8"/>
  <c r="L81" i="8"/>
  <c r="CF80" i="8"/>
  <c r="CA80" i="8"/>
  <c r="BV80" i="8"/>
  <c r="BQ80" i="8"/>
  <c r="BL80" i="8"/>
  <c r="BG80" i="8"/>
  <c r="BB80" i="8"/>
  <c r="AW80" i="8"/>
  <c r="AR80" i="8"/>
  <c r="AM80" i="8"/>
  <c r="AH80" i="8"/>
  <c r="AG80" i="8"/>
  <c r="AF80" i="8"/>
  <c r="AB80" i="8"/>
  <c r="V80" i="8"/>
  <c r="X80" i="8" s="1"/>
  <c r="Q80" i="8"/>
  <c r="L80" i="8"/>
  <c r="CF79" i="8"/>
  <c r="CA79" i="8"/>
  <c r="BV79" i="8"/>
  <c r="BQ79" i="8"/>
  <c r="BL79" i="8"/>
  <c r="BG79" i="8"/>
  <c r="BB79" i="8"/>
  <c r="AW79" i="8"/>
  <c r="AR79" i="8"/>
  <c r="AM79" i="8"/>
  <c r="AH79" i="8"/>
  <c r="AG79" i="8"/>
  <c r="AF79" i="8"/>
  <c r="AB79" i="8"/>
  <c r="V79" i="8"/>
  <c r="X79" i="8" s="1"/>
  <c r="Q79" i="8"/>
  <c r="L79" i="8"/>
  <c r="CF78" i="8"/>
  <c r="CA78" i="8"/>
  <c r="BV78" i="8"/>
  <c r="BQ78" i="8"/>
  <c r="BL78" i="8"/>
  <c r="BG78" i="8"/>
  <c r="BB78" i="8"/>
  <c r="AW78" i="8"/>
  <c r="AR78" i="8"/>
  <c r="AM78" i="8"/>
  <c r="AH78" i="8"/>
  <c r="AG78" i="8"/>
  <c r="AF78" i="8"/>
  <c r="AB78" i="8"/>
  <c r="X78" i="8"/>
  <c r="Q78" i="8"/>
  <c r="L78" i="8"/>
  <c r="CF77" i="8"/>
  <c r="CA77" i="8"/>
  <c r="BV77" i="8"/>
  <c r="BQ77" i="8"/>
  <c r="BL77" i="8"/>
  <c r="BG77" i="8"/>
  <c r="BB77" i="8"/>
  <c r="AW77" i="8"/>
  <c r="AR77" i="8"/>
  <c r="AM77" i="8"/>
  <c r="AH77" i="8"/>
  <c r="AG77" i="8"/>
  <c r="AF77" i="8"/>
  <c r="AB77" i="8"/>
  <c r="L77" i="8"/>
  <c r="CF76" i="8"/>
  <c r="CA76" i="8"/>
  <c r="BV76" i="8"/>
  <c r="BQ76" i="8"/>
  <c r="BG76" i="8"/>
  <c r="BB76" i="8"/>
  <c r="AW76" i="8"/>
  <c r="AR76" i="8"/>
  <c r="AM76" i="8"/>
  <c r="AH76" i="8"/>
  <c r="AG76" i="8"/>
  <c r="AF76" i="8"/>
  <c r="AB76" i="8"/>
  <c r="X76" i="8"/>
  <c r="Q76" i="8"/>
  <c r="L76" i="8"/>
  <c r="CF75" i="8"/>
  <c r="CA75" i="8"/>
  <c r="BV75" i="8"/>
  <c r="BQ75" i="8"/>
  <c r="BL75" i="8"/>
  <c r="BG75" i="8"/>
  <c r="BB75" i="8"/>
  <c r="AW75" i="8"/>
  <c r="AR75" i="8"/>
  <c r="AM75" i="8"/>
  <c r="AH75" i="8"/>
  <c r="AG75" i="8"/>
  <c r="AF75" i="8"/>
  <c r="AB75" i="8"/>
  <c r="X75" i="8"/>
  <c r="Q75" i="8"/>
  <c r="L75" i="8"/>
  <c r="CF74" i="8"/>
  <c r="CA74" i="8"/>
  <c r="BV74" i="8"/>
  <c r="BQ74" i="8"/>
  <c r="BL74" i="8"/>
  <c r="BG74" i="8"/>
  <c r="BB74" i="8"/>
  <c r="AW74" i="8"/>
  <c r="AR74" i="8"/>
  <c r="AM74" i="8"/>
  <c r="AH74" i="8"/>
  <c r="AG74" i="8"/>
  <c r="AF74" i="8"/>
  <c r="AB74" i="8"/>
  <c r="X74" i="8"/>
  <c r="Q74" i="8"/>
  <c r="L74" i="8"/>
  <c r="CF73" i="8"/>
  <c r="CA73" i="8"/>
  <c r="BV73" i="8"/>
  <c r="BQ73" i="8"/>
  <c r="BG73" i="8"/>
  <c r="BB73" i="8"/>
  <c r="AW73" i="8"/>
  <c r="AR73" i="8"/>
  <c r="AM73" i="8"/>
  <c r="AH73" i="8"/>
  <c r="AG73" i="8"/>
  <c r="AF73" i="8"/>
  <c r="AB73" i="8"/>
  <c r="L73" i="8"/>
  <c r="CF72" i="8"/>
  <c r="CA72" i="8"/>
  <c r="BV72" i="8"/>
  <c r="BQ72" i="8"/>
  <c r="BL72" i="8"/>
  <c r="BG72" i="8"/>
  <c r="BB72" i="8"/>
  <c r="AW72" i="8"/>
  <c r="AR72" i="8"/>
  <c r="AM72" i="8"/>
  <c r="AH72" i="8"/>
  <c r="AG72" i="8"/>
  <c r="AF72" i="8"/>
  <c r="AB72" i="8"/>
  <c r="V72" i="8"/>
  <c r="X72" i="8" s="1"/>
  <c r="Q72" i="8"/>
  <c r="L72" i="8"/>
  <c r="CF71" i="8"/>
  <c r="CA71" i="8"/>
  <c r="BV71" i="8"/>
  <c r="BQ71" i="8"/>
  <c r="BL71" i="8"/>
  <c r="BG71" i="8"/>
  <c r="BB71" i="8"/>
  <c r="AW71" i="8"/>
  <c r="AR71" i="8"/>
  <c r="AM71" i="8"/>
  <c r="AH71" i="8"/>
  <c r="AG71" i="8"/>
  <c r="AF71" i="8"/>
  <c r="AB71" i="8"/>
  <c r="V71" i="8"/>
  <c r="X71" i="8" s="1"/>
  <c r="Q71" i="8"/>
  <c r="L71" i="8"/>
  <c r="CF70" i="8"/>
  <c r="CA70" i="8"/>
  <c r="BV70" i="8"/>
  <c r="BQ70" i="8"/>
  <c r="BL70" i="8"/>
  <c r="BG70" i="8"/>
  <c r="BB70" i="8"/>
  <c r="AW70" i="8"/>
  <c r="AR70" i="8"/>
  <c r="AM70" i="8"/>
  <c r="AH70" i="8"/>
  <c r="AG70" i="8"/>
  <c r="AF70" i="8"/>
  <c r="AB70" i="8"/>
  <c r="V70" i="8"/>
  <c r="X70" i="8" s="1"/>
  <c r="Q70" i="8"/>
  <c r="L70" i="8"/>
  <c r="CF69" i="8"/>
  <c r="CA69" i="8"/>
  <c r="BV69" i="8"/>
  <c r="BQ69" i="8"/>
  <c r="BG69" i="8"/>
  <c r="BB69" i="8"/>
  <c r="AW69" i="8"/>
  <c r="AR69" i="8"/>
  <c r="AM69" i="8"/>
  <c r="AH69" i="8"/>
  <c r="AG69" i="8"/>
  <c r="AF69" i="8"/>
  <c r="AB69" i="8"/>
  <c r="L69" i="8"/>
  <c r="CF68" i="8"/>
  <c r="CA68" i="8"/>
  <c r="BV68" i="8"/>
  <c r="BQ68" i="8"/>
  <c r="BL68" i="8"/>
  <c r="BG68" i="8"/>
  <c r="BB68" i="8"/>
  <c r="AW68" i="8"/>
  <c r="AR68" i="8"/>
  <c r="AM68" i="8"/>
  <c r="AH68" i="8"/>
  <c r="AG68" i="8"/>
  <c r="AF68" i="8"/>
  <c r="AB68" i="8"/>
  <c r="X68" i="8"/>
  <c r="Q68" i="8"/>
  <c r="L68" i="8"/>
  <c r="CA67" i="8"/>
  <c r="BV67" i="8"/>
  <c r="BQ67" i="8"/>
  <c r="BL67" i="8"/>
  <c r="BG67" i="8"/>
  <c r="BB67" i="8"/>
  <c r="AW67" i="8"/>
  <c r="AR67" i="8"/>
  <c r="AM67" i="8"/>
  <c r="AH67" i="8"/>
  <c r="AG67" i="8"/>
  <c r="AF67" i="8"/>
  <c r="AB67" i="8"/>
  <c r="V67" i="8"/>
  <c r="X67" i="8" s="1"/>
  <c r="Q67" i="8"/>
  <c r="L67" i="8"/>
  <c r="CA66" i="8"/>
  <c r="BV66" i="8"/>
  <c r="BQ66" i="8"/>
  <c r="BL66" i="8"/>
  <c r="BG66" i="8"/>
  <c r="BB66" i="8"/>
  <c r="AW66" i="8"/>
  <c r="AR66" i="8"/>
  <c r="AM66" i="8"/>
  <c r="AH66" i="8"/>
  <c r="AG66" i="8"/>
  <c r="AF66" i="8"/>
  <c r="AB66" i="8"/>
  <c r="V66" i="8"/>
  <c r="X66" i="8" s="1"/>
  <c r="Q66" i="8"/>
  <c r="L66" i="8"/>
  <c r="CA65" i="8"/>
  <c r="BV65" i="8"/>
  <c r="BQ65" i="8"/>
  <c r="BL65" i="8"/>
  <c r="BG65" i="8"/>
  <c r="BB65" i="8"/>
  <c r="AW65" i="8"/>
  <c r="AR65" i="8"/>
  <c r="AM65" i="8"/>
  <c r="AH65" i="8"/>
  <c r="AG65" i="8"/>
  <c r="AF65" i="8"/>
  <c r="AB65" i="8"/>
  <c r="L65" i="8"/>
  <c r="CA64" i="8"/>
  <c r="BV64" i="8"/>
  <c r="BQ64" i="8"/>
  <c r="BL64" i="8"/>
  <c r="BG64" i="8"/>
  <c r="BB64" i="8"/>
  <c r="AW64" i="8"/>
  <c r="AR64" i="8"/>
  <c r="AM64" i="8"/>
  <c r="AH64" i="8"/>
  <c r="AG64" i="8"/>
  <c r="AF64" i="8"/>
  <c r="AB64" i="8"/>
  <c r="X64" i="8"/>
  <c r="Q64" i="8"/>
  <c r="L64" i="8"/>
  <c r="CA63" i="8"/>
  <c r="BV63" i="8"/>
  <c r="BQ63" i="8"/>
  <c r="BL63" i="8"/>
  <c r="BG63" i="8"/>
  <c r="BB63" i="8"/>
  <c r="AW63" i="8"/>
  <c r="AR63" i="8"/>
  <c r="AM63" i="8"/>
  <c r="AH63" i="8"/>
  <c r="AG63" i="8"/>
  <c r="AF63" i="8"/>
  <c r="AB63" i="8"/>
  <c r="L63" i="8"/>
  <c r="CA62" i="8"/>
  <c r="BV62" i="8"/>
  <c r="BQ62" i="8"/>
  <c r="BL62" i="8"/>
  <c r="BG62" i="8"/>
  <c r="BB62" i="8"/>
  <c r="AW62" i="8"/>
  <c r="AR62" i="8"/>
  <c r="AM62" i="8"/>
  <c r="AH62" i="8"/>
  <c r="AG62" i="8"/>
  <c r="AF62" i="8"/>
  <c r="AB62" i="8"/>
  <c r="V62" i="8"/>
  <c r="X62" i="8" s="1"/>
  <c r="Q62" i="8"/>
  <c r="L62" i="8"/>
  <c r="B62" i="8"/>
  <c r="B63" i="8" s="1"/>
  <c r="B64" i="8" s="1"/>
  <c r="B65" i="8" s="1"/>
  <c r="B66" i="8" s="1"/>
  <c r="B67" i="8" s="1"/>
  <c r="B68" i="8" s="1"/>
  <c r="CA61" i="8"/>
  <c r="BV61" i="8"/>
  <c r="BQ61" i="8"/>
  <c r="BL61" i="8"/>
  <c r="BG61" i="8"/>
  <c r="BB61" i="8"/>
  <c r="AW61" i="8"/>
  <c r="AR61" i="8"/>
  <c r="AM61" i="8"/>
  <c r="AH61" i="8"/>
  <c r="AG61" i="8"/>
  <c r="AF61" i="8"/>
  <c r="AB61" i="8"/>
  <c r="V61" i="8"/>
  <c r="X61" i="8" s="1"/>
  <c r="Q61" i="8"/>
  <c r="L61" i="8"/>
  <c r="CA60" i="8"/>
  <c r="BV60" i="8"/>
  <c r="BQ60" i="8"/>
  <c r="BG60" i="8"/>
  <c r="BB60" i="8"/>
  <c r="AW60" i="8"/>
  <c r="AR60" i="8"/>
  <c r="AM60" i="8"/>
  <c r="AH60" i="8"/>
  <c r="AG60" i="8"/>
  <c r="AF60" i="8"/>
  <c r="AB60" i="8"/>
  <c r="L60" i="8"/>
  <c r="CA59" i="8"/>
  <c r="BV59" i="8"/>
  <c r="BQ59" i="8"/>
  <c r="BG59" i="8"/>
  <c r="BB59" i="8"/>
  <c r="AW59" i="8"/>
  <c r="AR59" i="8"/>
  <c r="AM59" i="8"/>
  <c r="AH59" i="8"/>
  <c r="AG59" i="8"/>
  <c r="AF59" i="8"/>
  <c r="AB59" i="8"/>
  <c r="V59" i="8"/>
  <c r="X59" i="8" s="1"/>
  <c r="Q59" i="8"/>
  <c r="L59" i="8"/>
  <c r="CA58" i="8"/>
  <c r="BV58" i="8"/>
  <c r="BQ58" i="8"/>
  <c r="BL58" i="8"/>
  <c r="BG58" i="8"/>
  <c r="BB58" i="8"/>
  <c r="AW58" i="8"/>
  <c r="AR58" i="8"/>
  <c r="AM58" i="8"/>
  <c r="AH58" i="8"/>
  <c r="AG58" i="8"/>
  <c r="AF58" i="8"/>
  <c r="AB58" i="8"/>
  <c r="Q58" i="8"/>
  <c r="L58" i="8"/>
  <c r="CA57" i="8"/>
  <c r="BV57" i="8"/>
  <c r="BQ57" i="8"/>
  <c r="BL57" i="8"/>
  <c r="BG57" i="8"/>
  <c r="BB57" i="8"/>
  <c r="AW57" i="8"/>
  <c r="AR57" i="8"/>
  <c r="AM57" i="8"/>
  <c r="AH57" i="8"/>
  <c r="AG57" i="8"/>
  <c r="AF57" i="8"/>
  <c r="AB57" i="8"/>
  <c r="L57" i="8"/>
  <c r="CA56" i="8"/>
  <c r="BV56" i="8"/>
  <c r="BQ56" i="8"/>
  <c r="BL56" i="8"/>
  <c r="BG56" i="8"/>
  <c r="BB56" i="8"/>
  <c r="AW56" i="8"/>
  <c r="AR56" i="8"/>
  <c r="AM56" i="8"/>
  <c r="AH56" i="8"/>
  <c r="AG56" i="8"/>
  <c r="AF56" i="8"/>
  <c r="AB56" i="8"/>
  <c r="Q56" i="8"/>
  <c r="L56" i="8"/>
  <c r="CA55" i="8"/>
  <c r="BV55" i="8"/>
  <c r="BQ55" i="8"/>
  <c r="BL55" i="8"/>
  <c r="BG55" i="8"/>
  <c r="BB55" i="8"/>
  <c r="AW55" i="8"/>
  <c r="AR55" i="8"/>
  <c r="AM55" i="8"/>
  <c r="AH55" i="8"/>
  <c r="AG55" i="8"/>
  <c r="AF55" i="8"/>
  <c r="AB55" i="8"/>
  <c r="Q55" i="8"/>
  <c r="L55" i="8"/>
  <c r="CA54" i="8"/>
  <c r="BV54" i="8"/>
  <c r="BQ54" i="8"/>
  <c r="BL54" i="8"/>
  <c r="BG54" i="8"/>
  <c r="BB54" i="8"/>
  <c r="AW54" i="8"/>
  <c r="AR54" i="8"/>
  <c r="AM54" i="8"/>
  <c r="AH54" i="8"/>
  <c r="AG54" i="8"/>
  <c r="AF54" i="8"/>
  <c r="N54" i="8"/>
  <c r="AB54" i="8" s="1"/>
  <c r="L54" i="8"/>
  <c r="CA53" i="8"/>
  <c r="BV53" i="8"/>
  <c r="BQ53" i="8"/>
  <c r="BL53" i="8"/>
  <c r="BG53" i="8"/>
  <c r="BB53" i="8"/>
  <c r="AW53" i="8"/>
  <c r="AR53" i="8"/>
  <c r="AM53" i="8"/>
  <c r="AH53" i="8"/>
  <c r="AG53" i="8"/>
  <c r="AF53" i="8"/>
  <c r="N53" i="8"/>
  <c r="AB53" i="8" s="1"/>
  <c r="L53" i="8"/>
  <c r="CA52" i="8"/>
  <c r="BV52" i="8"/>
  <c r="BQ52" i="8"/>
  <c r="BL52" i="8"/>
  <c r="BG52" i="8"/>
  <c r="BB52" i="8"/>
  <c r="AW52" i="8"/>
  <c r="AR52" i="8"/>
  <c r="AM52" i="8"/>
  <c r="AH52" i="8"/>
  <c r="AG52" i="8"/>
  <c r="AF52" i="8"/>
  <c r="AB52" i="8"/>
  <c r="X52" i="8"/>
  <c r="Q52" i="8"/>
  <c r="L52" i="8"/>
  <c r="CA51" i="8"/>
  <c r="BV51" i="8"/>
  <c r="BQ51" i="8"/>
  <c r="BL51" i="8"/>
  <c r="BG51" i="8"/>
  <c r="BB51" i="8"/>
  <c r="AW51" i="8"/>
  <c r="AR51" i="8"/>
  <c r="AM51" i="8"/>
  <c r="AH51" i="8"/>
  <c r="AG51" i="8"/>
  <c r="AF51" i="8"/>
  <c r="AB51" i="8"/>
  <c r="X51" i="8"/>
  <c r="Q51" i="8"/>
  <c r="L51" i="8"/>
  <c r="CA50" i="8"/>
  <c r="BV50" i="8"/>
  <c r="BQ50" i="8"/>
  <c r="BL50" i="8"/>
  <c r="BG50" i="8"/>
  <c r="BB50" i="8"/>
  <c r="AW50" i="8"/>
  <c r="AR50" i="8"/>
  <c r="AM50" i="8"/>
  <c r="AH50" i="8"/>
  <c r="AG50" i="8"/>
  <c r="AF50" i="8"/>
  <c r="AB50" i="8"/>
  <c r="L50" i="8"/>
  <c r="CA49" i="8"/>
  <c r="BV49" i="8"/>
  <c r="BQ49" i="8"/>
  <c r="BL49" i="8"/>
  <c r="BG49" i="8"/>
  <c r="BB49" i="8"/>
  <c r="AW49" i="8"/>
  <c r="AR49" i="8"/>
  <c r="AM49" i="8"/>
  <c r="AH49" i="8"/>
  <c r="AG49" i="8"/>
  <c r="AF49" i="8"/>
  <c r="AB49" i="8"/>
  <c r="V49" i="8"/>
  <c r="X49" i="8" s="1"/>
  <c r="Q49" i="8"/>
  <c r="L49" i="8"/>
  <c r="CA48" i="8"/>
  <c r="BV48" i="8"/>
  <c r="BQ48" i="8"/>
  <c r="BG48" i="8"/>
  <c r="BB48" i="8"/>
  <c r="AW48" i="8"/>
  <c r="AR48" i="8"/>
  <c r="AM48" i="8"/>
  <c r="AH48" i="8"/>
  <c r="AG48" i="8"/>
  <c r="AF48" i="8"/>
  <c r="AB48" i="8"/>
  <c r="X48" i="8"/>
  <c r="Q48" i="8"/>
  <c r="L48" i="8"/>
  <c r="CA47" i="8"/>
  <c r="BV47" i="8"/>
  <c r="BQ47" i="8"/>
  <c r="BL47" i="8"/>
  <c r="BG47" i="8"/>
  <c r="BB47" i="8"/>
  <c r="AW47" i="8"/>
  <c r="AR47" i="8"/>
  <c r="AM47" i="8"/>
  <c r="AH47" i="8"/>
  <c r="AG47" i="8"/>
  <c r="AF47" i="8"/>
  <c r="AB47" i="8"/>
  <c r="L47" i="8"/>
  <c r="CA46" i="8"/>
  <c r="BV46" i="8"/>
  <c r="BQ46" i="8"/>
  <c r="BL46" i="8"/>
  <c r="BG46" i="8"/>
  <c r="BB46" i="8"/>
  <c r="AW46" i="8"/>
  <c r="AR46" i="8"/>
  <c r="AM46" i="8"/>
  <c r="AH46" i="8"/>
  <c r="AG46" i="8"/>
  <c r="AF46" i="8"/>
  <c r="AB46" i="8"/>
  <c r="L46" i="8"/>
  <c r="CA45" i="8"/>
  <c r="BV45" i="8"/>
  <c r="BQ45" i="8"/>
  <c r="BL45" i="8"/>
  <c r="BG45" i="8"/>
  <c r="BB45" i="8"/>
  <c r="AW45" i="8"/>
  <c r="AR45" i="8"/>
  <c r="AM45" i="8"/>
  <c r="AH45" i="8"/>
  <c r="AG45" i="8"/>
  <c r="AF45" i="8"/>
  <c r="AB45" i="8"/>
  <c r="Q45" i="8"/>
  <c r="L45" i="8"/>
  <c r="CA44" i="8"/>
  <c r="BV44" i="8"/>
  <c r="BQ44" i="8"/>
  <c r="BL44" i="8"/>
  <c r="BG44" i="8"/>
  <c r="BB44" i="8"/>
  <c r="AW44" i="8"/>
  <c r="AR44" i="8"/>
  <c r="AM44" i="8"/>
  <c r="AH44" i="8"/>
  <c r="AG44" i="8"/>
  <c r="AF44" i="8"/>
  <c r="AB44" i="8"/>
  <c r="Q44" i="8"/>
  <c r="L44" i="8"/>
  <c r="CA43" i="8"/>
  <c r="BV43" i="8"/>
  <c r="BQ43" i="8"/>
  <c r="BG43" i="8"/>
  <c r="BB43" i="8"/>
  <c r="AW43" i="8"/>
  <c r="AR43" i="8"/>
  <c r="AM43" i="8"/>
  <c r="AH43" i="8"/>
  <c r="AG43" i="8"/>
  <c r="AF43" i="8"/>
  <c r="AB43" i="8"/>
  <c r="X43" i="8"/>
  <c r="Q43" i="8"/>
  <c r="L43" i="8"/>
  <c r="CA42" i="8"/>
  <c r="BV42" i="8"/>
  <c r="BQ42" i="8"/>
  <c r="BL42" i="8"/>
  <c r="BG42" i="8"/>
  <c r="BB42" i="8"/>
  <c r="AW42" i="8"/>
  <c r="AR42" i="8"/>
  <c r="AM42" i="8"/>
  <c r="AH42" i="8"/>
  <c r="AG42" i="8"/>
  <c r="AF42" i="8"/>
  <c r="AB42" i="8"/>
  <c r="L42" i="8"/>
  <c r="CA41" i="8"/>
  <c r="BV41" i="8"/>
  <c r="BQ41" i="8"/>
  <c r="BG41" i="8"/>
  <c r="BB41" i="8"/>
  <c r="AW41" i="8"/>
  <c r="AR41" i="8"/>
  <c r="AM41" i="8"/>
  <c r="AH41" i="8"/>
  <c r="AG41" i="8"/>
  <c r="AF41" i="8"/>
  <c r="AB41" i="8"/>
  <c r="V41" i="8"/>
  <c r="X41" i="8" s="1"/>
  <c r="Q41" i="8"/>
  <c r="L41" i="8"/>
  <c r="CA40" i="8"/>
  <c r="BV40" i="8"/>
  <c r="BQ40" i="8"/>
  <c r="BL40" i="8"/>
  <c r="BG40" i="8"/>
  <c r="BB40" i="8"/>
  <c r="AW40" i="8"/>
  <c r="AR40" i="8"/>
  <c r="AM40" i="8"/>
  <c r="AH40" i="8"/>
  <c r="AG40" i="8"/>
  <c r="AF40" i="8"/>
  <c r="AB40" i="8"/>
  <c r="X40" i="8"/>
  <c r="Q40" i="8"/>
  <c r="L40" i="8"/>
  <c r="CA39" i="8"/>
  <c r="BV39" i="8"/>
  <c r="BQ39" i="8"/>
  <c r="BL39" i="8"/>
  <c r="BG39" i="8"/>
  <c r="BB39" i="8"/>
  <c r="AW39" i="8"/>
  <c r="AR39" i="8"/>
  <c r="AM39" i="8"/>
  <c r="AH39" i="8"/>
  <c r="AG39" i="8"/>
  <c r="AF39" i="8"/>
  <c r="AB39" i="8"/>
  <c r="L39" i="8"/>
  <c r="CA38" i="8"/>
  <c r="BV38" i="8"/>
  <c r="BQ38" i="8"/>
  <c r="BL38" i="8"/>
  <c r="BG38" i="8"/>
  <c r="BB38" i="8"/>
  <c r="AW38" i="8"/>
  <c r="AR38" i="8"/>
  <c r="AM38" i="8"/>
  <c r="AH38" i="8"/>
  <c r="AG38" i="8"/>
  <c r="AF38" i="8"/>
  <c r="AB38" i="8"/>
  <c r="L38" i="8"/>
  <c r="CA37" i="8"/>
  <c r="BV37" i="8"/>
  <c r="BQ37" i="8"/>
  <c r="BL37" i="8"/>
  <c r="BG37" i="8"/>
  <c r="BB37" i="8"/>
  <c r="AW37" i="8"/>
  <c r="AR37" i="8"/>
  <c r="AM37" i="8"/>
  <c r="AH37" i="8"/>
  <c r="AG37" i="8"/>
  <c r="AF37" i="8"/>
  <c r="AB37" i="8"/>
  <c r="L37" i="8"/>
  <c r="CA36" i="8"/>
  <c r="BV36" i="8"/>
  <c r="BQ36" i="8"/>
  <c r="BL36" i="8"/>
  <c r="BG36" i="8"/>
  <c r="BB36" i="8"/>
  <c r="AW36" i="8"/>
  <c r="AR36" i="8"/>
  <c r="AM36" i="8"/>
  <c r="AH36" i="8"/>
  <c r="AG36" i="8"/>
  <c r="AF36" i="8"/>
  <c r="AB36" i="8"/>
  <c r="L36" i="8"/>
  <c r="CA35" i="8"/>
  <c r="BV35" i="8"/>
  <c r="BQ35" i="8"/>
  <c r="BL35" i="8"/>
  <c r="BG35" i="8"/>
  <c r="BB35" i="8"/>
  <c r="AW35" i="8"/>
  <c r="AR35" i="8"/>
  <c r="AM35" i="8"/>
  <c r="AH35" i="8"/>
  <c r="AG35" i="8"/>
  <c r="AF35" i="8"/>
  <c r="AB35" i="8"/>
  <c r="L35" i="8"/>
  <c r="CA34" i="8"/>
  <c r="BV34" i="8"/>
  <c r="BQ34" i="8"/>
  <c r="BL34" i="8"/>
  <c r="BG34" i="8"/>
  <c r="BB34" i="8"/>
  <c r="AW34" i="8"/>
  <c r="AR34" i="8"/>
  <c r="AM34" i="8"/>
  <c r="AH34" i="8"/>
  <c r="AG34" i="8"/>
  <c r="AF34" i="8"/>
  <c r="AB34" i="8"/>
  <c r="L34" i="8"/>
  <c r="CA33" i="8"/>
  <c r="BV33" i="8"/>
  <c r="BQ33" i="8"/>
  <c r="BL33" i="8"/>
  <c r="BG33" i="8"/>
  <c r="BB33" i="8"/>
  <c r="AW33" i="8"/>
  <c r="AR33" i="8"/>
  <c r="AM33" i="8"/>
  <c r="AH33" i="8"/>
  <c r="AG33" i="8"/>
  <c r="AF33" i="8"/>
  <c r="AB33" i="8"/>
  <c r="L33" i="8"/>
  <c r="CA32" i="8"/>
  <c r="BV32" i="8"/>
  <c r="BQ32" i="8"/>
  <c r="BL32" i="8"/>
  <c r="BG32" i="8"/>
  <c r="BB32" i="8"/>
  <c r="AW32" i="8"/>
  <c r="AR32" i="8"/>
  <c r="AM32" i="8"/>
  <c r="AH32" i="8"/>
  <c r="AG32" i="8"/>
  <c r="AF32" i="8"/>
  <c r="AB32" i="8"/>
  <c r="L32" i="8"/>
  <c r="CA31" i="8"/>
  <c r="BV31" i="8"/>
  <c r="BQ31" i="8"/>
  <c r="BL31" i="8"/>
  <c r="BG31" i="8"/>
  <c r="BB31" i="8"/>
  <c r="AW31" i="8"/>
  <c r="AR31" i="8"/>
  <c r="AM31" i="8"/>
  <c r="AH31" i="8"/>
  <c r="AG31" i="8"/>
  <c r="AF31" i="8"/>
  <c r="AB31" i="8"/>
  <c r="L31" i="8"/>
  <c r="CA30" i="8"/>
  <c r="BV30" i="8"/>
  <c r="BQ30" i="8"/>
  <c r="BL30" i="8"/>
  <c r="BG30" i="8"/>
  <c r="BB30" i="8"/>
  <c r="AW30" i="8"/>
  <c r="AR30" i="8"/>
  <c r="AM30" i="8"/>
  <c r="AH30" i="8"/>
  <c r="AG30" i="8"/>
  <c r="AF30" i="8"/>
  <c r="AB30" i="8"/>
  <c r="L30" i="8"/>
  <c r="CA29" i="8"/>
  <c r="BV29" i="8"/>
  <c r="BQ29" i="8"/>
  <c r="BL29" i="8"/>
  <c r="BG29" i="8"/>
  <c r="BB29" i="8"/>
  <c r="AW29" i="8"/>
  <c r="AR29" i="8"/>
  <c r="AM29" i="8"/>
  <c r="AH29" i="8"/>
  <c r="AG29" i="8"/>
  <c r="AF29" i="8"/>
  <c r="AB29" i="8"/>
  <c r="L29" i="8"/>
  <c r="CA28" i="8"/>
  <c r="BV28" i="8"/>
  <c r="BQ28" i="8"/>
  <c r="BL28" i="8"/>
  <c r="BG28" i="8"/>
  <c r="BB28" i="8"/>
  <c r="AW28" i="8"/>
  <c r="AR28" i="8"/>
  <c r="AM28" i="8"/>
  <c r="AH28" i="8"/>
  <c r="AG28" i="8"/>
  <c r="AF28" i="8"/>
  <c r="AB28" i="8"/>
  <c r="L28" i="8"/>
  <c r="CA27" i="8"/>
  <c r="BV27" i="8"/>
  <c r="BQ27" i="8"/>
  <c r="BL27" i="8"/>
  <c r="BG27" i="8"/>
  <c r="BB27" i="8"/>
  <c r="AW27" i="8"/>
  <c r="AR27" i="8"/>
  <c r="AM27" i="8"/>
  <c r="AH27" i="8"/>
  <c r="AG27" i="8"/>
  <c r="AF27" i="8"/>
  <c r="AB27" i="8"/>
  <c r="L27" i="8"/>
  <c r="CA26" i="8"/>
  <c r="BV26" i="8"/>
  <c r="BQ26" i="8"/>
  <c r="BL26" i="8"/>
  <c r="BG26" i="8"/>
  <c r="BB26" i="8"/>
  <c r="AW26" i="8"/>
  <c r="AR26" i="8"/>
  <c r="AM26" i="8"/>
  <c r="AH26" i="8"/>
  <c r="AG26" i="8"/>
  <c r="AF26" i="8"/>
  <c r="AB26" i="8"/>
  <c r="L26" i="8"/>
  <c r="CA25" i="8"/>
  <c r="BV25" i="8"/>
  <c r="BQ25" i="8"/>
  <c r="BL25" i="8"/>
  <c r="BG25" i="8"/>
  <c r="BB25" i="8"/>
  <c r="AW25" i="8"/>
  <c r="AR25" i="8"/>
  <c r="AM25" i="8"/>
  <c r="AH25" i="8"/>
  <c r="AG25" i="8"/>
  <c r="AF25" i="8"/>
  <c r="AB25" i="8"/>
  <c r="L25" i="8"/>
  <c r="CA24" i="8"/>
  <c r="BV24" i="8"/>
  <c r="BQ24" i="8"/>
  <c r="BL24" i="8"/>
  <c r="BG24" i="8"/>
  <c r="BB24" i="8"/>
  <c r="AW24" i="8"/>
  <c r="AR24" i="8"/>
  <c r="AM24" i="8"/>
  <c r="AH24" i="8"/>
  <c r="AG24" i="8"/>
  <c r="AF24" i="8"/>
  <c r="AB24" i="8"/>
  <c r="L24" i="8"/>
  <c r="CA23" i="8"/>
  <c r="BV23" i="8"/>
  <c r="BQ23" i="8"/>
  <c r="BL23" i="8"/>
  <c r="BG23" i="8"/>
  <c r="BB23" i="8"/>
  <c r="AW23" i="8"/>
  <c r="AR23" i="8"/>
  <c r="AM23" i="8"/>
  <c r="AH23" i="8"/>
  <c r="AG23" i="8"/>
  <c r="AF23" i="8"/>
  <c r="AB23" i="8"/>
  <c r="L23" i="8"/>
  <c r="CA22" i="8"/>
  <c r="BV22" i="8"/>
  <c r="BQ22" i="8"/>
  <c r="BL22" i="8"/>
  <c r="BG22" i="8"/>
  <c r="BB22" i="8"/>
  <c r="AW22" i="8"/>
  <c r="AR22" i="8"/>
  <c r="AM22" i="8"/>
  <c r="AH22" i="8"/>
  <c r="AG22" i="8"/>
  <c r="AF22" i="8"/>
  <c r="AB22" i="8"/>
  <c r="L22" i="8"/>
  <c r="CA21" i="8"/>
  <c r="BV21" i="8"/>
  <c r="BQ21" i="8"/>
  <c r="BL21" i="8"/>
  <c r="BG21" i="8"/>
  <c r="BB21" i="8"/>
  <c r="AW21" i="8"/>
  <c r="AR21" i="8"/>
  <c r="AM21" i="8"/>
  <c r="AH21" i="8"/>
  <c r="AG21" i="8"/>
  <c r="AF21" i="8"/>
  <c r="AB21" i="8"/>
  <c r="L21" i="8"/>
  <c r="CA20" i="8"/>
  <c r="BV20" i="8"/>
  <c r="BQ20" i="8"/>
  <c r="BL20" i="8"/>
  <c r="BG20" i="8"/>
  <c r="BB20" i="8"/>
  <c r="AW20" i="8"/>
  <c r="AR20" i="8"/>
  <c r="AM20" i="8"/>
  <c r="AH20" i="8"/>
  <c r="AG20" i="8"/>
  <c r="AF20" i="8"/>
  <c r="AB20" i="8"/>
  <c r="V20" i="8"/>
  <c r="X20" i="8" s="1"/>
  <c r="Q20" i="8"/>
  <c r="L20" i="8"/>
  <c r="CA19" i="8"/>
  <c r="BV19" i="8"/>
  <c r="BQ19" i="8"/>
  <c r="BL19" i="8"/>
  <c r="BG19" i="8"/>
  <c r="BB19" i="8"/>
  <c r="AW19" i="8"/>
  <c r="AR19" i="8"/>
  <c r="AM19" i="8"/>
  <c r="AH19" i="8"/>
  <c r="AG19" i="8"/>
  <c r="AF19" i="8"/>
  <c r="AB19" i="8"/>
  <c r="L19" i="8"/>
  <c r="CA18" i="8"/>
  <c r="BV18" i="8"/>
  <c r="BQ18" i="8"/>
  <c r="BG18" i="8"/>
  <c r="BB18" i="8"/>
  <c r="AW18" i="8"/>
  <c r="AR18" i="8"/>
  <c r="AM18" i="8"/>
  <c r="AH18" i="8"/>
  <c r="AG18" i="8"/>
  <c r="AF18" i="8"/>
  <c r="AB18" i="8"/>
  <c r="L18" i="8"/>
  <c r="CA17" i="8"/>
  <c r="BV17" i="8"/>
  <c r="BQ17" i="8"/>
  <c r="BG17" i="8"/>
  <c r="BB17" i="8"/>
  <c r="AW17" i="8"/>
  <c r="AR17" i="8"/>
  <c r="AM17" i="8"/>
  <c r="AH17" i="8"/>
  <c r="AG17" i="8"/>
  <c r="AF17" i="8"/>
  <c r="AB17" i="8"/>
  <c r="L17" i="8"/>
  <c r="CA16" i="8"/>
  <c r="BV16" i="8"/>
  <c r="BQ16" i="8"/>
  <c r="BG16" i="8"/>
  <c r="BB16" i="8"/>
  <c r="AW16" i="8"/>
  <c r="AR16" i="8"/>
  <c r="AM16" i="8"/>
  <c r="AH16" i="8"/>
  <c r="AG16" i="8"/>
  <c r="AF16" i="8"/>
  <c r="AB16" i="8"/>
  <c r="L16" i="8"/>
  <c r="CA15" i="8"/>
  <c r="BV15" i="8"/>
  <c r="BQ15" i="8"/>
  <c r="BL15" i="8"/>
  <c r="BG15" i="8"/>
  <c r="BB15" i="8"/>
  <c r="AW15" i="8"/>
  <c r="AR15" i="8"/>
  <c r="AM15" i="8"/>
  <c r="AH15" i="8"/>
  <c r="AG15" i="8"/>
  <c r="AF15" i="8"/>
  <c r="AB15" i="8"/>
  <c r="L15" i="8"/>
  <c r="CA14" i="8"/>
  <c r="BV14" i="8"/>
  <c r="BQ14" i="8"/>
  <c r="BL14" i="8"/>
  <c r="BG14" i="8"/>
  <c r="BB14" i="8"/>
  <c r="AW14" i="8"/>
  <c r="AR14" i="8"/>
  <c r="AM14" i="8"/>
  <c r="AH14" i="8"/>
  <c r="AG14" i="8"/>
  <c r="AF14" i="8"/>
  <c r="AB14" i="8"/>
  <c r="Q14" i="8"/>
  <c r="L14" i="8"/>
  <c r="CA13" i="8"/>
  <c r="BV13" i="8"/>
  <c r="BQ13" i="8"/>
  <c r="BL13" i="8"/>
  <c r="BG13" i="8"/>
  <c r="BB13" i="8"/>
  <c r="AW13" i="8"/>
  <c r="AR13" i="8"/>
  <c r="AM13" i="8"/>
  <c r="AH13" i="8"/>
  <c r="AG13" i="8"/>
  <c r="AF13" i="8"/>
  <c r="AB13" i="8"/>
  <c r="L13" i="8"/>
  <c r="CA12" i="8"/>
  <c r="BV12" i="8"/>
  <c r="BQ12" i="8"/>
  <c r="BL12" i="8"/>
  <c r="BG12" i="8"/>
  <c r="BB12" i="8"/>
  <c r="AW12" i="8"/>
  <c r="AR12" i="8"/>
  <c r="AM12" i="8"/>
  <c r="AH12" i="8"/>
  <c r="AG12" i="8"/>
  <c r="AF12" i="8"/>
  <c r="AB12" i="8"/>
  <c r="L12" i="8"/>
  <c r="CA11" i="8"/>
  <c r="BV11" i="8"/>
  <c r="BQ11" i="8"/>
  <c r="BG11" i="8"/>
  <c r="BB11" i="8"/>
  <c r="AW11" i="8"/>
  <c r="AR11" i="8"/>
  <c r="AM11" i="8"/>
  <c r="AH11" i="8"/>
  <c r="AG11" i="8"/>
  <c r="AF11" i="8"/>
  <c r="AB11" i="8"/>
  <c r="L11" i="8"/>
  <c r="CA10" i="8"/>
  <c r="BV10" i="8"/>
  <c r="BQ10" i="8"/>
  <c r="BL10" i="8"/>
  <c r="BG10" i="8"/>
  <c r="BB10" i="8"/>
  <c r="AW10" i="8"/>
  <c r="AR10" i="8"/>
  <c r="AM10" i="8"/>
  <c r="AH10" i="8"/>
  <c r="AG10" i="8"/>
  <c r="AF10" i="8"/>
  <c r="AB10" i="8"/>
  <c r="X10" i="8"/>
  <c r="Q10" i="8"/>
  <c r="L10" i="8"/>
  <c r="CA9" i="8"/>
  <c r="BV9" i="8"/>
  <c r="BQ9" i="8"/>
  <c r="BL9" i="8"/>
  <c r="BG9" i="8"/>
  <c r="BB9" i="8"/>
  <c r="AW9" i="8"/>
  <c r="AR9" i="8"/>
  <c r="AM9" i="8"/>
  <c r="AH9" i="8"/>
  <c r="AG9" i="8"/>
  <c r="AF9" i="8"/>
  <c r="AB9" i="8"/>
  <c r="X9" i="8"/>
  <c r="Q9" i="8"/>
  <c r="L9" i="8"/>
  <c r="CA8" i="8"/>
  <c r="BV8" i="8"/>
  <c r="BQ8" i="8"/>
  <c r="BL8" i="8"/>
  <c r="BG8" i="8"/>
  <c r="BB8" i="8"/>
  <c r="AW8" i="8"/>
  <c r="AR8" i="8"/>
  <c r="AM8" i="8"/>
  <c r="AH8" i="8"/>
  <c r="AG8" i="8"/>
  <c r="AF8" i="8"/>
  <c r="AB8" i="8"/>
  <c r="V8" i="8"/>
  <c r="X8" i="8" s="1"/>
  <c r="Q8" i="8"/>
  <c r="L8" i="8"/>
  <c r="CA7" i="8"/>
  <c r="BV7" i="8"/>
  <c r="BQ7" i="8"/>
  <c r="BL7" i="8"/>
  <c r="BG7" i="8"/>
  <c r="BB7" i="8"/>
  <c r="AW7" i="8"/>
  <c r="AR7" i="8"/>
  <c r="AM7" i="8"/>
  <c r="AH7" i="8"/>
  <c r="AG7" i="8"/>
  <c r="AF7" i="8"/>
  <c r="AB7" i="8"/>
  <c r="L7" i="8"/>
  <c r="CA6" i="8"/>
  <c r="BV6" i="8"/>
  <c r="BQ6" i="8"/>
  <c r="BL6" i="8"/>
  <c r="BG6" i="8"/>
  <c r="BB6" i="8"/>
  <c r="AW6" i="8"/>
  <c r="AR6" i="8"/>
  <c r="AM6" i="8"/>
  <c r="AH6" i="8"/>
  <c r="AG6" i="8"/>
  <c r="AF6" i="8"/>
  <c r="AB6" i="8"/>
  <c r="Q6" i="8"/>
  <c r="L6" i="8"/>
  <c r="CA5" i="8"/>
  <c r="BV5" i="8"/>
  <c r="BQ5" i="8"/>
  <c r="BL5" i="8"/>
  <c r="BG5" i="8"/>
  <c r="BB5" i="8"/>
  <c r="AW5" i="8"/>
  <c r="AR5" i="8"/>
  <c r="AM5" i="8"/>
  <c r="AH5" i="8"/>
  <c r="AG5" i="8"/>
  <c r="AF5" i="8"/>
  <c r="AB5" i="8"/>
  <c r="X5" i="8"/>
  <c r="Q5" i="8"/>
  <c r="L5" i="8"/>
  <c r="CA4" i="8"/>
  <c r="BV4" i="8"/>
  <c r="BQ4" i="8"/>
  <c r="BL4" i="8"/>
  <c r="BG4" i="8"/>
  <c r="BB4" i="8"/>
  <c r="AW4" i="8"/>
  <c r="AR4" i="8"/>
  <c r="AM4" i="8"/>
  <c r="AH4" i="8"/>
  <c r="AG4" i="8"/>
  <c r="AF4" i="8"/>
  <c r="Z4" i="8"/>
  <c r="AA4" i="8" s="1"/>
  <c r="AB4" i="8" s="1"/>
  <c r="L4" i="8"/>
  <c r="B4" i="8"/>
  <c r="B5" i="8" s="1"/>
  <c r="B6" i="8" s="1"/>
  <c r="B7" i="8" s="1"/>
  <c r="B8" i="8" s="1"/>
  <c r="B9" i="8" s="1"/>
  <c r="B10" i="8" s="1"/>
  <c r="B11" i="8" s="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W115" i="7"/>
  <c r="BR115" i="7"/>
  <c r="BM115" i="7"/>
  <c r="BC115" i="7"/>
  <c r="AX115" i="7"/>
  <c r="AS115" i="7"/>
  <c r="AN115" i="7"/>
  <c r="AI115" i="7"/>
  <c r="AD115" i="7"/>
  <c r="BW114" i="7"/>
  <c r="BR114" i="7"/>
  <c r="BM114" i="7"/>
  <c r="BC114" i="7"/>
  <c r="AX114" i="7"/>
  <c r="AS114" i="7"/>
  <c r="AN114" i="7"/>
  <c r="AI114" i="7"/>
  <c r="AD114" i="7"/>
  <c r="BW113" i="7"/>
  <c r="BR113" i="7"/>
  <c r="BM113" i="7"/>
  <c r="BC113" i="7"/>
  <c r="AX113" i="7"/>
  <c r="AS113" i="7"/>
  <c r="AN113" i="7"/>
  <c r="AI113" i="7"/>
  <c r="AD113" i="7"/>
  <c r="BW112" i="7"/>
  <c r="BR112" i="7"/>
  <c r="BM112" i="7"/>
  <c r="BC112" i="7"/>
  <c r="AX112" i="7"/>
  <c r="AS112" i="7"/>
  <c r="AN112" i="7"/>
  <c r="AI112" i="7"/>
  <c r="AD112" i="7"/>
  <c r="BW111" i="7"/>
  <c r="BR111" i="7"/>
  <c r="BM111" i="7"/>
  <c r="BC111" i="7"/>
  <c r="AX111" i="7"/>
  <c r="AS111" i="7"/>
  <c r="AN111" i="7"/>
  <c r="AI111" i="7"/>
  <c r="AD111" i="7"/>
  <c r="BW110" i="7"/>
  <c r="BR110" i="7"/>
  <c r="BM110" i="7"/>
  <c r="BC110" i="7"/>
  <c r="AX110" i="7"/>
  <c r="AS110" i="7"/>
  <c r="AN110" i="7"/>
  <c r="AI110" i="7"/>
  <c r="AD110" i="7"/>
  <c r="BW109" i="7"/>
  <c r="BR109" i="7"/>
  <c r="BM109" i="7"/>
  <c r="BC109" i="7"/>
  <c r="AX109" i="7"/>
  <c r="AS109" i="7"/>
  <c r="AN109" i="7"/>
  <c r="AI109" i="7"/>
  <c r="AD109" i="7"/>
  <c r="BW108" i="7"/>
  <c r="BR108" i="7"/>
  <c r="BM108" i="7"/>
  <c r="BC108" i="7"/>
  <c r="AX108" i="7"/>
  <c r="AS108" i="7"/>
  <c r="AN108" i="7"/>
  <c r="AI108" i="7"/>
  <c r="AD108" i="7"/>
  <c r="BW107" i="7"/>
  <c r="BR107" i="7"/>
  <c r="BM107" i="7"/>
  <c r="BC107" i="7"/>
  <c r="AX107" i="7"/>
  <c r="AS107" i="7"/>
  <c r="AN107" i="7"/>
  <c r="AI107" i="7"/>
  <c r="AD107" i="7"/>
  <c r="BW106" i="7"/>
  <c r="BR106" i="7"/>
  <c r="BM106" i="7"/>
  <c r="BC106" i="7"/>
  <c r="AX106" i="7"/>
  <c r="AS106" i="7"/>
  <c r="AN106" i="7"/>
  <c r="AI106" i="7"/>
  <c r="AD106" i="7"/>
  <c r="U106" i="7"/>
  <c r="T106" i="7"/>
  <c r="S106" i="7"/>
  <c r="Q106" i="7"/>
  <c r="X106" i="7" s="1"/>
  <c r="N106" i="7"/>
  <c r="P106" i="7" s="1"/>
  <c r="M106" i="7"/>
  <c r="BW105" i="7"/>
  <c r="BR105" i="7"/>
  <c r="BM105" i="7"/>
  <c r="BC105" i="7"/>
  <c r="AX105" i="7"/>
  <c r="AS105" i="7"/>
  <c r="AN105" i="7"/>
  <c r="AI105" i="7"/>
  <c r="AD105" i="7"/>
  <c r="U105" i="7"/>
  <c r="T105" i="7"/>
  <c r="S105" i="7"/>
  <c r="Q105" i="7"/>
  <c r="X105" i="7" s="1"/>
  <c r="N105" i="7"/>
  <c r="P105" i="7" s="1"/>
  <c r="BW104" i="7"/>
  <c r="BR104" i="7"/>
  <c r="BM104" i="7"/>
  <c r="BC104" i="7"/>
  <c r="AX104" i="7"/>
  <c r="AS104" i="7"/>
  <c r="AN104" i="7"/>
  <c r="AI104" i="7"/>
  <c r="AD104" i="7"/>
  <c r="U104" i="7"/>
  <c r="T104" i="7"/>
  <c r="S104" i="7"/>
  <c r="Q104" i="7"/>
  <c r="X104" i="7" s="1"/>
  <c r="N104" i="7"/>
  <c r="P104" i="7" s="1"/>
  <c r="BW103" i="7"/>
  <c r="BR103" i="7"/>
  <c r="BM103" i="7"/>
  <c r="BC103" i="7"/>
  <c r="AX103" i="7"/>
  <c r="AS103" i="7"/>
  <c r="AN103" i="7"/>
  <c r="AI103" i="7"/>
  <c r="AD103" i="7"/>
  <c r="U103" i="7"/>
  <c r="T103" i="7"/>
  <c r="S103" i="7"/>
  <c r="Q103" i="7"/>
  <c r="X103" i="7" s="1"/>
  <c r="N103" i="7"/>
  <c r="P103" i="7" s="1"/>
  <c r="BW102" i="7"/>
  <c r="BR102" i="7"/>
  <c r="BM102" i="7"/>
  <c r="BC102" i="7"/>
  <c r="AX102" i="7"/>
  <c r="AS102" i="7"/>
  <c r="AN102" i="7"/>
  <c r="AI102" i="7"/>
  <c r="AD102" i="7"/>
  <c r="U102" i="7"/>
  <c r="T102" i="7"/>
  <c r="S102" i="7"/>
  <c r="Q102" i="7"/>
  <c r="X102" i="7" s="1"/>
  <c r="N102" i="7"/>
  <c r="P102" i="7" s="1"/>
  <c r="M102" i="7"/>
  <c r="BW101" i="7"/>
  <c r="BR101" i="7"/>
  <c r="BM101" i="7"/>
  <c r="BC101" i="7"/>
  <c r="AX101" i="7"/>
  <c r="AS101" i="7"/>
  <c r="AN101" i="7"/>
  <c r="AI101" i="7"/>
  <c r="AD101" i="7"/>
  <c r="U101" i="7"/>
  <c r="T101" i="7"/>
  <c r="S101" i="7"/>
  <c r="Q101" i="7"/>
  <c r="X101" i="7" s="1"/>
  <c r="N101" i="7"/>
  <c r="P101" i="7" s="1"/>
  <c r="BW100" i="7"/>
  <c r="BR100" i="7"/>
  <c r="BM100" i="7"/>
  <c r="BC100" i="7"/>
  <c r="AX100" i="7"/>
  <c r="AS100" i="7"/>
  <c r="AN100" i="7"/>
  <c r="AI100" i="7"/>
  <c r="AD100" i="7"/>
  <c r="U100" i="7"/>
  <c r="T100" i="7"/>
  <c r="S100" i="7"/>
  <c r="Q100" i="7"/>
  <c r="X100" i="7" s="1"/>
  <c r="N100" i="7"/>
  <c r="P100" i="7" s="1"/>
  <c r="BW99" i="7"/>
  <c r="BR99" i="7"/>
  <c r="BM99" i="7"/>
  <c r="BC99" i="7"/>
  <c r="AX99" i="7"/>
  <c r="AS99" i="7"/>
  <c r="AN99" i="7"/>
  <c r="AI99" i="7"/>
  <c r="AD99" i="7"/>
  <c r="X99" i="7"/>
  <c r="U99" i="7"/>
  <c r="T99" i="7"/>
  <c r="S99" i="7"/>
  <c r="N99" i="7"/>
  <c r="P99" i="7" s="1"/>
  <c r="M99" i="7"/>
  <c r="BW98" i="7"/>
  <c r="BR98" i="7"/>
  <c r="BM98" i="7"/>
  <c r="BC98" i="7"/>
  <c r="AX98" i="7"/>
  <c r="AS98" i="7"/>
  <c r="AN98" i="7"/>
  <c r="AI98" i="7"/>
  <c r="AD98" i="7"/>
  <c r="U98" i="7"/>
  <c r="T98" i="7"/>
  <c r="S98" i="7"/>
  <c r="Q98" i="7"/>
  <c r="X98" i="7" s="1"/>
  <c r="N98" i="7"/>
  <c r="P98" i="7" s="1"/>
  <c r="BW97" i="7"/>
  <c r="BR97" i="7"/>
  <c r="BM97" i="7"/>
  <c r="BC97" i="7"/>
  <c r="AX97" i="7"/>
  <c r="AS97" i="7"/>
  <c r="AN97" i="7"/>
  <c r="AI97" i="7"/>
  <c r="AD97" i="7"/>
  <c r="U97" i="7"/>
  <c r="T97" i="7"/>
  <c r="S97" i="7"/>
  <c r="Q97" i="7"/>
  <c r="X97" i="7" s="1"/>
  <c r="N97" i="7"/>
  <c r="P97" i="7" s="1"/>
  <c r="BW96" i="7"/>
  <c r="BR96" i="7"/>
  <c r="BM96" i="7"/>
  <c r="BC96" i="7"/>
  <c r="AX96" i="7"/>
  <c r="AS96" i="7"/>
  <c r="AN96" i="7"/>
  <c r="AI96" i="7"/>
  <c r="AD96" i="7"/>
  <c r="U96" i="7"/>
  <c r="T96" i="7"/>
  <c r="S96" i="7"/>
  <c r="Q96" i="7"/>
  <c r="X96" i="7" s="1"/>
  <c r="N96" i="7"/>
  <c r="P96" i="7" s="1"/>
  <c r="BW95" i="7"/>
  <c r="BR95" i="7"/>
  <c r="BM95" i="7"/>
  <c r="BC95" i="7"/>
  <c r="AX95" i="7"/>
  <c r="AS95" i="7"/>
  <c r="AN95" i="7"/>
  <c r="AI95" i="7"/>
  <c r="AD95" i="7"/>
  <c r="U95" i="7"/>
  <c r="T95" i="7"/>
  <c r="S95" i="7"/>
  <c r="Q95" i="7"/>
  <c r="X95" i="7" s="1"/>
  <c r="N95" i="7"/>
  <c r="P95" i="7" s="1"/>
  <c r="BW94" i="7"/>
  <c r="BR94" i="7"/>
  <c r="BM94" i="7"/>
  <c r="BC94" i="7"/>
  <c r="AX94" i="7"/>
  <c r="AS94" i="7"/>
  <c r="AN94" i="7"/>
  <c r="AI94" i="7"/>
  <c r="AD94" i="7"/>
  <c r="U94" i="7"/>
  <c r="T94" i="7"/>
  <c r="S94" i="7"/>
  <c r="Q94" i="7"/>
  <c r="X94" i="7" s="1"/>
  <c r="N94" i="7"/>
  <c r="P94" i="7" s="1"/>
  <c r="BW93" i="7"/>
  <c r="BR93" i="7"/>
  <c r="BM93" i="7"/>
  <c r="BC93" i="7"/>
  <c r="AX93" i="7"/>
  <c r="AS93" i="7"/>
  <c r="AN93" i="7"/>
  <c r="AI93" i="7"/>
  <c r="AD93" i="7"/>
  <c r="U93" i="7"/>
  <c r="T93" i="7"/>
  <c r="S93" i="7"/>
  <c r="Q93" i="7"/>
  <c r="X93" i="7" s="1"/>
  <c r="N93" i="7"/>
  <c r="P93" i="7" s="1"/>
  <c r="BW92" i="7"/>
  <c r="BR92" i="7"/>
  <c r="BM92" i="7"/>
  <c r="BC92" i="7"/>
  <c r="AX92" i="7"/>
  <c r="AS92" i="7"/>
  <c r="AN92" i="7"/>
  <c r="AI92" i="7"/>
  <c r="AD92" i="7"/>
  <c r="U92" i="7"/>
  <c r="T92" i="7"/>
  <c r="S92" i="7"/>
  <c r="Q92" i="7"/>
  <c r="X92" i="7" s="1"/>
  <c r="N92" i="7"/>
  <c r="P92" i="7" s="1"/>
  <c r="BW91" i="7"/>
  <c r="BR91" i="7"/>
  <c r="BM91" i="7"/>
  <c r="BC91" i="7"/>
  <c r="AX91" i="7"/>
  <c r="AS91" i="7"/>
  <c r="AN91" i="7"/>
  <c r="AI91" i="7"/>
  <c r="AD91" i="7"/>
  <c r="U91" i="7"/>
  <c r="T91" i="7"/>
  <c r="S91" i="7"/>
  <c r="Q91" i="7"/>
  <c r="X91" i="7" s="1"/>
  <c r="N91" i="7"/>
  <c r="P91" i="7" s="1"/>
  <c r="BW90" i="7"/>
  <c r="BR90" i="7"/>
  <c r="BM90" i="7"/>
  <c r="BC90" i="7"/>
  <c r="AX90" i="7"/>
  <c r="AS90" i="7"/>
  <c r="AN90" i="7"/>
  <c r="AI90" i="7"/>
  <c r="AD90" i="7"/>
  <c r="U90" i="7"/>
  <c r="T90" i="7"/>
  <c r="S90" i="7"/>
  <c r="Q90" i="7"/>
  <c r="X90" i="7" s="1"/>
  <c r="N90" i="7"/>
  <c r="P90" i="7" s="1"/>
  <c r="BW89" i="7"/>
  <c r="BR89" i="7"/>
  <c r="BM89" i="7"/>
  <c r="BC89" i="7"/>
  <c r="AX89" i="7"/>
  <c r="AS89" i="7"/>
  <c r="AN89" i="7"/>
  <c r="AI89" i="7"/>
  <c r="AD89" i="7"/>
  <c r="U89" i="7"/>
  <c r="T89" i="7"/>
  <c r="S89" i="7"/>
  <c r="Q89" i="7"/>
  <c r="X89" i="7" s="1"/>
  <c r="N89" i="7"/>
  <c r="P89" i="7" s="1"/>
  <c r="M89" i="7"/>
  <c r="BW88" i="7"/>
  <c r="BR88" i="7"/>
  <c r="BM88" i="7"/>
  <c r="BC88" i="7"/>
  <c r="AX88" i="7"/>
  <c r="AS88" i="7"/>
  <c r="AN88" i="7"/>
  <c r="AI88" i="7"/>
  <c r="AD88" i="7"/>
  <c r="U88" i="7"/>
  <c r="T88" i="7"/>
  <c r="S88" i="7"/>
  <c r="Q88" i="7"/>
  <c r="X88" i="7" s="1"/>
  <c r="N88" i="7"/>
  <c r="P88" i="7" s="1"/>
  <c r="BW87" i="7"/>
  <c r="BR87" i="7"/>
  <c r="BM87" i="7"/>
  <c r="BC87" i="7"/>
  <c r="AX87" i="7"/>
  <c r="AS87" i="7"/>
  <c r="AN87" i="7"/>
  <c r="AI87" i="7"/>
  <c r="AD87" i="7"/>
  <c r="U87" i="7"/>
  <c r="T87" i="7"/>
  <c r="S87" i="7"/>
  <c r="Q87" i="7"/>
  <c r="X87" i="7" s="1"/>
  <c r="N87" i="7"/>
  <c r="P87" i="7" s="1"/>
  <c r="BW86" i="7"/>
  <c r="BR86" i="7"/>
  <c r="BM86" i="7"/>
  <c r="BC86" i="7"/>
  <c r="AX86" i="7"/>
  <c r="AS86" i="7"/>
  <c r="AN86" i="7"/>
  <c r="AI86" i="7"/>
  <c r="AD86" i="7"/>
  <c r="U86" i="7"/>
  <c r="T86" i="7"/>
  <c r="S86" i="7"/>
  <c r="Q86" i="7"/>
  <c r="X86" i="7" s="1"/>
  <c r="N86" i="7"/>
  <c r="P86" i="7" s="1"/>
  <c r="BW85" i="7"/>
  <c r="BR85" i="7"/>
  <c r="BM85" i="7"/>
  <c r="BC85" i="7"/>
  <c r="AX85" i="7"/>
  <c r="AS85" i="7"/>
  <c r="AN85" i="7"/>
  <c r="AI85" i="7"/>
  <c r="AD85" i="7"/>
  <c r="U85" i="7"/>
  <c r="T85" i="7"/>
  <c r="S85" i="7"/>
  <c r="Q85" i="7"/>
  <c r="X85" i="7" s="1"/>
  <c r="N85" i="7"/>
  <c r="P85" i="7" s="1"/>
  <c r="BW84" i="7"/>
  <c r="BR84" i="7"/>
  <c r="BM84" i="7"/>
  <c r="BC84" i="7"/>
  <c r="AX84" i="7"/>
  <c r="AS84" i="7"/>
  <c r="AN84" i="7"/>
  <c r="AI84" i="7"/>
  <c r="AD84" i="7"/>
  <c r="V84" i="7"/>
  <c r="X84" i="7" s="1"/>
  <c r="U84" i="7"/>
  <c r="T84" i="7"/>
  <c r="S84" i="7"/>
  <c r="N84" i="7"/>
  <c r="P84" i="7" s="1"/>
  <c r="BW83" i="7"/>
  <c r="BR83" i="7"/>
  <c r="BM83" i="7"/>
  <c r="BC83" i="7"/>
  <c r="AX83" i="7"/>
  <c r="AS83" i="7"/>
  <c r="AN83" i="7"/>
  <c r="AI83" i="7"/>
  <c r="AD83" i="7"/>
  <c r="U83" i="7"/>
  <c r="T83" i="7"/>
  <c r="S83" i="7"/>
  <c r="Q83" i="7"/>
  <c r="X83" i="7" s="1"/>
  <c r="N83" i="7"/>
  <c r="P83" i="7" s="1"/>
  <c r="BW82" i="7"/>
  <c r="BR82" i="7"/>
  <c r="BM82" i="7"/>
  <c r="BC82" i="7"/>
  <c r="AX82" i="7"/>
  <c r="AS82" i="7"/>
  <c r="AN82" i="7"/>
  <c r="AI82" i="7"/>
  <c r="AD82" i="7"/>
  <c r="U82" i="7"/>
  <c r="T82" i="7"/>
  <c r="S82" i="7"/>
  <c r="Q82" i="7"/>
  <c r="X82" i="7" s="1"/>
  <c r="N82" i="7"/>
  <c r="P82" i="7" s="1"/>
  <c r="BW81" i="7"/>
  <c r="BR81" i="7"/>
  <c r="BM81" i="7"/>
  <c r="BC81" i="7"/>
  <c r="AX81" i="7"/>
  <c r="AS81" i="7"/>
  <c r="AN81" i="7"/>
  <c r="AI81" i="7"/>
  <c r="AD81" i="7"/>
  <c r="U81" i="7"/>
  <c r="T81" i="7"/>
  <c r="S81" i="7"/>
  <c r="Q81" i="7"/>
  <c r="X81" i="7" s="1"/>
  <c r="N81" i="7"/>
  <c r="P81" i="7" s="1"/>
  <c r="BW80" i="7"/>
  <c r="BR80" i="7"/>
  <c r="BM80" i="7"/>
  <c r="BC80" i="7"/>
  <c r="AX80" i="7"/>
  <c r="AS80" i="7"/>
  <c r="AN80" i="7"/>
  <c r="AI80" i="7"/>
  <c r="AD80" i="7"/>
  <c r="U80" i="7"/>
  <c r="T80" i="7"/>
  <c r="S80" i="7"/>
  <c r="Q80" i="7"/>
  <c r="X80" i="7" s="1"/>
  <c r="N80" i="7"/>
  <c r="P80" i="7" s="1"/>
  <c r="BW79" i="7"/>
  <c r="BR79" i="7"/>
  <c r="BM79" i="7"/>
  <c r="BC79" i="7"/>
  <c r="AX79" i="7"/>
  <c r="AS79" i="7"/>
  <c r="AN79" i="7"/>
  <c r="AI79" i="7"/>
  <c r="AD79" i="7"/>
  <c r="U79" i="7"/>
  <c r="T79" i="7"/>
  <c r="S79" i="7"/>
  <c r="Q79" i="7"/>
  <c r="X79" i="7" s="1"/>
  <c r="N79" i="7"/>
  <c r="P79" i="7" s="1"/>
  <c r="BW78" i="7"/>
  <c r="BR78" i="7"/>
  <c r="BM78" i="7"/>
  <c r="BC78" i="7"/>
  <c r="AX78" i="7"/>
  <c r="AS78" i="7"/>
  <c r="AN78" i="7"/>
  <c r="AI78" i="7"/>
  <c r="AD78" i="7"/>
  <c r="U78" i="7"/>
  <c r="T78" i="7"/>
  <c r="S78" i="7"/>
  <c r="Q78" i="7"/>
  <c r="X78" i="7" s="1"/>
  <c r="N78" i="7"/>
  <c r="P78" i="7" s="1"/>
  <c r="BW77" i="7"/>
  <c r="BR77" i="7"/>
  <c r="BM77" i="7"/>
  <c r="BC77" i="7"/>
  <c r="AX77" i="7"/>
  <c r="AS77" i="7"/>
  <c r="AN77" i="7"/>
  <c r="AI77" i="7"/>
  <c r="AD77" i="7"/>
  <c r="U77" i="7"/>
  <c r="T77" i="7"/>
  <c r="S77" i="7"/>
  <c r="Q77" i="7"/>
  <c r="X77" i="7" s="1"/>
  <c r="N77" i="7"/>
  <c r="P77" i="7" s="1"/>
  <c r="BW76" i="7"/>
  <c r="BR76" i="7"/>
  <c r="BM76" i="7"/>
  <c r="BC76" i="7"/>
  <c r="AX76" i="7"/>
  <c r="AS76" i="7"/>
  <c r="AN76" i="7"/>
  <c r="AI76" i="7"/>
  <c r="AD76" i="7"/>
  <c r="U76" i="7"/>
  <c r="T76" i="7"/>
  <c r="S76" i="7"/>
  <c r="Q76" i="7"/>
  <c r="X76" i="7" s="1"/>
  <c r="N76" i="7"/>
  <c r="P76" i="7" s="1"/>
  <c r="BW75" i="7"/>
  <c r="BR75" i="7"/>
  <c r="BM75" i="7"/>
  <c r="BC75" i="7"/>
  <c r="AX75" i="7"/>
  <c r="AS75" i="7"/>
  <c r="AN75" i="7"/>
  <c r="AI75" i="7"/>
  <c r="AD75" i="7"/>
  <c r="U75" i="7"/>
  <c r="T75" i="7"/>
  <c r="S75" i="7"/>
  <c r="Q75" i="7"/>
  <c r="X75" i="7" s="1"/>
  <c r="N75" i="7"/>
  <c r="P75" i="7" s="1"/>
  <c r="BW74" i="7"/>
  <c r="BR74" i="7"/>
  <c r="BM74" i="7"/>
  <c r="BC74" i="7"/>
  <c r="AX74" i="7"/>
  <c r="AS74" i="7"/>
  <c r="AN74" i="7"/>
  <c r="AI74" i="7"/>
  <c r="AD74" i="7"/>
  <c r="V74" i="7"/>
  <c r="U74" i="7"/>
  <c r="T74" i="7"/>
  <c r="S74" i="7"/>
  <c r="Q74" i="7"/>
  <c r="X74" i="7" s="1"/>
  <c r="N74" i="7"/>
  <c r="P74" i="7" s="1"/>
  <c r="M74" i="7"/>
  <c r="BW73" i="7"/>
  <c r="BR73" i="7"/>
  <c r="BM73" i="7"/>
  <c r="BC73" i="7"/>
  <c r="AX73" i="7"/>
  <c r="AS73" i="7"/>
  <c r="AN73" i="7"/>
  <c r="AI73" i="7"/>
  <c r="AD73" i="7"/>
  <c r="U73" i="7"/>
  <c r="T73" i="7"/>
  <c r="S73" i="7"/>
  <c r="Q73" i="7"/>
  <c r="X73" i="7" s="1"/>
  <c r="N73" i="7"/>
  <c r="P73" i="7" s="1"/>
  <c r="M73" i="7"/>
  <c r="BW72" i="7"/>
  <c r="BR72" i="7"/>
  <c r="BM72" i="7"/>
  <c r="BC72" i="7"/>
  <c r="AX72" i="7"/>
  <c r="AS72" i="7"/>
  <c r="AN72" i="7"/>
  <c r="AI72" i="7"/>
  <c r="AD72" i="7"/>
  <c r="U72" i="7"/>
  <c r="T72" i="7"/>
  <c r="S72" i="7"/>
  <c r="Q72" i="7"/>
  <c r="X72" i="7" s="1"/>
  <c r="N72" i="7"/>
  <c r="P72" i="7" s="1"/>
  <c r="M72" i="7"/>
  <c r="BW71" i="7"/>
  <c r="BR71" i="7"/>
  <c r="BM71" i="7"/>
  <c r="BC71" i="7"/>
  <c r="AX71" i="7"/>
  <c r="AS71" i="7"/>
  <c r="AN71" i="7"/>
  <c r="AI71" i="7"/>
  <c r="AD71" i="7"/>
  <c r="U71" i="7"/>
  <c r="T71" i="7"/>
  <c r="S71" i="7"/>
  <c r="Q71" i="7"/>
  <c r="X71" i="7" s="1"/>
  <c r="N71" i="7"/>
  <c r="P71" i="7" s="1"/>
  <c r="BW70" i="7"/>
  <c r="BR70" i="7"/>
  <c r="BM70" i="7"/>
  <c r="BC70" i="7"/>
  <c r="AX70" i="7"/>
  <c r="AS70" i="7"/>
  <c r="AN70" i="7"/>
  <c r="AI70" i="7"/>
  <c r="AD70" i="7"/>
  <c r="U70" i="7"/>
  <c r="T70" i="7"/>
  <c r="S70" i="7"/>
  <c r="Q70" i="7"/>
  <c r="X70" i="7" s="1"/>
  <c r="N70" i="7"/>
  <c r="P70" i="7" s="1"/>
  <c r="BW69" i="7"/>
  <c r="BR69" i="7"/>
  <c r="BM69" i="7"/>
  <c r="BC69" i="7"/>
  <c r="AX69" i="7"/>
  <c r="AS69" i="7"/>
  <c r="AN69" i="7"/>
  <c r="AI69" i="7"/>
  <c r="AD69" i="7"/>
  <c r="U69" i="7"/>
  <c r="T69" i="7"/>
  <c r="S69" i="7"/>
  <c r="Q69" i="7"/>
  <c r="X69" i="7" s="1"/>
  <c r="N69" i="7"/>
  <c r="P69" i="7" s="1"/>
  <c r="BW68" i="7"/>
  <c r="BR68" i="7"/>
  <c r="BM68" i="7"/>
  <c r="BC68" i="7"/>
  <c r="AX68" i="7"/>
  <c r="AS68" i="7"/>
  <c r="AN68" i="7"/>
  <c r="AI68" i="7"/>
  <c r="AD68" i="7"/>
  <c r="V68" i="7"/>
  <c r="U68" i="7"/>
  <c r="T68" i="7"/>
  <c r="S68" i="7"/>
  <c r="Q68" i="7"/>
  <c r="X68" i="7" s="1"/>
  <c r="N68" i="7"/>
  <c r="P68" i="7" s="1"/>
  <c r="BW67" i="7"/>
  <c r="BR67" i="7"/>
  <c r="BM67" i="7"/>
  <c r="BC67" i="7"/>
  <c r="AX67" i="7"/>
  <c r="AS67" i="7"/>
  <c r="AN67" i="7"/>
  <c r="AI67" i="7"/>
  <c r="AD67" i="7"/>
  <c r="U67" i="7"/>
  <c r="T67" i="7"/>
  <c r="S67" i="7"/>
  <c r="Q67" i="7"/>
  <c r="X67" i="7" s="1"/>
  <c r="N67" i="7"/>
  <c r="P67" i="7" s="1"/>
  <c r="BW66" i="7"/>
  <c r="BR66" i="7"/>
  <c r="BM66" i="7"/>
  <c r="BC66" i="7"/>
  <c r="AX66" i="7"/>
  <c r="AS66" i="7"/>
  <c r="AN66" i="7"/>
  <c r="AI66" i="7"/>
  <c r="AD66" i="7"/>
  <c r="V66" i="7"/>
  <c r="U66" i="7"/>
  <c r="T66" i="7"/>
  <c r="S66" i="7"/>
  <c r="Q66" i="7"/>
  <c r="X66" i="7" s="1"/>
  <c r="N66" i="7"/>
  <c r="P66" i="7" s="1"/>
  <c r="BW65" i="7"/>
  <c r="BR65" i="7"/>
  <c r="BM65" i="7"/>
  <c r="BC65" i="7"/>
  <c r="AX65" i="7"/>
  <c r="AS65" i="7"/>
  <c r="AN65" i="7"/>
  <c r="AI65" i="7"/>
  <c r="AD65" i="7"/>
  <c r="U65" i="7"/>
  <c r="T65" i="7"/>
  <c r="S65" i="7"/>
  <c r="Q65" i="7"/>
  <c r="X65" i="7" s="1"/>
  <c r="N65" i="7"/>
  <c r="P65" i="7" s="1"/>
  <c r="BW64" i="7"/>
  <c r="BR64" i="7"/>
  <c r="BM64" i="7"/>
  <c r="BC64" i="7"/>
  <c r="AX64" i="7"/>
  <c r="AS64" i="7"/>
  <c r="AN64" i="7"/>
  <c r="AI64" i="7"/>
  <c r="AD64" i="7"/>
  <c r="U64" i="7"/>
  <c r="T64" i="7"/>
  <c r="S64" i="7"/>
  <c r="Q64" i="7"/>
  <c r="X64" i="7" s="1"/>
  <c r="N64" i="7"/>
  <c r="P64" i="7" s="1"/>
  <c r="BW63" i="7"/>
  <c r="BR63" i="7"/>
  <c r="BM63" i="7"/>
  <c r="BC63" i="7"/>
  <c r="AX63" i="7"/>
  <c r="AS63" i="7"/>
  <c r="AN63" i="7"/>
  <c r="AI63" i="7"/>
  <c r="AD63" i="7"/>
  <c r="U63" i="7"/>
  <c r="T63" i="7"/>
  <c r="S63" i="7"/>
  <c r="Q63" i="7"/>
  <c r="X63" i="7" s="1"/>
  <c r="N63" i="7"/>
  <c r="P63" i="7" s="1"/>
  <c r="BW62" i="7"/>
  <c r="BR62" i="7"/>
  <c r="BM62" i="7"/>
  <c r="BC62" i="7"/>
  <c r="AX62" i="7"/>
  <c r="AS62" i="7"/>
  <c r="AN62" i="7"/>
  <c r="AI62" i="7"/>
  <c r="AD62" i="7"/>
  <c r="V62" i="7"/>
  <c r="U62" i="7"/>
  <c r="T62" i="7"/>
  <c r="S62" i="7"/>
  <c r="Q62" i="7"/>
  <c r="X62" i="7" s="1"/>
  <c r="N62" i="7"/>
  <c r="P62" i="7" s="1"/>
  <c r="BW61" i="7"/>
  <c r="BR61" i="7"/>
  <c r="BM61" i="7"/>
  <c r="BC61" i="7"/>
  <c r="AX61" i="7"/>
  <c r="AS61" i="7"/>
  <c r="AN61" i="7"/>
  <c r="AI61" i="7"/>
  <c r="AD61" i="7"/>
  <c r="U61" i="7"/>
  <c r="T61" i="7"/>
  <c r="S61" i="7"/>
  <c r="Q61" i="7"/>
  <c r="X61" i="7" s="1"/>
  <c r="N61" i="7"/>
  <c r="P61" i="7" s="1"/>
  <c r="M61" i="7"/>
  <c r="BW60" i="7"/>
  <c r="BR60" i="7"/>
  <c r="BM60" i="7"/>
  <c r="BC60" i="7"/>
  <c r="AX60" i="7"/>
  <c r="AS60" i="7"/>
  <c r="AN60" i="7"/>
  <c r="AI60" i="7"/>
  <c r="AD60" i="7"/>
  <c r="U60" i="7"/>
  <c r="T60" i="7"/>
  <c r="S60" i="7"/>
  <c r="Q60" i="7"/>
  <c r="X60" i="7" s="1"/>
  <c r="N60" i="7"/>
  <c r="P60" i="7" s="1"/>
  <c r="M60" i="7"/>
  <c r="BW59" i="7"/>
  <c r="BR59" i="7"/>
  <c r="BM59" i="7"/>
  <c r="BC59" i="7"/>
  <c r="AX59" i="7"/>
  <c r="AS59" i="7"/>
  <c r="AN59" i="7"/>
  <c r="AI59" i="7"/>
  <c r="AD59" i="7"/>
  <c r="V59" i="7"/>
  <c r="U59" i="7"/>
  <c r="T59" i="7"/>
  <c r="S59" i="7"/>
  <c r="Q59" i="7"/>
  <c r="X59" i="7" s="1"/>
  <c r="N59" i="7"/>
  <c r="P59" i="7" s="1"/>
  <c r="BW58" i="7"/>
  <c r="BR58" i="7"/>
  <c r="BM58" i="7"/>
  <c r="BC58" i="7"/>
  <c r="AX58" i="7"/>
  <c r="AS58" i="7"/>
  <c r="AN58" i="7"/>
  <c r="AI58" i="7"/>
  <c r="AD58" i="7"/>
  <c r="U58" i="7"/>
  <c r="T58" i="7"/>
  <c r="S58" i="7"/>
  <c r="Q58" i="7"/>
  <c r="X58" i="7" s="1"/>
  <c r="N58" i="7"/>
  <c r="P58" i="7" s="1"/>
  <c r="BW57" i="7"/>
  <c r="BR57" i="7"/>
  <c r="BM57" i="7"/>
  <c r="BC57" i="7"/>
  <c r="AX57" i="7"/>
  <c r="AS57" i="7"/>
  <c r="AN57" i="7"/>
  <c r="AI57" i="7"/>
  <c r="AD57" i="7"/>
  <c r="U57" i="7"/>
  <c r="T57" i="7"/>
  <c r="S57" i="7"/>
  <c r="Q57" i="7"/>
  <c r="N57" i="7"/>
  <c r="BW56" i="7"/>
  <c r="BR56" i="7"/>
  <c r="BM56" i="7"/>
  <c r="BC56" i="7"/>
  <c r="AX56" i="7"/>
  <c r="AS56" i="7"/>
  <c r="AN56" i="7"/>
  <c r="AI56" i="7"/>
  <c r="AD56" i="7"/>
  <c r="U56" i="7"/>
  <c r="T56" i="7"/>
  <c r="S56" i="7"/>
  <c r="Q56" i="7"/>
  <c r="N56" i="7"/>
  <c r="BW55" i="7"/>
  <c r="BR55" i="7"/>
  <c r="BM55" i="7"/>
  <c r="BC55" i="7"/>
  <c r="AX55" i="7"/>
  <c r="AS55" i="7"/>
  <c r="AN55" i="7"/>
  <c r="AI55" i="7"/>
  <c r="AD55" i="7"/>
  <c r="U55" i="7"/>
  <c r="T55" i="7"/>
  <c r="S55" i="7"/>
  <c r="Q55" i="7"/>
  <c r="N55" i="7"/>
  <c r="BW54" i="7"/>
  <c r="BR54" i="7"/>
  <c r="BM54" i="7"/>
  <c r="BC54" i="7"/>
  <c r="AX54" i="7"/>
  <c r="AS54" i="7"/>
  <c r="AN54" i="7"/>
  <c r="AI54" i="7"/>
  <c r="AD54" i="7"/>
  <c r="V54" i="7"/>
  <c r="U54" i="7"/>
  <c r="T54" i="7"/>
  <c r="S54" i="7"/>
  <c r="Q54" i="7"/>
  <c r="N54" i="7"/>
  <c r="BW53" i="7"/>
  <c r="BR53" i="7"/>
  <c r="BM53" i="7"/>
  <c r="BC53" i="7"/>
  <c r="AX53" i="7"/>
  <c r="AS53" i="7"/>
  <c r="AN53" i="7"/>
  <c r="AI53" i="7"/>
  <c r="AD53" i="7"/>
  <c r="V53" i="7"/>
  <c r="U53" i="7"/>
  <c r="T53" i="7"/>
  <c r="S53" i="7"/>
  <c r="Q53" i="7"/>
  <c r="N53" i="7"/>
  <c r="M53" i="7"/>
  <c r="BW52" i="7"/>
  <c r="BR52" i="7"/>
  <c r="BM52" i="7"/>
  <c r="BC52" i="7"/>
  <c r="AX52" i="7"/>
  <c r="AS52" i="7"/>
  <c r="AN52" i="7"/>
  <c r="AI52" i="7"/>
  <c r="AD52" i="7"/>
  <c r="U52" i="7"/>
  <c r="T52" i="7"/>
  <c r="S52" i="7"/>
  <c r="Q52" i="7"/>
  <c r="N52" i="7"/>
  <c r="M52" i="7"/>
  <c r="BW51" i="7"/>
  <c r="BR51" i="7"/>
  <c r="BM51" i="7"/>
  <c r="BC51" i="7"/>
  <c r="AX51" i="7"/>
  <c r="AS51" i="7"/>
  <c r="AN51" i="7"/>
  <c r="AI51" i="7"/>
  <c r="AD51" i="7"/>
  <c r="U51" i="7"/>
  <c r="T51" i="7"/>
  <c r="S51" i="7"/>
  <c r="Q51" i="7"/>
  <c r="N51" i="7"/>
  <c r="M51" i="7"/>
  <c r="BW50" i="7"/>
  <c r="BR50" i="7"/>
  <c r="BM50" i="7"/>
  <c r="BC50" i="7"/>
  <c r="AX50" i="7"/>
  <c r="AS50" i="7"/>
  <c r="AN50" i="7"/>
  <c r="AI50" i="7"/>
  <c r="AD50" i="7"/>
  <c r="U50" i="7"/>
  <c r="T50" i="7"/>
  <c r="S50" i="7"/>
  <c r="Q50" i="7"/>
  <c r="N50" i="7"/>
  <c r="BW49" i="7"/>
  <c r="BR49" i="7"/>
  <c r="BM49" i="7"/>
  <c r="BC49" i="7"/>
  <c r="AX49" i="7"/>
  <c r="AS49" i="7"/>
  <c r="AN49" i="7"/>
  <c r="AI49" i="7"/>
  <c r="AD49" i="7"/>
  <c r="U49" i="7"/>
  <c r="T49" i="7"/>
  <c r="S49" i="7"/>
  <c r="Q49" i="7"/>
  <c r="N49" i="7"/>
  <c r="BW48" i="7"/>
  <c r="BR48" i="7"/>
  <c r="BM48" i="7"/>
  <c r="BC48" i="7"/>
  <c r="AX48" i="7"/>
  <c r="AS48" i="7"/>
  <c r="AN48" i="7"/>
  <c r="AI48" i="7"/>
  <c r="AD48" i="7"/>
  <c r="U48" i="7"/>
  <c r="T48" i="7"/>
  <c r="S48" i="7"/>
  <c r="Q48" i="7"/>
  <c r="N48" i="7"/>
  <c r="BW47" i="7"/>
  <c r="BR47" i="7"/>
  <c r="BM47" i="7"/>
  <c r="BC47" i="7"/>
  <c r="AX47" i="7"/>
  <c r="AS47" i="7"/>
  <c r="AN47" i="7"/>
  <c r="AI47" i="7"/>
  <c r="AD47" i="7"/>
  <c r="U47" i="7"/>
  <c r="T47" i="7"/>
  <c r="S47" i="7"/>
  <c r="Q47" i="7"/>
  <c r="N47" i="7"/>
  <c r="BW46" i="7"/>
  <c r="BR46" i="7"/>
  <c r="BM46" i="7"/>
  <c r="BC46" i="7"/>
  <c r="AX46" i="7"/>
  <c r="AS46" i="7"/>
  <c r="AN46" i="7"/>
  <c r="AI46" i="7"/>
  <c r="AD46" i="7"/>
  <c r="U46" i="7"/>
  <c r="T46" i="7"/>
  <c r="S46" i="7"/>
  <c r="Q46" i="7"/>
  <c r="N46" i="7"/>
  <c r="BW45" i="7"/>
  <c r="BR45" i="7"/>
  <c r="BM45" i="7"/>
  <c r="BC45" i="7"/>
  <c r="AX45" i="7"/>
  <c r="AS45" i="7"/>
  <c r="AN45" i="7"/>
  <c r="AI45" i="7"/>
  <c r="AD45" i="7"/>
  <c r="U45" i="7"/>
  <c r="T45" i="7"/>
  <c r="S45" i="7"/>
  <c r="Q45" i="7"/>
  <c r="N45" i="7"/>
  <c r="BW44" i="7"/>
  <c r="BR44" i="7"/>
  <c r="BM44" i="7"/>
  <c r="BC44" i="7"/>
  <c r="AX44" i="7"/>
  <c r="AS44" i="7"/>
  <c r="AN44" i="7"/>
  <c r="AI44" i="7"/>
  <c r="AD44" i="7"/>
  <c r="U44" i="7"/>
  <c r="T44" i="7"/>
  <c r="S44" i="7"/>
  <c r="Q44" i="7"/>
  <c r="N44" i="7"/>
  <c r="BW43" i="7"/>
  <c r="BR43" i="7"/>
  <c r="BM43" i="7"/>
  <c r="BC43" i="7"/>
  <c r="AX43" i="7"/>
  <c r="AS43" i="7"/>
  <c r="AN43" i="7"/>
  <c r="AI43" i="7"/>
  <c r="AD43" i="7"/>
  <c r="U43" i="7"/>
  <c r="T43" i="7"/>
  <c r="S43" i="7"/>
  <c r="Q43" i="7"/>
  <c r="N43" i="7"/>
  <c r="M43" i="7"/>
  <c r="BW42" i="7"/>
  <c r="BR42" i="7"/>
  <c r="BM42" i="7"/>
  <c r="BC42" i="7"/>
  <c r="AX42" i="7"/>
  <c r="AS42" i="7"/>
  <c r="AN42" i="7"/>
  <c r="AI42" i="7"/>
  <c r="AD42" i="7"/>
  <c r="V42" i="7"/>
  <c r="U42" i="7"/>
  <c r="T42" i="7"/>
  <c r="S42" i="7"/>
  <c r="Q42" i="7"/>
  <c r="N42" i="7"/>
  <c r="M42" i="7"/>
  <c r="BW41" i="7"/>
  <c r="BR41" i="7"/>
  <c r="BM41" i="7"/>
  <c r="BC41" i="7"/>
  <c r="AX41" i="7"/>
  <c r="AS41" i="7"/>
  <c r="AN41" i="7"/>
  <c r="AI41" i="7"/>
  <c r="AD41" i="7"/>
  <c r="U41" i="7"/>
  <c r="T41" i="7"/>
  <c r="S41" i="7"/>
  <c r="Q41" i="7"/>
  <c r="N41" i="7"/>
  <c r="BW40" i="7"/>
  <c r="BR40" i="7"/>
  <c r="BM40" i="7"/>
  <c r="BC40" i="7"/>
  <c r="AX40" i="7"/>
  <c r="AS40" i="7"/>
  <c r="AN40" i="7"/>
  <c r="AI40" i="7"/>
  <c r="AD40" i="7"/>
  <c r="V40" i="7"/>
  <c r="U40" i="7"/>
  <c r="T40" i="7"/>
  <c r="S40" i="7"/>
  <c r="Q40" i="7"/>
  <c r="N40" i="7"/>
  <c r="BC39" i="7"/>
  <c r="AX39" i="7"/>
  <c r="AS39" i="7"/>
  <c r="AN39" i="7"/>
  <c r="AI39" i="7"/>
  <c r="AD39" i="7"/>
  <c r="U39" i="7"/>
  <c r="T39" i="7"/>
  <c r="S39" i="7"/>
  <c r="Q39" i="7"/>
  <c r="N39" i="7"/>
  <c r="BC38" i="7"/>
  <c r="AX38" i="7"/>
  <c r="AS38" i="7"/>
  <c r="AN38" i="7"/>
  <c r="AI38" i="7"/>
  <c r="AD38" i="7"/>
  <c r="U38" i="7"/>
  <c r="T38" i="7"/>
  <c r="S38" i="7"/>
  <c r="Q38" i="7"/>
  <c r="N38" i="7"/>
  <c r="M38" i="7"/>
  <c r="BC37" i="7"/>
  <c r="AX37" i="7"/>
  <c r="AS37" i="7"/>
  <c r="AN37" i="7"/>
  <c r="AI37" i="7"/>
  <c r="AD37" i="7"/>
  <c r="U37" i="7"/>
  <c r="T37" i="7"/>
  <c r="S37" i="7"/>
  <c r="Q37" i="7"/>
  <c r="W37" i="7" s="1"/>
  <c r="N37" i="7"/>
  <c r="BC36" i="7"/>
  <c r="AX36" i="7"/>
  <c r="AS36" i="7"/>
  <c r="AN36" i="7"/>
  <c r="AI36" i="7"/>
  <c r="AD36" i="7"/>
  <c r="U36" i="7"/>
  <c r="T36" i="7"/>
  <c r="S36" i="7"/>
  <c r="Q36" i="7"/>
  <c r="N36" i="7"/>
  <c r="BC35" i="7"/>
  <c r="AX35" i="7"/>
  <c r="AS35" i="7"/>
  <c r="AN35" i="7"/>
  <c r="AI35" i="7"/>
  <c r="AD35" i="7"/>
  <c r="U35" i="7"/>
  <c r="T35" i="7"/>
  <c r="S35" i="7"/>
  <c r="Q35" i="7"/>
  <c r="N35" i="7"/>
  <c r="BC34" i="7"/>
  <c r="AX34" i="7"/>
  <c r="AS34" i="7"/>
  <c r="AN34" i="7"/>
  <c r="AI34" i="7"/>
  <c r="AD34" i="7"/>
  <c r="V34" i="7"/>
  <c r="U34" i="7"/>
  <c r="T34" i="7"/>
  <c r="S34" i="7"/>
  <c r="Q34" i="7"/>
  <c r="N34" i="7"/>
  <c r="BC33" i="7"/>
  <c r="AX33" i="7"/>
  <c r="AS33" i="7"/>
  <c r="AN33" i="7"/>
  <c r="AI33" i="7"/>
  <c r="AD33" i="7"/>
  <c r="U33" i="7"/>
  <c r="T33" i="7"/>
  <c r="S33" i="7"/>
  <c r="Q33" i="7"/>
  <c r="N33" i="7"/>
  <c r="M33" i="7"/>
  <c r="BC32" i="7"/>
  <c r="AX32" i="7"/>
  <c r="AS32" i="7"/>
  <c r="AN32" i="7"/>
  <c r="AI32" i="7"/>
  <c r="AD32" i="7"/>
  <c r="U32" i="7"/>
  <c r="T32" i="7"/>
  <c r="S32" i="7"/>
  <c r="Q32" i="7"/>
  <c r="N32" i="7"/>
  <c r="M32" i="7"/>
  <c r="BC31" i="7"/>
  <c r="AX31" i="7"/>
  <c r="AN31" i="7"/>
  <c r="AI31" i="7"/>
  <c r="AD31" i="7"/>
  <c r="U31" i="7"/>
  <c r="T31" i="7"/>
  <c r="S31" i="7"/>
  <c r="Q31" i="7"/>
  <c r="N31" i="7"/>
  <c r="BC30" i="7"/>
  <c r="AX30" i="7"/>
  <c r="AS30" i="7"/>
  <c r="AN30" i="7"/>
  <c r="AI30" i="7"/>
  <c r="AD30" i="7"/>
  <c r="U30" i="7"/>
  <c r="T30" i="7"/>
  <c r="S30" i="7"/>
  <c r="Q30" i="7"/>
  <c r="N30" i="7"/>
  <c r="BC29" i="7"/>
  <c r="AX29" i="7"/>
  <c r="AS29" i="7"/>
  <c r="AN29" i="7"/>
  <c r="AD29" i="7"/>
  <c r="U29" i="7"/>
  <c r="T29" i="7"/>
  <c r="S29" i="7"/>
  <c r="Q29" i="7"/>
  <c r="N29" i="7"/>
  <c r="BC28" i="7"/>
  <c r="AX28" i="7"/>
  <c r="AS28" i="7"/>
  <c r="AN28" i="7"/>
  <c r="AD28" i="7"/>
  <c r="U28" i="7"/>
  <c r="T28" i="7"/>
  <c r="S28" i="7"/>
  <c r="Q28" i="7"/>
  <c r="N28" i="7"/>
  <c r="BC27" i="7"/>
  <c r="AD27" i="7"/>
  <c r="U27" i="7"/>
  <c r="T27" i="7"/>
  <c r="S27" i="7"/>
  <c r="Q27" i="7"/>
  <c r="N27" i="7"/>
  <c r="M27" i="7"/>
  <c r="BC26" i="7"/>
  <c r="AS26" i="7"/>
  <c r="AD26" i="7"/>
  <c r="U26" i="7"/>
  <c r="T26" i="7"/>
  <c r="S26" i="7"/>
  <c r="Q26" i="7"/>
  <c r="N26" i="7"/>
  <c r="M26" i="7"/>
  <c r="BC25" i="7"/>
  <c r="AX25" i="7"/>
  <c r="AS25" i="7"/>
  <c r="AN25" i="7"/>
  <c r="AD25" i="7"/>
  <c r="U25" i="7"/>
  <c r="T25" i="7"/>
  <c r="S25" i="7"/>
  <c r="Q25" i="7"/>
  <c r="N25" i="7"/>
  <c r="BC24" i="7"/>
  <c r="AX24" i="7"/>
  <c r="AS24" i="7"/>
  <c r="AN24" i="7"/>
  <c r="AD24" i="7"/>
  <c r="V24" i="7"/>
  <c r="U24" i="7"/>
  <c r="T24" i="7"/>
  <c r="S24" i="7"/>
  <c r="Q24" i="7"/>
  <c r="N24" i="7"/>
  <c r="BC23" i="7"/>
  <c r="AX23" i="7"/>
  <c r="AS23" i="7"/>
  <c r="AN23" i="7"/>
  <c r="AI23" i="7"/>
  <c r="AD23" i="7"/>
  <c r="U23" i="7"/>
  <c r="T23" i="7"/>
  <c r="S23" i="7"/>
  <c r="Q23" i="7"/>
  <c r="N23" i="7"/>
  <c r="BC22" i="7"/>
  <c r="AX22" i="7"/>
  <c r="AS22" i="7"/>
  <c r="AN22" i="7"/>
  <c r="AI22" i="7"/>
  <c r="AD22" i="7"/>
  <c r="U22" i="7"/>
  <c r="T22" i="7"/>
  <c r="S22" i="7"/>
  <c r="Q22" i="7"/>
  <c r="N22" i="7"/>
  <c r="BC21" i="7"/>
  <c r="AX21" i="7"/>
  <c r="AS21" i="7"/>
  <c r="AN21" i="7"/>
  <c r="AI21" i="7"/>
  <c r="AD21" i="7"/>
  <c r="V21" i="7"/>
  <c r="U21" i="7"/>
  <c r="T21" i="7"/>
  <c r="S21" i="7"/>
  <c r="Q21" i="7"/>
  <c r="N21" i="7"/>
  <c r="BC20" i="7"/>
  <c r="AX20" i="7"/>
  <c r="AS20" i="7"/>
  <c r="AN20" i="7"/>
  <c r="AI20" i="7"/>
  <c r="AD20" i="7"/>
  <c r="U20" i="7"/>
  <c r="T20" i="7"/>
  <c r="S20" i="7"/>
  <c r="Q20" i="7"/>
  <c r="N20" i="7"/>
  <c r="M20" i="7"/>
  <c r="BC19" i="7"/>
  <c r="AX19" i="7"/>
  <c r="AS19" i="7"/>
  <c r="AN19" i="7"/>
  <c r="AI19" i="7"/>
  <c r="AD19" i="7"/>
  <c r="U19" i="7"/>
  <c r="T19" i="7"/>
  <c r="S19" i="7"/>
  <c r="Q19" i="7"/>
  <c r="N19" i="7"/>
  <c r="BC18" i="7"/>
  <c r="AX18" i="7"/>
  <c r="AS18" i="7"/>
  <c r="AN18" i="7"/>
  <c r="AI18" i="7"/>
  <c r="AD18" i="7"/>
  <c r="U18" i="7"/>
  <c r="T18" i="7"/>
  <c r="S18" i="7"/>
  <c r="Q18" i="7"/>
  <c r="N18" i="7"/>
  <c r="M18" i="7"/>
  <c r="BC17" i="7"/>
  <c r="AX17" i="7"/>
  <c r="AS17" i="7"/>
  <c r="AN17" i="7"/>
  <c r="AI17" i="7"/>
  <c r="AD17" i="7"/>
  <c r="U17" i="7"/>
  <c r="T17" i="7"/>
  <c r="S17" i="7"/>
  <c r="Q17" i="7"/>
  <c r="N17" i="7"/>
  <c r="M17" i="7"/>
  <c r="BC16" i="7"/>
  <c r="AX16" i="7"/>
  <c r="AS16" i="7"/>
  <c r="AN16" i="7"/>
  <c r="AI16" i="7"/>
  <c r="AD16" i="7"/>
  <c r="U16" i="7"/>
  <c r="T16" i="7"/>
  <c r="S16" i="7"/>
  <c r="Q16" i="7"/>
  <c r="N16" i="7"/>
  <c r="BC15" i="7"/>
  <c r="AX15" i="7"/>
  <c r="AS15" i="7"/>
  <c r="AN15" i="7"/>
  <c r="AI15" i="7"/>
  <c r="AD15" i="7"/>
  <c r="V15" i="7"/>
  <c r="U15" i="7"/>
  <c r="T15" i="7"/>
  <c r="S15" i="7"/>
  <c r="Q15" i="7"/>
  <c r="N15" i="7"/>
  <c r="BW14" i="7"/>
  <c r="BR14" i="7"/>
  <c r="BM14" i="7"/>
  <c r="BH14" i="7"/>
  <c r="BC14" i="7"/>
  <c r="AX14" i="7"/>
  <c r="AS14" i="7"/>
  <c r="AN14" i="7"/>
  <c r="AI14" i="7"/>
  <c r="AD14" i="7"/>
  <c r="U14" i="7"/>
  <c r="T14" i="7"/>
  <c r="S14" i="7"/>
  <c r="Q14" i="7"/>
  <c r="N14" i="7"/>
  <c r="BW13" i="7"/>
  <c r="BR13" i="7"/>
  <c r="BM13" i="7"/>
  <c r="BH13" i="7"/>
  <c r="BC13" i="7"/>
  <c r="AX13" i="7"/>
  <c r="AS13" i="7"/>
  <c r="AN13" i="7"/>
  <c r="AI13" i="7"/>
  <c r="AD13" i="7"/>
  <c r="U13" i="7"/>
  <c r="T13" i="7"/>
  <c r="S13" i="7"/>
  <c r="Q13" i="7"/>
  <c r="N13" i="7"/>
  <c r="BW12" i="7"/>
  <c r="BR12" i="7"/>
  <c r="BM12" i="7"/>
  <c r="BH12" i="7"/>
  <c r="BC12" i="7"/>
  <c r="AX12" i="7"/>
  <c r="AS12" i="7"/>
  <c r="AN12" i="7"/>
  <c r="AI12" i="7"/>
  <c r="AD12" i="7"/>
  <c r="U12" i="7"/>
  <c r="T12" i="7"/>
  <c r="S12" i="7"/>
  <c r="Q12" i="7"/>
  <c r="N12" i="7"/>
  <c r="BW11" i="7"/>
  <c r="BR11" i="7"/>
  <c r="BM11" i="7"/>
  <c r="BH11" i="7"/>
  <c r="BC11" i="7"/>
  <c r="AX11" i="7"/>
  <c r="AS11" i="7"/>
  <c r="AN11" i="7"/>
  <c r="AI11" i="7"/>
  <c r="AD11" i="7"/>
  <c r="U11" i="7"/>
  <c r="T11" i="7"/>
  <c r="S11" i="7"/>
  <c r="Q11" i="7"/>
  <c r="N11" i="7"/>
  <c r="BW10" i="7"/>
  <c r="BR10" i="7"/>
  <c r="BM10" i="7"/>
  <c r="BH10" i="7"/>
  <c r="BC10" i="7"/>
  <c r="AX10" i="7"/>
  <c r="AS10" i="7"/>
  <c r="AN10" i="7"/>
  <c r="AI10" i="7"/>
  <c r="AD10" i="7"/>
  <c r="U10" i="7"/>
  <c r="T10" i="7"/>
  <c r="S10" i="7"/>
  <c r="Q10" i="7"/>
  <c r="N10" i="7"/>
  <c r="M10" i="7"/>
  <c r="BW9" i="7"/>
  <c r="BR9" i="7"/>
  <c r="BM9" i="7"/>
  <c r="BH9" i="7"/>
  <c r="BC9" i="7"/>
  <c r="AX9" i="7"/>
  <c r="AS9" i="7"/>
  <c r="AN9" i="7"/>
  <c r="AI9" i="7"/>
  <c r="AD9" i="7"/>
  <c r="U9" i="7"/>
  <c r="T9" i="7"/>
  <c r="S9" i="7"/>
  <c r="Q9" i="7"/>
  <c r="N9" i="7"/>
  <c r="BW8" i="7"/>
  <c r="BR8" i="7"/>
  <c r="BM8" i="7"/>
  <c r="BH8" i="7"/>
  <c r="BC8" i="7"/>
  <c r="AX8" i="7"/>
  <c r="AS8" i="7"/>
  <c r="AN8" i="7"/>
  <c r="AI8" i="7"/>
  <c r="AD8" i="7"/>
  <c r="U8" i="7"/>
  <c r="T8" i="7"/>
  <c r="S8" i="7"/>
  <c r="Q8" i="7"/>
  <c r="N8" i="7"/>
  <c r="M8" i="7"/>
  <c r="BW7" i="7"/>
  <c r="BR7" i="7"/>
  <c r="BM7" i="7"/>
  <c r="BH7" i="7"/>
  <c r="BC7" i="7"/>
  <c r="AX7" i="7"/>
  <c r="AS7" i="7"/>
  <c r="AN7" i="7"/>
  <c r="AI7" i="7"/>
  <c r="AD7" i="7"/>
  <c r="U7" i="7"/>
  <c r="T7" i="7"/>
  <c r="S7" i="7"/>
  <c r="Q7" i="7"/>
  <c r="N7" i="7"/>
  <c r="M7" i="7"/>
  <c r="BW6" i="7"/>
  <c r="BR6" i="7"/>
  <c r="BM6" i="7"/>
  <c r="BH6" i="7"/>
  <c r="BC6" i="7"/>
  <c r="AX6" i="7"/>
  <c r="AS6" i="7"/>
  <c r="AN6" i="7"/>
  <c r="AI6" i="7"/>
  <c r="AD6" i="7"/>
  <c r="U6" i="7"/>
  <c r="T6" i="7"/>
  <c r="S6" i="7"/>
  <c r="Q6" i="7"/>
  <c r="W6" i="7" s="1"/>
  <c r="N6" i="7"/>
  <c r="M6" i="7"/>
  <c r="BW5" i="7"/>
  <c r="BR5" i="7"/>
  <c r="BM5" i="7"/>
  <c r="BH5" i="7"/>
  <c r="BC5" i="7"/>
  <c r="AX5" i="7"/>
  <c r="AS5" i="7"/>
  <c r="AN5" i="7"/>
  <c r="AI5" i="7"/>
  <c r="AD5" i="7"/>
  <c r="U5" i="7"/>
  <c r="T5" i="7"/>
  <c r="S5" i="7"/>
  <c r="Q5" i="7"/>
  <c r="N5" i="7"/>
  <c r="M5" i="7"/>
  <c r="BW4" i="7"/>
  <c r="BR4" i="7"/>
  <c r="BM4" i="7"/>
  <c r="BH4" i="7"/>
  <c r="BC4" i="7"/>
  <c r="AX4" i="7"/>
  <c r="AS4" i="7"/>
  <c r="AN4" i="7"/>
  <c r="AI4" i="7"/>
  <c r="AD4" i="7"/>
  <c r="U4" i="7"/>
  <c r="T4" i="7"/>
  <c r="S4" i="7"/>
  <c r="Q4" i="7"/>
  <c r="N4" i="7"/>
  <c r="B4" i="7"/>
  <c r="B5" i="7" s="1"/>
  <c r="B6" i="7" s="1"/>
  <c r="B7" i="7" s="1"/>
  <c r="B8" i="7" s="1"/>
  <c r="B9" i="7" s="1"/>
  <c r="B10" i="7" s="1"/>
  <c r="B11" i="7" s="1"/>
  <c r="B12" i="7" s="1"/>
  <c r="B13" i="7" s="1"/>
  <c r="B14" i="7" s="1"/>
  <c r="B15" i="7" s="1"/>
  <c r="B16" i="7" s="1"/>
  <c r="B17" i="7" s="1"/>
  <c r="B18" i="7" s="1"/>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57" i="7" s="1"/>
  <c r="B58" i="7" s="1"/>
  <c r="B59" i="7" s="1"/>
  <c r="B60" i="7" s="1"/>
  <c r="B61" i="7" s="1"/>
  <c r="B62" i="7" s="1"/>
  <c r="B63" i="7" s="1"/>
  <c r="B64" i="7" s="1"/>
  <c r="B65" i="7" s="1"/>
  <c r="B66" i="7" s="1"/>
  <c r="B67" i="7" s="1"/>
  <c r="B68" i="7" s="1"/>
  <c r="B69" i="7" s="1"/>
  <c r="B70" i="7" s="1"/>
  <c r="B71" i="7" s="1"/>
  <c r="B72" i="7" s="1"/>
  <c r="B73" i="7" s="1"/>
  <c r="B74" i="7" s="1"/>
  <c r="B75" i="7" s="1"/>
  <c r="B76" i="7" s="1"/>
  <c r="B77" i="7" s="1"/>
  <c r="B78" i="7" s="1"/>
  <c r="B79" i="7" s="1"/>
  <c r="B80" i="7" s="1"/>
  <c r="B81" i="7" s="1"/>
  <c r="B82" i="7" s="1"/>
  <c r="B83" i="7" s="1"/>
  <c r="B84" i="7" s="1"/>
  <c r="B85" i="7" s="1"/>
  <c r="B86" i="7" s="1"/>
  <c r="B87" i="7" s="1"/>
  <c r="B88" i="7" s="1"/>
  <c r="B89" i="7" s="1"/>
  <c r="B90" i="7" s="1"/>
  <c r="B91" i="7" s="1"/>
  <c r="B92" i="7" s="1"/>
  <c r="B93" i="7" s="1"/>
  <c r="B94" i="7" s="1"/>
  <c r="B95" i="7" s="1"/>
  <c r="B96" i="7" s="1"/>
  <c r="B97" i="7" s="1"/>
  <c r="B98" i="7" s="1"/>
  <c r="B99" i="7" s="1"/>
  <c r="B100" i="7" s="1"/>
  <c r="B101" i="7" s="1"/>
  <c r="B102" i="7" s="1"/>
  <c r="B103" i="7" s="1"/>
  <c r="B104" i="7" s="1"/>
  <c r="B105" i="7" s="1"/>
  <c r="B106" i="7" s="1"/>
  <c r="BW3" i="7"/>
  <c r="BR3" i="7"/>
  <c r="BM3" i="7"/>
  <c r="BH3" i="7"/>
  <c r="BC3" i="7"/>
  <c r="AX3" i="7"/>
  <c r="AS3" i="7"/>
  <c r="AN3" i="7"/>
  <c r="AI3" i="7"/>
  <c r="AD3" i="7"/>
  <c r="U3" i="7"/>
  <c r="T3" i="7"/>
  <c r="S3" i="7"/>
  <c r="Q3" i="7"/>
  <c r="N3" i="7"/>
  <c r="G77" i="6"/>
  <c r="AN73" i="6"/>
  <c r="AJ73" i="6"/>
  <c r="AF73" i="6"/>
  <c r="AB73" i="6"/>
  <c r="X73" i="6"/>
  <c r="T73" i="6"/>
  <c r="P73" i="6"/>
  <c r="G73" i="6"/>
  <c r="E73" i="6"/>
  <c r="AN72" i="6"/>
  <c r="AJ72" i="6"/>
  <c r="AF72" i="6"/>
  <c r="AB72" i="6"/>
  <c r="X72" i="6"/>
  <c r="T72" i="6"/>
  <c r="P72" i="6"/>
  <c r="G72" i="6"/>
  <c r="E72" i="6"/>
  <c r="AN71" i="6"/>
  <c r="AJ71" i="6"/>
  <c r="AF71" i="6"/>
  <c r="AB71" i="6"/>
  <c r="X71" i="6"/>
  <c r="T71" i="6"/>
  <c r="P71" i="6"/>
  <c r="F71" i="6"/>
  <c r="G71" i="6" s="1"/>
  <c r="E71" i="6"/>
  <c r="AN70" i="6"/>
  <c r="AJ70" i="6"/>
  <c r="AF70" i="6"/>
  <c r="AB70" i="6"/>
  <c r="X70" i="6"/>
  <c r="T70" i="6"/>
  <c r="P70" i="6"/>
  <c r="G70" i="6"/>
  <c r="E70" i="6"/>
  <c r="AN69" i="6"/>
  <c r="AJ69" i="6"/>
  <c r="AF69" i="6"/>
  <c r="AB69" i="6"/>
  <c r="X69" i="6"/>
  <c r="T69" i="6"/>
  <c r="P69" i="6"/>
  <c r="G69" i="6"/>
  <c r="E69" i="6"/>
  <c r="AN68" i="6"/>
  <c r="AJ68" i="6"/>
  <c r="AF68" i="6"/>
  <c r="AB68" i="6"/>
  <c r="X68" i="6"/>
  <c r="T68" i="6"/>
  <c r="P68" i="6"/>
  <c r="G68" i="6"/>
  <c r="E68" i="6"/>
  <c r="AN67" i="6"/>
  <c r="AJ67" i="6"/>
  <c r="AF67" i="6"/>
  <c r="AB67" i="6"/>
  <c r="X67" i="6"/>
  <c r="T67" i="6"/>
  <c r="P67" i="6"/>
  <c r="G67" i="6"/>
  <c r="E67" i="6"/>
  <c r="AN66" i="6"/>
  <c r="AJ66" i="6"/>
  <c r="AF66" i="6"/>
  <c r="AB66" i="6"/>
  <c r="X66" i="6"/>
  <c r="T66" i="6"/>
  <c r="P66" i="6"/>
  <c r="G66" i="6"/>
  <c r="E66" i="6"/>
  <c r="AN65" i="6"/>
  <c r="AJ65" i="6"/>
  <c r="AF65" i="6"/>
  <c r="AB65" i="6"/>
  <c r="X65" i="6"/>
  <c r="T65" i="6"/>
  <c r="P65" i="6"/>
  <c r="G65" i="6"/>
  <c r="E65" i="6"/>
  <c r="AN64" i="6"/>
  <c r="AJ64" i="6"/>
  <c r="AF64" i="6"/>
  <c r="AB64" i="6"/>
  <c r="X64" i="6"/>
  <c r="T64" i="6"/>
  <c r="P64" i="6"/>
  <c r="G64" i="6"/>
  <c r="E64" i="6"/>
  <c r="AN63" i="6"/>
  <c r="AJ63" i="6"/>
  <c r="AF63" i="6"/>
  <c r="AB63" i="6"/>
  <c r="X63" i="6"/>
  <c r="T63" i="6"/>
  <c r="P63" i="6"/>
  <c r="F63" i="6"/>
  <c r="E63" i="6"/>
  <c r="AN62" i="6"/>
  <c r="AJ62" i="6"/>
  <c r="AF62" i="6"/>
  <c r="AB62" i="6"/>
  <c r="X62" i="6"/>
  <c r="T62" i="6"/>
  <c r="P62" i="6"/>
  <c r="G62" i="6"/>
  <c r="E62" i="6"/>
  <c r="AN61" i="6"/>
  <c r="AJ61" i="6"/>
  <c r="AF61" i="6"/>
  <c r="AB61" i="6"/>
  <c r="X61" i="6"/>
  <c r="T61" i="6"/>
  <c r="P61" i="6"/>
  <c r="G61" i="6"/>
  <c r="E61" i="6"/>
  <c r="AN53" i="6"/>
  <c r="AJ53" i="6"/>
  <c r="AF53" i="6"/>
  <c r="AB53" i="6"/>
  <c r="X53" i="6"/>
  <c r="T53" i="6"/>
  <c r="P53" i="6"/>
  <c r="G53" i="6"/>
  <c r="E53" i="6"/>
  <c r="AN52" i="6"/>
  <c r="AJ52" i="6"/>
  <c r="AF52" i="6"/>
  <c r="AB52" i="6"/>
  <c r="X52" i="6"/>
  <c r="T52" i="6"/>
  <c r="P52" i="6"/>
  <c r="G52" i="6"/>
  <c r="E52" i="6"/>
  <c r="G51" i="6"/>
  <c r="AN50" i="6"/>
  <c r="AJ50" i="6"/>
  <c r="AF50" i="6"/>
  <c r="AB50" i="6"/>
  <c r="X50" i="6"/>
  <c r="T50" i="6"/>
  <c r="P50" i="6"/>
  <c r="G50" i="6"/>
  <c r="E50" i="6"/>
  <c r="AN49" i="6"/>
  <c r="AJ49" i="6"/>
  <c r="AF49" i="6"/>
  <c r="AB49" i="6"/>
  <c r="X49" i="6"/>
  <c r="T49" i="6"/>
  <c r="P49" i="6"/>
  <c r="F49" i="6"/>
  <c r="G49" i="6" s="1"/>
  <c r="E49" i="6"/>
  <c r="AN48" i="6"/>
  <c r="AJ48" i="6"/>
  <c r="AF48" i="6"/>
  <c r="AB48" i="6"/>
  <c r="X48" i="6"/>
  <c r="T48" i="6"/>
  <c r="P48" i="6"/>
  <c r="G48" i="6"/>
  <c r="E48" i="6"/>
  <c r="AN47" i="6"/>
  <c r="AJ47" i="6"/>
  <c r="AF47" i="6"/>
  <c r="AB47" i="6"/>
  <c r="X47" i="6"/>
  <c r="T47" i="6"/>
  <c r="P47" i="6"/>
  <c r="G47" i="6"/>
  <c r="E47" i="6"/>
  <c r="AN46" i="6"/>
  <c r="AJ46" i="6"/>
  <c r="AF46" i="6"/>
  <c r="AB46" i="6"/>
  <c r="X46" i="6"/>
  <c r="T46" i="6"/>
  <c r="P46" i="6"/>
  <c r="G46" i="6"/>
  <c r="E46" i="6"/>
  <c r="AN45" i="6"/>
  <c r="AJ45" i="6"/>
  <c r="AF45" i="6"/>
  <c r="AB45" i="6"/>
  <c r="X45" i="6"/>
  <c r="T45" i="6"/>
  <c r="P45" i="6"/>
  <c r="G45" i="6"/>
  <c r="E45" i="6"/>
  <c r="AN44" i="6"/>
  <c r="AJ44" i="6"/>
  <c r="AF44" i="6"/>
  <c r="AB44" i="6"/>
  <c r="X44" i="6"/>
  <c r="T44" i="6"/>
  <c r="P44" i="6"/>
  <c r="F44" i="6"/>
  <c r="E44" i="6"/>
  <c r="AN43" i="6"/>
  <c r="AJ43" i="6"/>
  <c r="AF43" i="6"/>
  <c r="AB43" i="6"/>
  <c r="X43" i="6"/>
  <c r="T43" i="6"/>
  <c r="P43" i="6"/>
  <c r="G43" i="6"/>
  <c r="E43" i="6"/>
  <c r="AN42" i="6"/>
  <c r="AJ42" i="6"/>
  <c r="AF42" i="6"/>
  <c r="AB42" i="6"/>
  <c r="X42" i="6"/>
  <c r="T42" i="6"/>
  <c r="P42" i="6"/>
  <c r="G42" i="6"/>
  <c r="E42" i="6"/>
  <c r="AN41" i="6"/>
  <c r="AJ41" i="6"/>
  <c r="AF41" i="6"/>
  <c r="AB41" i="6"/>
  <c r="X41" i="6"/>
  <c r="T41" i="6"/>
  <c r="P41" i="6"/>
  <c r="G41" i="6"/>
  <c r="E41" i="6"/>
  <c r="AF35" i="6"/>
  <c r="AB35" i="6"/>
  <c r="X35" i="6"/>
  <c r="T35" i="6"/>
  <c r="P35" i="6"/>
  <c r="G35" i="6"/>
  <c r="E35" i="6"/>
  <c r="AF34" i="6"/>
  <c r="AB34" i="6"/>
  <c r="X34" i="6"/>
  <c r="T34" i="6"/>
  <c r="P34" i="6"/>
  <c r="G34" i="6"/>
  <c r="E34" i="6"/>
  <c r="AF33" i="6"/>
  <c r="AB33" i="6"/>
  <c r="X33" i="6"/>
  <c r="T33" i="6"/>
  <c r="P33" i="6"/>
  <c r="G33" i="6"/>
  <c r="E33" i="6"/>
  <c r="AF32" i="6"/>
  <c r="AB32" i="6"/>
  <c r="X32" i="6"/>
  <c r="T32" i="6"/>
  <c r="P32" i="6"/>
  <c r="F32" i="6"/>
  <c r="G32" i="6" s="1"/>
  <c r="E32" i="6"/>
  <c r="AF31" i="6"/>
  <c r="AB31" i="6"/>
  <c r="X31" i="6"/>
  <c r="T31" i="6"/>
  <c r="P31" i="6"/>
  <c r="G31" i="6"/>
  <c r="E31" i="6"/>
  <c r="AF30" i="6"/>
  <c r="AB30" i="6"/>
  <c r="X30" i="6"/>
  <c r="T30" i="6"/>
  <c r="P30" i="6"/>
  <c r="G30" i="6"/>
  <c r="E30" i="6"/>
  <c r="AF29" i="6"/>
  <c r="AB29" i="6"/>
  <c r="X29" i="6"/>
  <c r="T29" i="6"/>
  <c r="P29" i="6"/>
  <c r="G29" i="6"/>
  <c r="E29" i="6"/>
  <c r="AF28" i="6"/>
  <c r="AB28" i="6"/>
  <c r="X28" i="6"/>
  <c r="T28" i="6"/>
  <c r="P28" i="6"/>
  <c r="G28" i="6"/>
  <c r="E28" i="6"/>
  <c r="AF27" i="6"/>
  <c r="AB27" i="6"/>
  <c r="X27" i="6"/>
  <c r="T27" i="6"/>
  <c r="P27" i="6"/>
  <c r="G27" i="6"/>
  <c r="E27" i="6"/>
  <c r="AF26" i="6"/>
  <c r="AB26" i="6"/>
  <c r="X26" i="6"/>
  <c r="T26" i="6"/>
  <c r="P26" i="6"/>
  <c r="G26" i="6"/>
  <c r="E26" i="6"/>
  <c r="AF25" i="6"/>
  <c r="AB25" i="6"/>
  <c r="X25" i="6"/>
  <c r="T25" i="6"/>
  <c r="P25" i="6"/>
  <c r="F25" i="6"/>
  <c r="E25" i="6"/>
  <c r="AF24" i="6"/>
  <c r="AB24" i="6"/>
  <c r="X24" i="6"/>
  <c r="T24" i="6"/>
  <c r="P24" i="6"/>
  <c r="G24" i="6"/>
  <c r="E24" i="6"/>
  <c r="AF23" i="6"/>
  <c r="AB23" i="6"/>
  <c r="X23" i="6"/>
  <c r="T23" i="6"/>
  <c r="P23" i="6"/>
  <c r="G23" i="6"/>
  <c r="E23" i="6"/>
  <c r="AF17" i="6"/>
  <c r="AB17" i="6"/>
  <c r="X17" i="6"/>
  <c r="T17" i="6"/>
  <c r="P17" i="6"/>
  <c r="G17" i="6"/>
  <c r="E17" i="6"/>
  <c r="AF16" i="6"/>
  <c r="AB16" i="6"/>
  <c r="X16" i="6"/>
  <c r="T16" i="6"/>
  <c r="P16" i="6"/>
  <c r="G16" i="6"/>
  <c r="E16" i="6"/>
  <c r="AF15" i="6"/>
  <c r="AB15" i="6"/>
  <c r="X15" i="6"/>
  <c r="T15" i="6"/>
  <c r="P15" i="6"/>
  <c r="G15" i="6"/>
  <c r="E15" i="6"/>
  <c r="AF14" i="6"/>
  <c r="AB14" i="6"/>
  <c r="X14" i="6"/>
  <c r="T14" i="6"/>
  <c r="P14" i="6"/>
  <c r="G14" i="6"/>
  <c r="E14" i="6"/>
  <c r="AF13" i="6"/>
  <c r="AB13" i="6"/>
  <c r="X13" i="6"/>
  <c r="T13" i="6"/>
  <c r="P13" i="6"/>
  <c r="F13" i="6"/>
  <c r="G13" i="6" s="1"/>
  <c r="E13" i="6"/>
  <c r="AF12" i="6"/>
  <c r="AB12" i="6"/>
  <c r="X12" i="6"/>
  <c r="T12" i="6"/>
  <c r="P12" i="6"/>
  <c r="G12" i="6"/>
  <c r="E12" i="6"/>
  <c r="AF11" i="6"/>
  <c r="AB11" i="6"/>
  <c r="X11" i="6"/>
  <c r="T11" i="6"/>
  <c r="P11" i="6"/>
  <c r="G11" i="6"/>
  <c r="E11" i="6"/>
  <c r="AF10" i="6"/>
  <c r="AB10" i="6"/>
  <c r="X10" i="6"/>
  <c r="T10" i="6"/>
  <c r="P10" i="6"/>
  <c r="G10" i="6"/>
  <c r="E10" i="6"/>
  <c r="AF9" i="6"/>
  <c r="AB9" i="6"/>
  <c r="X9" i="6"/>
  <c r="T9" i="6"/>
  <c r="P9" i="6"/>
  <c r="F9" i="6"/>
  <c r="G9" i="6" s="1"/>
  <c r="E9" i="6"/>
  <c r="AF8" i="6"/>
  <c r="AB8" i="6"/>
  <c r="X8" i="6"/>
  <c r="T8" i="6"/>
  <c r="P8" i="6"/>
  <c r="F8" i="6"/>
  <c r="G8" i="6" s="1"/>
  <c r="E8" i="6"/>
  <c r="AF7" i="6"/>
  <c r="AB7" i="6"/>
  <c r="X7" i="6"/>
  <c r="T7" i="6"/>
  <c r="P7" i="6"/>
  <c r="F7" i="6"/>
  <c r="G7" i="6" s="1"/>
  <c r="E7" i="6"/>
  <c r="AF6" i="6"/>
  <c r="AB6" i="6"/>
  <c r="X6" i="6"/>
  <c r="T6" i="6"/>
  <c r="P6" i="6"/>
  <c r="F6" i="6"/>
  <c r="E6" i="6"/>
  <c r="AF5" i="6"/>
  <c r="AB5" i="6"/>
  <c r="X5" i="6"/>
  <c r="T5" i="6"/>
  <c r="P5" i="6"/>
  <c r="G5" i="6"/>
  <c r="E5" i="6"/>
  <c r="AF4" i="6"/>
  <c r="AB4" i="6"/>
  <c r="X4" i="6"/>
  <c r="T4" i="6"/>
  <c r="P4" i="6"/>
  <c r="G4" i="6"/>
  <c r="E4" i="6"/>
  <c r="D1" i="6"/>
  <c r="C1" i="6"/>
  <c r="M127" i="5"/>
  <c r="I127" i="5"/>
  <c r="P127" i="5" s="1"/>
  <c r="B127" i="5"/>
  <c r="M126" i="5"/>
  <c r="H126" i="5"/>
  <c r="I126" i="5" s="1"/>
  <c r="P126" i="5" s="1"/>
  <c r="B126" i="5"/>
  <c r="M125" i="5"/>
  <c r="P125" i="5" s="1"/>
  <c r="I125" i="5"/>
  <c r="B125" i="5"/>
  <c r="M124" i="5"/>
  <c r="I124" i="5"/>
  <c r="P124" i="5" s="1"/>
  <c r="B124" i="5"/>
  <c r="M123" i="5"/>
  <c r="P123" i="5" s="1"/>
  <c r="I123" i="5"/>
  <c r="B123" i="5"/>
  <c r="M122" i="5"/>
  <c r="I122" i="5"/>
  <c r="P122" i="5" s="1"/>
  <c r="B122" i="5"/>
  <c r="P121" i="5"/>
  <c r="M121" i="5"/>
  <c r="B121" i="5"/>
  <c r="M120" i="5"/>
  <c r="P120" i="5" s="1"/>
  <c r="B120" i="5"/>
  <c r="P119" i="5"/>
  <c r="M119" i="5"/>
  <c r="B119" i="5"/>
  <c r="M118" i="5"/>
  <c r="P118" i="5" s="1"/>
  <c r="B118" i="5"/>
  <c r="M117" i="5"/>
  <c r="P117" i="5" s="1"/>
  <c r="B117" i="5"/>
  <c r="P116" i="5"/>
  <c r="M116" i="5"/>
  <c r="B116" i="5"/>
  <c r="P115" i="5"/>
  <c r="M115" i="5"/>
  <c r="B115" i="5"/>
  <c r="P114" i="5"/>
  <c r="M114" i="5"/>
  <c r="B114" i="5"/>
  <c r="P113" i="5"/>
  <c r="M113" i="5"/>
  <c r="B113" i="5"/>
  <c r="M112" i="5"/>
  <c r="P112" i="5" s="1"/>
  <c r="B112" i="5"/>
  <c r="M111" i="5"/>
  <c r="P111" i="5" s="1"/>
  <c r="B111" i="5"/>
  <c r="M110" i="5"/>
  <c r="P110" i="5" s="1"/>
  <c r="B110" i="5"/>
  <c r="M109" i="5"/>
  <c r="P109" i="5" s="1"/>
  <c r="B109" i="5"/>
  <c r="P108" i="5"/>
  <c r="M108" i="5"/>
  <c r="B108" i="5"/>
  <c r="M107" i="5"/>
  <c r="P107" i="5" s="1"/>
  <c r="B107" i="5"/>
  <c r="P106" i="5"/>
  <c r="M106" i="5"/>
  <c r="B106" i="5"/>
  <c r="P105" i="5"/>
  <c r="M105" i="5"/>
  <c r="B105" i="5"/>
  <c r="M104" i="5"/>
  <c r="I104" i="5"/>
  <c r="P104" i="5" s="1"/>
  <c r="B104" i="5"/>
  <c r="M103" i="5"/>
  <c r="P103" i="5" s="1"/>
  <c r="I103" i="5"/>
  <c r="B103" i="5"/>
  <c r="M102" i="5"/>
  <c r="P102" i="5" s="1"/>
  <c r="I102" i="5"/>
  <c r="B102" i="5"/>
  <c r="M101" i="5"/>
  <c r="I101" i="5"/>
  <c r="P101" i="5" s="1"/>
  <c r="B101" i="5"/>
  <c r="M100" i="5"/>
  <c r="H100" i="5"/>
  <c r="I100" i="5" s="1"/>
  <c r="P100" i="5" s="1"/>
  <c r="B100" i="5"/>
  <c r="P99" i="5"/>
  <c r="M99" i="5"/>
  <c r="B99" i="5"/>
  <c r="P98" i="5"/>
  <c r="M98" i="5"/>
  <c r="B98" i="5"/>
  <c r="P97" i="5"/>
  <c r="M97" i="5"/>
  <c r="B97" i="5"/>
  <c r="M96" i="5"/>
  <c r="P96" i="5" s="1"/>
  <c r="B96" i="5"/>
  <c r="P95" i="5"/>
  <c r="M95" i="5"/>
  <c r="B95" i="5"/>
  <c r="P94" i="5"/>
  <c r="M94" i="5"/>
  <c r="B94" i="5"/>
  <c r="M93" i="5"/>
  <c r="P93" i="5" s="1"/>
  <c r="B93" i="5"/>
  <c r="M92" i="5"/>
  <c r="I92" i="5"/>
  <c r="P92" i="5" s="1"/>
  <c r="B92" i="5"/>
  <c r="M91" i="5"/>
  <c r="I91" i="5"/>
  <c r="P91" i="5" s="1"/>
  <c r="B91" i="5"/>
  <c r="M90" i="5"/>
  <c r="I90" i="5"/>
  <c r="P90" i="5" s="1"/>
  <c r="B90" i="5"/>
  <c r="M89" i="5"/>
  <c r="I89" i="5"/>
  <c r="P89" i="5" s="1"/>
  <c r="B89" i="5"/>
  <c r="M88" i="5"/>
  <c r="I88" i="5"/>
  <c r="P88" i="5" s="1"/>
  <c r="H88" i="5"/>
  <c r="B88" i="5"/>
  <c r="M87" i="5"/>
  <c r="P87" i="5" s="1"/>
  <c r="I87" i="5"/>
  <c r="B87" i="5"/>
  <c r="M86" i="5"/>
  <c r="P86" i="5" s="1"/>
  <c r="I86" i="5"/>
  <c r="B86" i="5"/>
  <c r="M85" i="5"/>
  <c r="I85" i="5"/>
  <c r="P85" i="5" s="1"/>
  <c r="B85" i="5"/>
  <c r="M84" i="5"/>
  <c r="H84" i="5"/>
  <c r="I84" i="5" s="1"/>
  <c r="P84" i="5" s="1"/>
  <c r="B84" i="5"/>
  <c r="P83" i="5"/>
  <c r="M83" i="5"/>
  <c r="J83" i="5"/>
  <c r="B83" i="5"/>
  <c r="P82" i="5"/>
  <c r="M82" i="5"/>
  <c r="J82" i="5"/>
  <c r="B82" i="5"/>
  <c r="P81" i="5"/>
  <c r="M81" i="5"/>
  <c r="J81" i="5"/>
  <c r="B81" i="5"/>
  <c r="P80" i="5"/>
  <c r="M80" i="5"/>
  <c r="J80" i="5"/>
  <c r="B80" i="5"/>
  <c r="P79" i="5"/>
  <c r="M79" i="5"/>
  <c r="J79" i="5"/>
  <c r="B79" i="5"/>
  <c r="P78" i="5"/>
  <c r="M78" i="5"/>
  <c r="J78" i="5"/>
  <c r="B78" i="5"/>
  <c r="M77" i="5"/>
  <c r="P77" i="5" s="1"/>
  <c r="J77" i="5"/>
  <c r="B77" i="5"/>
  <c r="P76" i="5"/>
  <c r="M76" i="5"/>
  <c r="J76" i="5"/>
  <c r="B76" i="5"/>
  <c r="P75" i="5"/>
  <c r="M75" i="5"/>
  <c r="J75" i="5"/>
  <c r="B75" i="5"/>
  <c r="M74" i="5"/>
  <c r="P74" i="5" s="1"/>
  <c r="J74" i="5"/>
  <c r="B74" i="5"/>
  <c r="P73" i="5"/>
  <c r="M73" i="5"/>
  <c r="J73" i="5"/>
  <c r="B73" i="5"/>
  <c r="P72" i="5"/>
  <c r="M72" i="5"/>
  <c r="J72" i="5"/>
  <c r="B72" i="5"/>
  <c r="P71" i="5"/>
  <c r="M71" i="5"/>
  <c r="J71" i="5"/>
  <c r="B71" i="5"/>
  <c r="P70" i="5"/>
  <c r="M70" i="5"/>
  <c r="J70" i="5"/>
  <c r="B70" i="5"/>
  <c r="P69" i="5"/>
  <c r="M69" i="5"/>
  <c r="J69" i="5"/>
  <c r="B69" i="5"/>
  <c r="M68" i="5"/>
  <c r="P68" i="5" s="1"/>
  <c r="J68" i="5"/>
  <c r="B68" i="5"/>
  <c r="M67" i="5"/>
  <c r="P67" i="5" s="1"/>
  <c r="J67" i="5"/>
  <c r="B67" i="5"/>
  <c r="M66" i="5"/>
  <c r="P66" i="5" s="1"/>
  <c r="J66" i="5"/>
  <c r="B66" i="5"/>
  <c r="M65" i="5"/>
  <c r="P65" i="5" s="1"/>
  <c r="J65" i="5"/>
  <c r="B65" i="5"/>
  <c r="P64" i="5"/>
  <c r="M64" i="5"/>
  <c r="J64" i="5"/>
  <c r="B64" i="5"/>
  <c r="P63" i="5"/>
  <c r="M63" i="5"/>
  <c r="J63" i="5"/>
  <c r="B63" i="5"/>
  <c r="P62" i="5"/>
  <c r="M62" i="5"/>
  <c r="J62" i="5"/>
  <c r="B62" i="5"/>
  <c r="P61" i="5"/>
  <c r="M61" i="5"/>
  <c r="J61" i="5"/>
  <c r="B61" i="5"/>
  <c r="P60" i="5"/>
  <c r="M60" i="5"/>
  <c r="J60" i="5"/>
  <c r="B60" i="5"/>
  <c r="M59" i="5"/>
  <c r="P59" i="5" s="1"/>
  <c r="J59" i="5"/>
  <c r="B59" i="5"/>
  <c r="P58" i="5"/>
  <c r="M58" i="5"/>
  <c r="J58" i="5"/>
  <c r="B58" i="5"/>
  <c r="P57" i="5"/>
  <c r="M57" i="5"/>
  <c r="J57" i="5"/>
  <c r="B57" i="5"/>
  <c r="P56" i="5"/>
  <c r="M56" i="5"/>
  <c r="J56" i="5"/>
  <c r="B56" i="5"/>
  <c r="P55" i="5"/>
  <c r="M55" i="5"/>
  <c r="J55" i="5"/>
  <c r="B55" i="5"/>
  <c r="P54" i="5"/>
  <c r="M54" i="5"/>
  <c r="J54" i="5"/>
  <c r="B54" i="5"/>
  <c r="P53" i="5"/>
  <c r="M53" i="5"/>
  <c r="J53" i="5"/>
  <c r="B53" i="5"/>
  <c r="P52" i="5"/>
  <c r="M52" i="5"/>
  <c r="J52" i="5"/>
  <c r="B52" i="5"/>
  <c r="M51" i="5"/>
  <c r="P51" i="5" s="1"/>
  <c r="J51" i="5"/>
  <c r="B51" i="5"/>
  <c r="P50" i="5"/>
  <c r="M50" i="5"/>
  <c r="J50" i="5"/>
  <c r="B50" i="5"/>
  <c r="M49" i="5"/>
  <c r="P49" i="5" s="1"/>
  <c r="J49" i="5"/>
  <c r="B49" i="5"/>
  <c r="P48" i="5"/>
  <c r="M48" i="5"/>
  <c r="J48" i="5"/>
  <c r="B48" i="5"/>
  <c r="P47" i="5"/>
  <c r="M47" i="5"/>
  <c r="J47" i="5"/>
  <c r="B47" i="5"/>
  <c r="M46" i="5"/>
  <c r="P46" i="5" s="1"/>
  <c r="J46" i="5"/>
  <c r="B46" i="5"/>
  <c r="P45" i="5"/>
  <c r="M45" i="5"/>
  <c r="J45" i="5"/>
  <c r="B45" i="5"/>
  <c r="M44" i="5"/>
  <c r="P44" i="5" s="1"/>
  <c r="J44" i="5"/>
  <c r="B44" i="5"/>
  <c r="P43" i="5"/>
  <c r="M43" i="5"/>
  <c r="J43" i="5"/>
  <c r="B43" i="5"/>
  <c r="M42" i="5"/>
  <c r="P42" i="5" s="1"/>
  <c r="J42" i="5"/>
  <c r="B42" i="5"/>
  <c r="M41" i="5"/>
  <c r="P41" i="5" s="1"/>
  <c r="J41" i="5"/>
  <c r="B41" i="5"/>
  <c r="P40" i="5"/>
  <c r="M40" i="5"/>
  <c r="J40" i="5"/>
  <c r="B40" i="5"/>
  <c r="P39" i="5"/>
  <c r="M39" i="5"/>
  <c r="J39" i="5"/>
  <c r="B39" i="5"/>
  <c r="P38" i="5"/>
  <c r="M38" i="5"/>
  <c r="J38" i="5"/>
  <c r="B38" i="5"/>
  <c r="P37" i="5"/>
  <c r="M37" i="5"/>
  <c r="J37" i="5"/>
  <c r="B37" i="5"/>
  <c r="M36" i="5"/>
  <c r="J36" i="5"/>
  <c r="B36" i="5"/>
  <c r="P35" i="5"/>
  <c r="M35" i="5"/>
  <c r="J35" i="5"/>
  <c r="B35" i="5"/>
  <c r="P34" i="5"/>
  <c r="M34" i="5"/>
  <c r="J34" i="5"/>
  <c r="B34" i="5"/>
  <c r="M33" i="5"/>
  <c r="P33" i="5" s="1"/>
  <c r="J33" i="5"/>
  <c r="B33" i="5"/>
  <c r="M32" i="5"/>
  <c r="P32" i="5" s="1"/>
  <c r="J32" i="5"/>
  <c r="B32" i="5"/>
  <c r="P31" i="5"/>
  <c r="M31" i="5"/>
  <c r="J31" i="5"/>
  <c r="B31" i="5"/>
  <c r="P30" i="5"/>
  <c r="M30" i="5"/>
  <c r="J30" i="5"/>
  <c r="B30" i="5"/>
  <c r="M29" i="5"/>
  <c r="P29" i="5" s="1"/>
  <c r="J29" i="5"/>
  <c r="B29" i="5"/>
  <c r="P28" i="5"/>
  <c r="M28" i="5"/>
  <c r="J28" i="5"/>
  <c r="B28" i="5"/>
  <c r="P27" i="5"/>
  <c r="M27" i="5"/>
  <c r="J27" i="5"/>
  <c r="B27" i="5"/>
  <c r="P26" i="5"/>
  <c r="M26" i="5"/>
  <c r="J26" i="5"/>
  <c r="B26" i="5"/>
  <c r="M25" i="5"/>
  <c r="P25" i="5" s="1"/>
  <c r="J25" i="5"/>
  <c r="B25" i="5"/>
  <c r="M24" i="5"/>
  <c r="P24" i="5" s="1"/>
  <c r="J24" i="5"/>
  <c r="B24" i="5"/>
  <c r="M23" i="5"/>
  <c r="P23" i="5" s="1"/>
  <c r="J23" i="5"/>
  <c r="B23" i="5"/>
  <c r="P22" i="5"/>
  <c r="M22" i="5"/>
  <c r="J22" i="5"/>
  <c r="B22" i="5"/>
  <c r="P21" i="5"/>
  <c r="M21" i="5"/>
  <c r="J21" i="5"/>
  <c r="B21" i="5"/>
  <c r="P20" i="5"/>
  <c r="M20" i="5"/>
  <c r="J20" i="5"/>
  <c r="B20" i="5"/>
  <c r="M19" i="5"/>
  <c r="P19" i="5" s="1"/>
  <c r="J19" i="5"/>
  <c r="B19" i="5"/>
  <c r="P18" i="5"/>
  <c r="M18" i="5"/>
  <c r="J18" i="5"/>
  <c r="B18" i="5"/>
  <c r="M17" i="5"/>
  <c r="P17" i="5" s="1"/>
  <c r="J17" i="5"/>
  <c r="B17" i="5"/>
  <c r="P16" i="5"/>
  <c r="M16" i="5"/>
  <c r="J16" i="5"/>
  <c r="B16" i="5"/>
  <c r="P15" i="5"/>
  <c r="M15" i="5"/>
  <c r="J15" i="5"/>
  <c r="B15" i="5"/>
  <c r="P14" i="5"/>
  <c r="M14" i="5"/>
  <c r="J14" i="5"/>
  <c r="B14" i="5"/>
  <c r="M13" i="5"/>
  <c r="P13" i="5" s="1"/>
  <c r="J13" i="5"/>
  <c r="B13" i="5"/>
  <c r="P12" i="5"/>
  <c r="M12" i="5"/>
  <c r="J12" i="5"/>
  <c r="B12" i="5"/>
  <c r="P11" i="5"/>
  <c r="M11" i="5"/>
  <c r="J11" i="5"/>
  <c r="B11" i="5"/>
  <c r="P10" i="5"/>
  <c r="M10" i="5"/>
  <c r="J10" i="5"/>
  <c r="B10" i="5"/>
  <c r="M9" i="5"/>
  <c r="P9" i="5" s="1"/>
  <c r="J9" i="5"/>
  <c r="B9" i="5"/>
  <c r="M8" i="5"/>
  <c r="P8" i="5" s="1"/>
  <c r="J8" i="5"/>
  <c r="B8" i="5"/>
  <c r="P7" i="5"/>
  <c r="M7" i="5"/>
  <c r="J7" i="5"/>
  <c r="B7" i="5"/>
  <c r="M6" i="5"/>
  <c r="P6" i="5" s="1"/>
  <c r="J6" i="5"/>
  <c r="B6" i="5"/>
  <c r="M5" i="5"/>
  <c r="P5" i="5" s="1"/>
  <c r="J5" i="5"/>
  <c r="B5" i="5"/>
  <c r="P4" i="5"/>
  <c r="M4" i="5"/>
  <c r="J4" i="5"/>
  <c r="B4" i="5"/>
  <c r="P3" i="5"/>
  <c r="M3" i="5"/>
  <c r="J3" i="5"/>
  <c r="B3" i="5"/>
  <c r="M2" i="5"/>
  <c r="P2" i="5" s="1"/>
  <c r="R1" i="5" s="1"/>
  <c r="J2" i="5"/>
  <c r="B2" i="5"/>
  <c r="S198" i="4"/>
  <c r="S193" i="4"/>
  <c r="S183" i="4"/>
  <c r="S178" i="4"/>
  <c r="S177" i="4"/>
  <c r="S170" i="4"/>
  <c r="S169" i="4"/>
  <c r="S167" i="4"/>
  <c r="S163" i="4"/>
  <c r="S162" i="4"/>
  <c r="S161" i="4"/>
  <c r="S159" i="4"/>
  <c r="S156" i="4"/>
  <c r="S155" i="4"/>
  <c r="S154" i="4"/>
  <c r="S153" i="4"/>
  <c r="S152" i="4"/>
  <c r="S151" i="4"/>
  <c r="S150" i="4"/>
  <c r="S149" i="4"/>
  <c r="S148" i="4"/>
  <c r="S147" i="4"/>
  <c r="O146" i="4"/>
  <c r="S146" i="4" s="1"/>
  <c r="S145" i="4"/>
  <c r="O144" i="4"/>
  <c r="S144" i="4" s="1"/>
  <c r="O143" i="4"/>
  <c r="S143" i="4" s="1"/>
  <c r="S142" i="4"/>
  <c r="O141" i="4"/>
  <c r="S141" i="4" s="1"/>
  <c r="S140" i="4"/>
  <c r="S139" i="4"/>
  <c r="S138" i="4"/>
  <c r="S137" i="4"/>
  <c r="S136" i="4"/>
  <c r="O135" i="4"/>
  <c r="S135" i="4" s="1"/>
  <c r="S134" i="4"/>
  <c r="S133" i="4"/>
  <c r="S132" i="4"/>
  <c r="A132" i="4"/>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O131" i="4"/>
  <c r="S131" i="4" s="1"/>
  <c r="AJ8" i="4" s="1"/>
  <c r="AF130" i="4"/>
  <c r="S130" i="4"/>
  <c r="AF129" i="4"/>
  <c r="S129" i="4"/>
  <c r="AF128" i="4"/>
  <c r="S128" i="4"/>
  <c r="AF127" i="4"/>
  <c r="S127" i="4"/>
  <c r="O126" i="4"/>
  <c r="S125" i="4"/>
  <c r="N125" i="4"/>
  <c r="AF125" i="4" s="1"/>
  <c r="O124" i="4"/>
  <c r="AF123" i="4"/>
  <c r="S123" i="4"/>
  <c r="AF122" i="4"/>
  <c r="S122" i="4"/>
  <c r="O121" i="4"/>
  <c r="AF120" i="4"/>
  <c r="S120" i="4"/>
  <c r="AF119" i="4"/>
  <c r="S119" i="4"/>
  <c r="AF118" i="4"/>
  <c r="S118" i="4"/>
  <c r="AF117" i="4"/>
  <c r="S117" i="4"/>
  <c r="AF116" i="4"/>
  <c r="S116" i="4"/>
  <c r="AF115" i="4"/>
  <c r="S115" i="4"/>
  <c r="S114" i="4"/>
  <c r="N114" i="4"/>
  <c r="AF114" i="4" s="1"/>
  <c r="AF113" i="4"/>
  <c r="S113" i="4"/>
  <c r="AF112" i="4"/>
  <c r="S112" i="4"/>
  <c r="AF111" i="4"/>
  <c r="S111" i="4"/>
  <c r="AF110" i="4"/>
  <c r="S110" i="4"/>
  <c r="AF109" i="4"/>
  <c r="S109" i="4"/>
  <c r="AF108" i="4"/>
  <c r="S108" i="4"/>
  <c r="AF107" i="4"/>
  <c r="S107" i="4"/>
  <c r="A107" i="4"/>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F106" i="4"/>
  <c r="S106" i="4"/>
  <c r="O105" i="4"/>
  <c r="AF103" i="4"/>
  <c r="S103" i="4"/>
  <c r="P102" i="4"/>
  <c r="O101" i="4"/>
  <c r="AF100" i="4"/>
  <c r="S100" i="4"/>
  <c r="O99" i="4"/>
  <c r="O98" i="4"/>
  <c r="AF97" i="4"/>
  <c r="S97" i="4"/>
  <c r="AF96" i="4"/>
  <c r="S96" i="4"/>
  <c r="AF95" i="4"/>
  <c r="S95" i="4"/>
  <c r="O94" i="4"/>
  <c r="O93" i="4"/>
  <c r="AF92" i="4"/>
  <c r="S92" i="4"/>
  <c r="AF91" i="4"/>
  <c r="S91" i="4"/>
  <c r="O90" i="4"/>
  <c r="S89" i="4"/>
  <c r="N89" i="4"/>
  <c r="AF89" i="4" s="1"/>
  <c r="AF88" i="4"/>
  <c r="S88" i="4"/>
  <c r="A88" i="4"/>
  <c r="A89" i="4" s="1"/>
  <c r="A90" i="4" s="1"/>
  <c r="A91" i="4" s="1"/>
  <c r="A92" i="4" s="1"/>
  <c r="A93" i="4" s="1"/>
  <c r="A94" i="4" s="1"/>
  <c r="A95" i="4" s="1"/>
  <c r="A96" i="4" s="1"/>
  <c r="A97" i="4" s="1"/>
  <c r="A98" i="4" s="1"/>
  <c r="A99" i="4" s="1"/>
  <c r="A100" i="4" s="1"/>
  <c r="A101" i="4" s="1"/>
  <c r="A102" i="4" s="1"/>
  <c r="A103" i="4" s="1"/>
  <c r="A104" i="4" s="1"/>
  <c r="A105" i="4" s="1"/>
  <c r="AF87" i="4"/>
  <c r="S87" i="4"/>
  <c r="O86" i="4"/>
  <c r="A86" i="4"/>
  <c r="O85" i="4"/>
  <c r="AF84" i="4"/>
  <c r="S84" i="4"/>
  <c r="A84" i="4"/>
  <c r="AF83" i="4"/>
  <c r="S83" i="4"/>
  <c r="O82" i="4"/>
  <c r="I82" i="4"/>
  <c r="AF81" i="4"/>
  <c r="S81" i="4"/>
  <c r="AD80" i="4"/>
  <c r="AC80" i="4"/>
  <c r="AB80" i="4"/>
  <c r="AA80" i="4"/>
  <c r="Z80" i="4"/>
  <c r="T80" i="4"/>
  <c r="O80" i="4"/>
  <c r="AF79" i="4"/>
  <c r="AD79" i="4"/>
  <c r="AC79" i="4"/>
  <c r="AB79" i="4"/>
  <c r="AA79" i="4"/>
  <c r="Z79" i="4"/>
  <c r="T79" i="4"/>
  <c r="S79" i="4"/>
  <c r="AE79" i="4" s="1"/>
  <c r="AF78" i="4"/>
  <c r="AD78" i="4"/>
  <c r="AC78" i="4"/>
  <c r="AB78" i="4"/>
  <c r="AA78" i="4"/>
  <c r="Z78" i="4"/>
  <c r="T78" i="4"/>
  <c r="S78" i="4"/>
  <c r="AE78" i="4" s="1"/>
  <c r="AD77" i="4"/>
  <c r="AC77" i="4"/>
  <c r="AB77" i="4"/>
  <c r="AA77" i="4"/>
  <c r="Z77" i="4"/>
  <c r="T77" i="4"/>
  <c r="P77" i="4"/>
  <c r="AD76" i="4"/>
  <c r="AC76" i="4"/>
  <c r="AB76" i="4"/>
  <c r="AA76" i="4"/>
  <c r="Z76" i="4"/>
  <c r="T76" i="4"/>
  <c r="O76" i="4"/>
  <c r="AF75" i="4"/>
  <c r="AD75" i="4"/>
  <c r="AC75" i="4"/>
  <c r="AB75" i="4"/>
  <c r="AA75" i="4"/>
  <c r="Z75" i="4"/>
  <c r="T75" i="4"/>
  <c r="S75" i="4"/>
  <c r="AE75" i="4" s="1"/>
  <c r="AD74" i="4"/>
  <c r="AC74" i="4"/>
  <c r="AB74" i="4"/>
  <c r="AA74" i="4"/>
  <c r="Z74" i="4"/>
  <c r="T74" i="4"/>
  <c r="O74" i="4"/>
  <c r="AD73" i="4"/>
  <c r="AC73" i="4"/>
  <c r="AB73" i="4"/>
  <c r="AA73" i="4"/>
  <c r="Z73" i="4"/>
  <c r="T73" i="4"/>
  <c r="O73" i="4"/>
  <c r="AD72" i="4"/>
  <c r="AC72" i="4"/>
  <c r="AB72" i="4"/>
  <c r="AA72" i="4"/>
  <c r="Z72" i="4"/>
  <c r="T72" i="4"/>
  <c r="O72" i="4"/>
  <c r="AD71" i="4"/>
  <c r="AC71" i="4"/>
  <c r="AB71" i="4"/>
  <c r="AA71" i="4"/>
  <c r="Z71" i="4"/>
  <c r="T71" i="4"/>
  <c r="O71" i="4"/>
  <c r="AF70" i="4"/>
  <c r="AD70" i="4"/>
  <c r="AC70" i="4"/>
  <c r="AB70" i="4"/>
  <c r="AA70" i="4"/>
  <c r="Z70" i="4"/>
  <c r="T70" i="4"/>
  <c r="S70" i="4"/>
  <c r="AE70" i="4" s="1"/>
  <c r="AD69" i="4"/>
  <c r="AC69" i="4"/>
  <c r="AB69" i="4"/>
  <c r="AA69" i="4"/>
  <c r="Z69" i="4"/>
  <c r="T69" i="4"/>
  <c r="O69" i="4"/>
  <c r="AD68" i="4"/>
  <c r="AC68" i="4"/>
  <c r="AB68" i="4"/>
  <c r="AA68" i="4"/>
  <c r="Z68" i="4"/>
  <c r="T68" i="4"/>
  <c r="O68" i="4"/>
  <c r="AD67" i="4"/>
  <c r="AC67" i="4"/>
  <c r="AB67" i="4"/>
  <c r="AA67" i="4"/>
  <c r="Z67" i="4"/>
  <c r="T67" i="4"/>
  <c r="O67" i="4"/>
  <c r="AD66" i="4"/>
  <c r="AC66" i="4"/>
  <c r="AB66" i="4"/>
  <c r="AA66" i="4"/>
  <c r="Z66" i="4"/>
  <c r="T66" i="4"/>
  <c r="O66" i="4"/>
  <c r="AD65" i="4"/>
  <c r="AC65" i="4"/>
  <c r="AB65" i="4"/>
  <c r="AA65" i="4"/>
  <c r="Z65" i="4"/>
  <c r="T65" i="4"/>
  <c r="O65" i="4"/>
  <c r="AF64" i="4"/>
  <c r="AD64" i="4"/>
  <c r="AC64" i="4"/>
  <c r="AB64" i="4"/>
  <c r="AA64" i="4"/>
  <c r="Z64" i="4"/>
  <c r="T64" i="4"/>
  <c r="S64" i="4"/>
  <c r="AE64" i="4" s="1"/>
  <c r="AF63" i="4"/>
  <c r="AD63" i="4"/>
  <c r="AC63" i="4"/>
  <c r="AB63" i="4"/>
  <c r="AA63" i="4"/>
  <c r="Z63" i="4"/>
  <c r="T63" i="4"/>
  <c r="S63" i="4"/>
  <c r="AE63" i="4" s="1"/>
  <c r="AD62" i="4"/>
  <c r="AC62" i="4"/>
  <c r="AB62" i="4"/>
  <c r="AA62" i="4"/>
  <c r="Z62" i="4"/>
  <c r="T62" i="4"/>
  <c r="O62" i="4"/>
  <c r="AD61" i="4"/>
  <c r="AC61" i="4"/>
  <c r="AB61" i="4"/>
  <c r="AA61" i="4"/>
  <c r="Z61" i="4"/>
  <c r="T61" i="4"/>
  <c r="O61" i="4"/>
  <c r="AF60" i="4"/>
  <c r="AD60" i="4"/>
  <c r="AC60" i="4"/>
  <c r="AB60" i="4"/>
  <c r="AA60" i="4"/>
  <c r="Z60" i="4"/>
  <c r="T60" i="4"/>
  <c r="S60" i="4"/>
  <c r="AE60" i="4" s="1"/>
  <c r="AD59" i="4"/>
  <c r="AC59" i="4"/>
  <c r="AB59" i="4"/>
  <c r="AA59" i="4"/>
  <c r="Z59" i="4"/>
  <c r="T59" i="4"/>
  <c r="O59" i="4"/>
  <c r="AD58" i="4"/>
  <c r="AC58" i="4"/>
  <c r="AB58" i="4"/>
  <c r="AA58" i="4"/>
  <c r="Z58" i="4"/>
  <c r="T58" i="4"/>
  <c r="O58" i="4"/>
  <c r="AD57" i="4"/>
  <c r="AC57" i="4"/>
  <c r="AB57" i="4"/>
  <c r="AA57" i="4"/>
  <c r="Z57" i="4"/>
  <c r="T57" i="4"/>
  <c r="S57" i="4"/>
  <c r="AE57" i="4" s="1"/>
  <c r="N57" i="4"/>
  <c r="AF57" i="4" s="1"/>
  <c r="AD56" i="4"/>
  <c r="AC56" i="4"/>
  <c r="AB56" i="4"/>
  <c r="AA56" i="4"/>
  <c r="Z56" i="4"/>
  <c r="T56" i="4"/>
  <c r="S56" i="4"/>
  <c r="AE56" i="4" s="1"/>
  <c r="N56" i="4"/>
  <c r="AF56" i="4" s="1"/>
  <c r="AF55" i="4"/>
  <c r="AD55" i="4"/>
  <c r="AC55" i="4"/>
  <c r="AB55" i="4"/>
  <c r="AA55" i="4"/>
  <c r="T55" i="4"/>
  <c r="Z55" i="4" s="1"/>
  <c r="S55" i="4"/>
  <c r="AE55" i="4" s="1"/>
  <c r="AF54" i="4"/>
  <c r="AD54" i="4"/>
  <c r="AC54" i="4"/>
  <c r="AB54" i="4"/>
  <c r="AA54" i="4"/>
  <c r="T54" i="4"/>
  <c r="Z54" i="4" s="1"/>
  <c r="S54" i="4"/>
  <c r="AE54" i="4" s="1"/>
  <c r="AF53" i="4"/>
  <c r="AD53" i="4"/>
  <c r="AC53" i="4"/>
  <c r="AB53" i="4"/>
  <c r="AA53" i="4"/>
  <c r="T53" i="4"/>
  <c r="Z53" i="4" s="1"/>
  <c r="S53" i="4"/>
  <c r="AE53" i="4" s="1"/>
  <c r="AF52" i="4"/>
  <c r="AD52" i="4"/>
  <c r="AC52" i="4"/>
  <c r="AB52" i="4"/>
  <c r="AA52" i="4"/>
  <c r="T52" i="4"/>
  <c r="Z52" i="4" s="1"/>
  <c r="S52" i="4"/>
  <c r="AE52" i="4" s="1"/>
  <c r="AF51" i="4"/>
  <c r="AD51" i="4"/>
  <c r="AC51" i="4"/>
  <c r="AB51" i="4"/>
  <c r="AA51" i="4"/>
  <c r="T51" i="4"/>
  <c r="Z51" i="4" s="1"/>
  <c r="S51" i="4"/>
  <c r="AE51" i="4" s="1"/>
  <c r="AF50" i="4"/>
  <c r="AD50" i="4"/>
  <c r="AC50" i="4"/>
  <c r="AB50" i="4"/>
  <c r="AA50" i="4"/>
  <c r="T50" i="4"/>
  <c r="Z50" i="4" s="1"/>
  <c r="S50" i="4"/>
  <c r="AE50" i="4" s="1"/>
  <c r="AF49" i="4"/>
  <c r="AD49" i="4"/>
  <c r="AC49" i="4"/>
  <c r="AB49" i="4"/>
  <c r="AA49" i="4"/>
  <c r="T49" i="4"/>
  <c r="Z49" i="4" s="1"/>
  <c r="S49" i="4"/>
  <c r="AE49" i="4" s="1"/>
  <c r="AF48" i="4"/>
  <c r="AD48" i="4"/>
  <c r="AC48" i="4"/>
  <c r="AB48" i="4"/>
  <c r="AA48" i="4"/>
  <c r="T48" i="4"/>
  <c r="Z48" i="4" s="1"/>
  <c r="S48" i="4"/>
  <c r="AE48" i="4" s="1"/>
  <c r="AF47" i="4"/>
  <c r="AD47" i="4"/>
  <c r="AC47" i="4"/>
  <c r="AB47" i="4"/>
  <c r="AA47" i="4"/>
  <c r="T47" i="4"/>
  <c r="Z47" i="4" s="1"/>
  <c r="S47" i="4"/>
  <c r="AE47" i="4" s="1"/>
  <c r="AF46" i="4"/>
  <c r="AD46" i="4"/>
  <c r="AC46" i="4"/>
  <c r="AB46" i="4"/>
  <c r="AA46" i="4"/>
  <c r="T46" i="4"/>
  <c r="Z46" i="4" s="1"/>
  <c r="S46" i="4"/>
  <c r="AE46" i="4" s="1"/>
  <c r="AF45" i="4"/>
  <c r="AD45" i="4"/>
  <c r="AC45" i="4"/>
  <c r="AB45" i="4"/>
  <c r="AA45" i="4"/>
  <c r="T45" i="4"/>
  <c r="Z45" i="4" s="1"/>
  <c r="S45" i="4"/>
  <c r="AE45" i="4" s="1"/>
  <c r="AF44" i="4"/>
  <c r="AD44" i="4"/>
  <c r="AC44" i="4"/>
  <c r="AB44" i="4"/>
  <c r="AA44" i="4"/>
  <c r="T44" i="4"/>
  <c r="Z44" i="4" s="1"/>
  <c r="S44" i="4"/>
  <c r="AE44" i="4" s="1"/>
  <c r="AF43" i="4"/>
  <c r="AD43" i="4"/>
  <c r="AC43" i="4"/>
  <c r="AB43" i="4"/>
  <c r="AA43" i="4"/>
  <c r="T43" i="4"/>
  <c r="Z43" i="4" s="1"/>
  <c r="S43" i="4"/>
  <c r="AE43" i="4" s="1"/>
  <c r="AF42" i="4"/>
  <c r="AD42" i="4"/>
  <c r="AC42" i="4"/>
  <c r="AB42" i="4"/>
  <c r="AA42" i="4"/>
  <c r="T42" i="4"/>
  <c r="Z42" i="4" s="1"/>
  <c r="S42" i="4"/>
  <c r="AE42" i="4" s="1"/>
  <c r="AF41" i="4"/>
  <c r="AD41" i="4"/>
  <c r="AC41" i="4"/>
  <c r="AB41" i="4"/>
  <c r="AA41" i="4"/>
  <c r="T41" i="4"/>
  <c r="Z41" i="4" s="1"/>
  <c r="S41" i="4"/>
  <c r="AE41" i="4" s="1"/>
  <c r="AF40" i="4"/>
  <c r="AD40" i="4"/>
  <c r="AC40" i="4"/>
  <c r="AB40" i="4"/>
  <c r="AA40" i="4"/>
  <c r="T40" i="4"/>
  <c r="Z40" i="4" s="1"/>
  <c r="S40" i="4"/>
  <c r="AE40" i="4" s="1"/>
  <c r="AF39" i="4"/>
  <c r="AD39" i="4"/>
  <c r="AC39" i="4"/>
  <c r="AB39" i="4"/>
  <c r="AA39" i="4"/>
  <c r="T39" i="4"/>
  <c r="Z39" i="4" s="1"/>
  <c r="S39" i="4"/>
  <c r="AE39" i="4" s="1"/>
  <c r="AF38" i="4"/>
  <c r="AD38" i="4"/>
  <c r="AC38" i="4"/>
  <c r="AB38" i="4"/>
  <c r="AA38" i="4"/>
  <c r="T38" i="4"/>
  <c r="Z38" i="4" s="1"/>
  <c r="S38" i="4"/>
  <c r="AE38" i="4" s="1"/>
  <c r="AF37" i="4"/>
  <c r="AD37" i="4"/>
  <c r="AC37" i="4"/>
  <c r="AB37" i="4"/>
  <c r="AA37" i="4"/>
  <c r="T37" i="4"/>
  <c r="Z37" i="4" s="1"/>
  <c r="S37" i="4"/>
  <c r="AE37" i="4" s="1"/>
  <c r="AF36" i="4"/>
  <c r="AD36" i="4"/>
  <c r="AC36" i="4"/>
  <c r="AB36" i="4"/>
  <c r="AA36" i="4"/>
  <c r="T36" i="4"/>
  <c r="Z36" i="4" s="1"/>
  <c r="S36" i="4"/>
  <c r="AE36" i="4" s="1"/>
  <c r="AF35" i="4"/>
  <c r="AD35" i="4"/>
  <c r="AC35" i="4"/>
  <c r="AB35" i="4"/>
  <c r="AA35" i="4"/>
  <c r="T35" i="4"/>
  <c r="Z35" i="4" s="1"/>
  <c r="S35" i="4"/>
  <c r="AE35" i="4" s="1"/>
  <c r="AF34" i="4"/>
  <c r="AD34" i="4"/>
  <c r="AC34" i="4"/>
  <c r="AB34" i="4"/>
  <c r="AA34" i="4"/>
  <c r="T34" i="4"/>
  <c r="Z34" i="4" s="1"/>
  <c r="S34" i="4"/>
  <c r="AE34" i="4" s="1"/>
  <c r="AF33" i="4"/>
  <c r="AD33" i="4"/>
  <c r="AC33" i="4"/>
  <c r="AB33" i="4"/>
  <c r="AA33" i="4"/>
  <c r="T33" i="4"/>
  <c r="Z33" i="4" s="1"/>
  <c r="S33" i="4"/>
  <c r="AE33" i="4" s="1"/>
  <c r="AF32" i="4"/>
  <c r="AD32" i="4"/>
  <c r="AC32" i="4"/>
  <c r="AB32" i="4"/>
  <c r="AA32" i="4"/>
  <c r="T32" i="4"/>
  <c r="Z32" i="4" s="1"/>
  <c r="S32" i="4"/>
  <c r="AE32" i="4" s="1"/>
  <c r="AF31" i="4"/>
  <c r="AD31" i="4"/>
  <c r="AC31" i="4"/>
  <c r="AB31" i="4"/>
  <c r="AA31" i="4"/>
  <c r="T31" i="4"/>
  <c r="Z31" i="4" s="1"/>
  <c r="S31" i="4"/>
  <c r="AE31" i="4" s="1"/>
  <c r="AF30" i="4"/>
  <c r="AD30" i="4"/>
  <c r="AC30" i="4"/>
  <c r="AB30" i="4"/>
  <c r="AA30" i="4"/>
  <c r="T30" i="4"/>
  <c r="Z30" i="4" s="1"/>
  <c r="S30" i="4"/>
  <c r="AE30" i="4" s="1"/>
  <c r="AD29" i="4"/>
  <c r="AC29" i="4"/>
  <c r="AB29" i="4"/>
  <c r="AA29" i="4"/>
  <c r="T29" i="4"/>
  <c r="Z29" i="4" s="1"/>
  <c r="Q29" i="4"/>
  <c r="AD28" i="4"/>
  <c r="AC28" i="4"/>
  <c r="AB28" i="4"/>
  <c r="AA28" i="4"/>
  <c r="T28" i="4"/>
  <c r="Z28" i="4" s="1"/>
  <c r="Q28" i="4"/>
  <c r="AF27" i="4"/>
  <c r="AD27" i="4"/>
  <c r="AC27" i="4"/>
  <c r="AB27" i="4"/>
  <c r="AA27" i="4"/>
  <c r="T27" i="4"/>
  <c r="Z27" i="4" s="1"/>
  <c r="S27" i="4"/>
  <c r="AE27" i="4" s="1"/>
  <c r="AF26" i="4"/>
  <c r="AD26" i="4"/>
  <c r="AC26" i="4"/>
  <c r="AB26" i="4"/>
  <c r="AA26" i="4"/>
  <c r="T26" i="4"/>
  <c r="Z26" i="4" s="1"/>
  <c r="S26" i="4"/>
  <c r="AE26" i="4" s="1"/>
  <c r="AF25" i="4"/>
  <c r="AD25" i="4"/>
  <c r="AC25" i="4"/>
  <c r="AB25" i="4"/>
  <c r="AA25" i="4"/>
  <c r="T25" i="4"/>
  <c r="Z25" i="4" s="1"/>
  <c r="S25" i="4"/>
  <c r="AE25" i="4" s="1"/>
  <c r="AF24" i="4"/>
  <c r="AD24" i="4"/>
  <c r="AC24" i="4"/>
  <c r="AB24" i="4"/>
  <c r="AA24" i="4"/>
  <c r="T24" i="4"/>
  <c r="Z24" i="4" s="1"/>
  <c r="S24" i="4"/>
  <c r="AE24" i="4" s="1"/>
  <c r="AF23" i="4"/>
  <c r="AD23" i="4"/>
  <c r="AC23" i="4"/>
  <c r="AB23" i="4"/>
  <c r="AA23" i="4"/>
  <c r="T23" i="4"/>
  <c r="Z23" i="4" s="1"/>
  <c r="S23" i="4"/>
  <c r="AE23" i="4" s="1"/>
  <c r="AF22" i="4"/>
  <c r="AD22" i="4"/>
  <c r="AC22" i="4"/>
  <c r="AB22" i="4"/>
  <c r="AA22" i="4"/>
  <c r="T22" i="4"/>
  <c r="Z22" i="4" s="1"/>
  <c r="S22" i="4"/>
  <c r="AE22" i="4" s="1"/>
  <c r="AF21" i="4"/>
  <c r="AD21" i="4"/>
  <c r="AC21" i="4"/>
  <c r="AB21" i="4"/>
  <c r="AA21" i="4"/>
  <c r="T21" i="4"/>
  <c r="Z21" i="4" s="1"/>
  <c r="S21" i="4"/>
  <c r="AE21" i="4" s="1"/>
  <c r="AF20" i="4"/>
  <c r="AD20" i="4"/>
  <c r="AC20" i="4"/>
  <c r="AB20" i="4"/>
  <c r="AA20" i="4"/>
  <c r="T20" i="4"/>
  <c r="Z20" i="4" s="1"/>
  <c r="S20" i="4"/>
  <c r="AE20" i="4" s="1"/>
  <c r="AF19" i="4"/>
  <c r="AD19" i="4"/>
  <c r="AC19" i="4"/>
  <c r="AB19" i="4"/>
  <c r="AA19" i="4"/>
  <c r="T19" i="4"/>
  <c r="Z19" i="4" s="1"/>
  <c r="S19" i="4"/>
  <c r="AE19" i="4" s="1"/>
  <c r="AF18" i="4"/>
  <c r="AD18" i="4"/>
  <c r="AC18" i="4"/>
  <c r="AB18" i="4"/>
  <c r="AA18" i="4"/>
  <c r="T18" i="4"/>
  <c r="Z18" i="4" s="1"/>
  <c r="S18" i="4"/>
  <c r="AE18" i="4" s="1"/>
  <c r="AF17" i="4"/>
  <c r="AD17" i="4"/>
  <c r="AC17" i="4"/>
  <c r="AB17" i="4"/>
  <c r="AA17" i="4"/>
  <c r="T17" i="4"/>
  <c r="Z17" i="4" s="1"/>
  <c r="S17" i="4"/>
  <c r="AE17" i="4" s="1"/>
  <c r="AD16" i="4"/>
  <c r="AC16" i="4"/>
  <c r="AB16" i="4"/>
  <c r="AA16" i="4"/>
  <c r="T16" i="4"/>
  <c r="Z16" i="4" s="1"/>
  <c r="P16" i="4"/>
  <c r="AF15" i="4"/>
  <c r="AD15" i="4"/>
  <c r="AC15" i="4"/>
  <c r="AB15" i="4"/>
  <c r="AA15" i="4"/>
  <c r="T15" i="4"/>
  <c r="Z15" i="4" s="1"/>
  <c r="S15" i="4"/>
  <c r="AE15" i="4" s="1"/>
  <c r="AD14" i="4"/>
  <c r="AC14" i="4"/>
  <c r="AB14" i="4"/>
  <c r="AA14" i="4"/>
  <c r="T14" i="4"/>
  <c r="Z14" i="4" s="1"/>
  <c r="P14" i="4"/>
  <c r="AF13" i="4"/>
  <c r="AD13" i="4"/>
  <c r="AC13" i="4"/>
  <c r="AB13" i="4"/>
  <c r="AA13" i="4"/>
  <c r="T13" i="4"/>
  <c r="Z13" i="4" s="1"/>
  <c r="S13" i="4"/>
  <c r="AE13" i="4" s="1"/>
  <c r="AF12" i="4"/>
  <c r="AD12" i="4"/>
  <c r="AC12" i="4"/>
  <c r="AB12" i="4"/>
  <c r="AA12" i="4"/>
  <c r="T12" i="4"/>
  <c r="Z12" i="4" s="1"/>
  <c r="S12" i="4"/>
  <c r="AE12" i="4" s="1"/>
  <c r="AD11" i="4"/>
  <c r="AC11" i="4"/>
  <c r="AB11" i="4"/>
  <c r="AA11" i="4"/>
  <c r="T11" i="4"/>
  <c r="Z11" i="4" s="1"/>
  <c r="P11" i="4"/>
  <c r="AJ10" i="4"/>
  <c r="AF10" i="4"/>
  <c r="AD10" i="4"/>
  <c r="AC10" i="4"/>
  <c r="AB10" i="4"/>
  <c r="AA10" i="4"/>
  <c r="T10" i="4"/>
  <c r="Z10" i="4" s="1"/>
  <c r="S10" i="4"/>
  <c r="AE10" i="4" s="1"/>
  <c r="AJ9" i="4"/>
  <c r="AF9" i="4"/>
  <c r="AD9" i="4"/>
  <c r="AC9" i="4"/>
  <c r="AB9" i="4"/>
  <c r="AA9" i="4"/>
  <c r="T9" i="4"/>
  <c r="Z9" i="4" s="1"/>
  <c r="S9" i="4"/>
  <c r="AE9" i="4" s="1"/>
  <c r="AF8" i="4"/>
  <c r="AD8" i="4"/>
  <c r="AC8" i="4"/>
  <c r="AB8" i="4"/>
  <c r="AA8" i="4"/>
  <c r="T8" i="4"/>
  <c r="Z8" i="4" s="1"/>
  <c r="S8" i="4"/>
  <c r="AE8" i="4" s="1"/>
  <c r="AF7" i="4"/>
  <c r="AD7" i="4"/>
  <c r="AC7" i="4"/>
  <c r="AB7" i="4"/>
  <c r="AA7" i="4"/>
  <c r="T7" i="4"/>
  <c r="Z7" i="4" s="1"/>
  <c r="S7" i="4"/>
  <c r="AE7" i="4" s="1"/>
  <c r="AF6" i="4"/>
  <c r="AD6" i="4"/>
  <c r="AC6" i="4"/>
  <c r="AB6" i="4"/>
  <c r="AA6" i="4"/>
  <c r="T6" i="4"/>
  <c r="Z6" i="4" s="1"/>
  <c r="S6" i="4"/>
  <c r="AE6" i="4" s="1"/>
  <c r="AF5" i="4"/>
  <c r="AD5" i="4"/>
  <c r="AC5" i="4"/>
  <c r="AB5" i="4"/>
  <c r="AA5" i="4"/>
  <c r="T5" i="4"/>
  <c r="Z5" i="4" s="1"/>
  <c r="S5" i="4"/>
  <c r="AE5" i="4" s="1"/>
  <c r="AJ4" i="4"/>
  <c r="AF4" i="4"/>
  <c r="AD4" i="4"/>
  <c r="AC4" i="4"/>
  <c r="AB4" i="4"/>
  <c r="AA4" i="4"/>
  <c r="T4" i="4"/>
  <c r="Z4" i="4" s="1"/>
  <c r="S4" i="4"/>
  <c r="AE4" i="4" s="1"/>
  <c r="AF3" i="4"/>
  <c r="AD3" i="4"/>
  <c r="AC3" i="4"/>
  <c r="AB3" i="4"/>
  <c r="AA3" i="4"/>
  <c r="T3" i="4"/>
  <c r="Z3" i="4" s="1"/>
  <c r="S3" i="4"/>
  <c r="M129" i="3"/>
  <c r="M127" i="3"/>
  <c r="AW124" i="3"/>
  <c r="AV124" i="3"/>
  <c r="AU124" i="3"/>
  <c r="AT124" i="3"/>
  <c r="AS124" i="3"/>
  <c r="AR124" i="3"/>
  <c r="AQ124" i="3"/>
  <c r="AP124" i="3"/>
  <c r="AO124" i="3"/>
  <c r="AN124" i="3"/>
  <c r="AM124" i="3"/>
  <c r="AL124" i="3"/>
  <c r="M122" i="3"/>
  <c r="O119" i="3"/>
  <c r="O118" i="3"/>
  <c r="M117" i="3"/>
  <c r="O117" i="3" s="1"/>
  <c r="M116" i="3"/>
  <c r="O116" i="3" s="1"/>
  <c r="O115" i="3"/>
  <c r="O114" i="3"/>
  <c r="O113" i="3"/>
  <c r="O112" i="3"/>
  <c r="O111" i="3"/>
  <c r="O110" i="3"/>
  <c r="O109" i="3"/>
  <c r="O108" i="3"/>
  <c r="O107" i="3"/>
  <c r="O106" i="3"/>
  <c r="O105" i="3"/>
  <c r="O104" i="3"/>
  <c r="O103" i="3"/>
  <c r="O102" i="3"/>
  <c r="O101" i="3"/>
  <c r="O100" i="3"/>
  <c r="O99" i="3"/>
  <c r="O98" i="3"/>
  <c r="O97" i="3"/>
  <c r="O96" i="3"/>
  <c r="O95" i="3"/>
  <c r="O94" i="3"/>
  <c r="O93" i="3"/>
  <c r="O92" i="3"/>
  <c r="O91" i="3"/>
  <c r="O90" i="3"/>
  <c r="O89" i="3"/>
  <c r="O88" i="3"/>
  <c r="O87" i="3"/>
  <c r="O86" i="3"/>
  <c r="O85" i="3"/>
  <c r="O84" i="3"/>
  <c r="O83" i="3"/>
  <c r="O82" i="3"/>
  <c r="O81" i="3"/>
  <c r="O80" i="3"/>
  <c r="O79" i="3"/>
  <c r="O78" i="3"/>
  <c r="O77" i="3"/>
  <c r="O76" i="3"/>
  <c r="M75" i="3"/>
  <c r="O75" i="3" s="1"/>
  <c r="O74" i="3"/>
  <c r="O73" i="3"/>
  <c r="O72" i="3"/>
  <c r="O71" i="3"/>
  <c r="O70" i="3"/>
  <c r="O69" i="3"/>
  <c r="O68" i="3"/>
  <c r="O67" i="3"/>
  <c r="O66" i="3"/>
  <c r="M65" i="3"/>
  <c r="O65" i="3" s="1"/>
  <c r="O64" i="3"/>
  <c r="O63" i="3"/>
  <c r="O62" i="3"/>
  <c r="O61" i="3"/>
  <c r="O60" i="3"/>
  <c r="O59" i="3"/>
  <c r="O58" i="3"/>
  <c r="O57" i="3"/>
  <c r="O56" i="3"/>
  <c r="O55" i="3"/>
  <c r="O54" i="3"/>
  <c r="O53" i="3"/>
  <c r="O52" i="3"/>
  <c r="O51" i="3"/>
  <c r="O50" i="3"/>
  <c r="O49" i="3"/>
  <c r="O48" i="3"/>
  <c r="O47" i="3"/>
  <c r="O46" i="3"/>
  <c r="O45" i="3"/>
  <c r="O44" i="3"/>
  <c r="O43" i="3"/>
  <c r="O42" i="3"/>
  <c r="O41" i="3"/>
  <c r="O40" i="3"/>
  <c r="M39" i="3"/>
  <c r="O39" i="3" s="1"/>
  <c r="O38" i="3"/>
  <c r="O37" i="3"/>
  <c r="M36" i="3"/>
  <c r="O36" i="3" s="1"/>
  <c r="O35" i="3"/>
  <c r="O34" i="3"/>
  <c r="O33" i="3"/>
  <c r="O32" i="3"/>
  <c r="O31" i="3"/>
  <c r="O30" i="3"/>
  <c r="O29" i="3"/>
  <c r="O28" i="3"/>
  <c r="O27" i="3"/>
  <c r="O26" i="3"/>
  <c r="M25" i="3"/>
  <c r="O25" i="3" s="1"/>
  <c r="O24" i="3"/>
  <c r="O23" i="3"/>
  <c r="O22" i="3"/>
  <c r="O21" i="3"/>
  <c r="O20" i="3"/>
  <c r="M19" i="3"/>
  <c r="O19" i="3" s="1"/>
  <c r="M18" i="3"/>
  <c r="O18" i="3" s="1"/>
  <c r="M17" i="3"/>
  <c r="O17" i="3" s="1"/>
  <c r="M16" i="3"/>
  <c r="O16" i="3" s="1"/>
  <c r="M15" i="3"/>
  <c r="O15" i="3" s="1"/>
  <c r="O14" i="3"/>
  <c r="O13" i="3"/>
  <c r="O12" i="3"/>
  <c r="O11" i="3"/>
  <c r="O10" i="3"/>
  <c r="O9" i="3"/>
  <c r="T8" i="3"/>
  <c r="O8" i="3"/>
  <c r="T7" i="3"/>
  <c r="O7" i="3"/>
  <c r="T6" i="3"/>
  <c r="O6" i="3"/>
  <c r="T5" i="3"/>
  <c r="M5" i="3"/>
  <c r="O5" i="3" s="1"/>
  <c r="T4" i="3"/>
  <c r="O4" i="3"/>
  <c r="T3" i="3"/>
  <c r="O3" i="3"/>
  <c r="T2" i="3"/>
  <c r="O2" i="3"/>
  <c r="CM119" i="2"/>
  <c r="CH119" i="2"/>
  <c r="CC119" i="2"/>
  <c r="BX119" i="2"/>
  <c r="BS119" i="2"/>
  <c r="BN119" i="2"/>
  <c r="BD119" i="2"/>
  <c r="AY119" i="2"/>
  <c r="AT119" i="2"/>
  <c r="AO119" i="2"/>
  <c r="AJ119" i="2"/>
  <c r="AE119" i="2"/>
  <c r="Z119" i="2"/>
  <c r="Y119" i="2"/>
  <c r="X119" i="2"/>
  <c r="T119" i="2"/>
  <c r="L119" i="2"/>
  <c r="CM118" i="2"/>
  <c r="CH118" i="2"/>
  <c r="CC118" i="2"/>
  <c r="BX118" i="2"/>
  <c r="BS118" i="2"/>
  <c r="BN118" i="2"/>
  <c r="BD118" i="2"/>
  <c r="AY118" i="2"/>
  <c r="AT118" i="2"/>
  <c r="AO118" i="2"/>
  <c r="AJ118" i="2"/>
  <c r="AE118" i="2"/>
  <c r="Z118" i="2"/>
  <c r="Y118" i="2"/>
  <c r="X118" i="2"/>
  <c r="T118" i="2"/>
  <c r="L118" i="2"/>
  <c r="CM117" i="2"/>
  <c r="CH117" i="2"/>
  <c r="CC117" i="2"/>
  <c r="BX117" i="2"/>
  <c r="BS117" i="2"/>
  <c r="BN117" i="2"/>
  <c r="BD117" i="2"/>
  <c r="AY117" i="2"/>
  <c r="AT117" i="2"/>
  <c r="AO117" i="2"/>
  <c r="AJ117" i="2"/>
  <c r="AE117" i="2"/>
  <c r="Z117" i="2"/>
  <c r="Y117" i="2"/>
  <c r="X117" i="2"/>
  <c r="T117" i="2"/>
  <c r="L117" i="2"/>
  <c r="CM116" i="2"/>
  <c r="CH116" i="2"/>
  <c r="CC116" i="2"/>
  <c r="BX116" i="2"/>
  <c r="BS116" i="2"/>
  <c r="BN116" i="2"/>
  <c r="BD116" i="2"/>
  <c r="AY116" i="2"/>
  <c r="AT116" i="2"/>
  <c r="AO116" i="2"/>
  <c r="AJ116" i="2"/>
  <c r="AE116" i="2"/>
  <c r="Z116" i="2"/>
  <c r="Y116" i="2"/>
  <c r="X116" i="2"/>
  <c r="T116" i="2"/>
  <c r="L116" i="2"/>
  <c r="CM115" i="2"/>
  <c r="CH115" i="2"/>
  <c r="CC115" i="2"/>
  <c r="BX115" i="2"/>
  <c r="BS115" i="2"/>
  <c r="BN115" i="2"/>
  <c r="BD115" i="2"/>
  <c r="AY115" i="2"/>
  <c r="AT115" i="2"/>
  <c r="AO115" i="2"/>
  <c r="AJ115" i="2"/>
  <c r="AE115" i="2"/>
  <c r="Z115" i="2"/>
  <c r="Y115" i="2"/>
  <c r="X115" i="2"/>
  <c r="T115" i="2"/>
  <c r="L115" i="2"/>
  <c r="CM114" i="2"/>
  <c r="CH114" i="2"/>
  <c r="CC114" i="2"/>
  <c r="BX114" i="2"/>
  <c r="BS114" i="2"/>
  <c r="BN114" i="2"/>
  <c r="BD114" i="2"/>
  <c r="AY114" i="2"/>
  <c r="AT114" i="2"/>
  <c r="AO114" i="2"/>
  <c r="AJ114" i="2"/>
  <c r="AE114" i="2"/>
  <c r="Z114" i="2"/>
  <c r="Y114" i="2"/>
  <c r="X114" i="2"/>
  <c r="T114" i="2"/>
  <c r="L114" i="2"/>
  <c r="CM113" i="2"/>
  <c r="CH113" i="2"/>
  <c r="CC113" i="2"/>
  <c r="BX113" i="2"/>
  <c r="BS113" i="2"/>
  <c r="BN113" i="2"/>
  <c r="BD113" i="2"/>
  <c r="AY113" i="2"/>
  <c r="AT113" i="2"/>
  <c r="AO113" i="2"/>
  <c r="AJ113" i="2"/>
  <c r="AE113" i="2"/>
  <c r="Z113" i="2"/>
  <c r="Y113" i="2"/>
  <c r="X113" i="2"/>
  <c r="T113" i="2"/>
  <c r="L113" i="2"/>
  <c r="CM112" i="2"/>
  <c r="CH112" i="2"/>
  <c r="CC112" i="2"/>
  <c r="BX112" i="2"/>
  <c r="BS112" i="2"/>
  <c r="BN112" i="2"/>
  <c r="BD112" i="2"/>
  <c r="AY112" i="2"/>
  <c r="AT112" i="2"/>
  <c r="AO112" i="2"/>
  <c r="AJ112" i="2"/>
  <c r="AE112" i="2"/>
  <c r="Z112" i="2"/>
  <c r="Y112" i="2"/>
  <c r="X112" i="2"/>
  <c r="T112" i="2"/>
  <c r="L112" i="2"/>
  <c r="CM111" i="2"/>
  <c r="CH111" i="2"/>
  <c r="CC111" i="2"/>
  <c r="BX111" i="2"/>
  <c r="BS111" i="2"/>
  <c r="BN111" i="2"/>
  <c r="BD111" i="2"/>
  <c r="AY111" i="2"/>
  <c r="AT111" i="2"/>
  <c r="AO111" i="2"/>
  <c r="AJ111" i="2"/>
  <c r="AE111" i="2"/>
  <c r="Z111" i="2"/>
  <c r="Y111" i="2"/>
  <c r="X111" i="2"/>
  <c r="T111" i="2"/>
  <c r="L111" i="2"/>
  <c r="CM110" i="2"/>
  <c r="CH110" i="2"/>
  <c r="CC110" i="2"/>
  <c r="BX110" i="2"/>
  <c r="BS110" i="2"/>
  <c r="BN110" i="2"/>
  <c r="BD110" i="2"/>
  <c r="AY110" i="2"/>
  <c r="AT110" i="2"/>
  <c r="AO110" i="2"/>
  <c r="AJ110" i="2"/>
  <c r="AE110" i="2"/>
  <c r="Z110" i="2"/>
  <c r="Y110" i="2"/>
  <c r="X110" i="2"/>
  <c r="T110" i="2"/>
  <c r="L110" i="2"/>
  <c r="CM109" i="2"/>
  <c r="CH109" i="2"/>
  <c r="CC109" i="2"/>
  <c r="BX109" i="2"/>
  <c r="BS109" i="2"/>
  <c r="BN109" i="2"/>
  <c r="BD109" i="2"/>
  <c r="AY109" i="2"/>
  <c r="AT109" i="2"/>
  <c r="AO109" i="2"/>
  <c r="AJ109" i="2"/>
  <c r="AE109" i="2"/>
  <c r="Z109" i="2"/>
  <c r="Y109" i="2"/>
  <c r="X109" i="2"/>
  <c r="T109" i="2"/>
  <c r="L109" i="2"/>
  <c r="CM108" i="2"/>
  <c r="CH108" i="2"/>
  <c r="CC108" i="2"/>
  <c r="BX108" i="2"/>
  <c r="BS108" i="2"/>
  <c r="BN108" i="2"/>
  <c r="BD108" i="2"/>
  <c r="AY108" i="2"/>
  <c r="AT108" i="2"/>
  <c r="AO108" i="2"/>
  <c r="AJ108" i="2"/>
  <c r="AE108" i="2"/>
  <c r="Z108" i="2"/>
  <c r="Y108" i="2"/>
  <c r="X108" i="2"/>
  <c r="T108" i="2"/>
  <c r="L108" i="2"/>
  <c r="CM107" i="2"/>
  <c r="CH107" i="2"/>
  <c r="CC107" i="2"/>
  <c r="BX107" i="2"/>
  <c r="BS107" i="2"/>
  <c r="BN107" i="2"/>
  <c r="BD107" i="2"/>
  <c r="AY107" i="2"/>
  <c r="AT107" i="2"/>
  <c r="AO107" i="2"/>
  <c r="AJ107" i="2"/>
  <c r="AE107" i="2"/>
  <c r="Z107" i="2"/>
  <c r="Y107" i="2"/>
  <c r="X107" i="2"/>
  <c r="T107" i="2"/>
  <c r="L107" i="2"/>
  <c r="CM106" i="2"/>
  <c r="CH106" i="2"/>
  <c r="CC106" i="2"/>
  <c r="BX106" i="2"/>
  <c r="BS106" i="2"/>
  <c r="BN106" i="2"/>
  <c r="BD106" i="2"/>
  <c r="AY106" i="2"/>
  <c r="AT106" i="2"/>
  <c r="AO106" i="2"/>
  <c r="AJ106" i="2"/>
  <c r="AE106" i="2"/>
  <c r="Z106" i="2"/>
  <c r="Y106" i="2"/>
  <c r="X106" i="2"/>
  <c r="T106" i="2"/>
  <c r="L106" i="2"/>
  <c r="CM105" i="2"/>
  <c r="CH105" i="2"/>
  <c r="CC105" i="2"/>
  <c r="BX105" i="2"/>
  <c r="BS105" i="2"/>
  <c r="BN105" i="2"/>
  <c r="BD105" i="2"/>
  <c r="AY105" i="2"/>
  <c r="AT105" i="2"/>
  <c r="AO105" i="2"/>
  <c r="AJ105" i="2"/>
  <c r="AE105" i="2"/>
  <c r="Z105" i="2"/>
  <c r="Y105" i="2"/>
  <c r="X105" i="2"/>
  <c r="T105" i="2"/>
  <c r="L105" i="2"/>
  <c r="CM104" i="2"/>
  <c r="CH104" i="2"/>
  <c r="CC104" i="2"/>
  <c r="BX104" i="2"/>
  <c r="BS104" i="2"/>
  <c r="BN104" i="2"/>
  <c r="BD104" i="2"/>
  <c r="AY104" i="2"/>
  <c r="AT104" i="2"/>
  <c r="AO104" i="2"/>
  <c r="AJ104" i="2"/>
  <c r="AE104" i="2"/>
  <c r="Z104" i="2"/>
  <c r="Y104" i="2"/>
  <c r="X104" i="2"/>
  <c r="T104" i="2"/>
  <c r="L104" i="2"/>
  <c r="CM103" i="2"/>
  <c r="CH103" i="2"/>
  <c r="CC103" i="2"/>
  <c r="BX103" i="2"/>
  <c r="BS103" i="2"/>
  <c r="BN103" i="2"/>
  <c r="BD103" i="2"/>
  <c r="AY103" i="2"/>
  <c r="AT103" i="2"/>
  <c r="AO103" i="2"/>
  <c r="AJ103" i="2"/>
  <c r="AE103" i="2"/>
  <c r="Z103" i="2"/>
  <c r="Y103" i="2"/>
  <c r="X103" i="2"/>
  <c r="T103" i="2"/>
  <c r="L103" i="2"/>
  <c r="CM102" i="2"/>
  <c r="CH102" i="2"/>
  <c r="CC102" i="2"/>
  <c r="BX102" i="2"/>
  <c r="BS102" i="2"/>
  <c r="BN102" i="2"/>
  <c r="BD102" i="2"/>
  <c r="AY102" i="2"/>
  <c r="AT102" i="2"/>
  <c r="AO102" i="2"/>
  <c r="AJ102" i="2"/>
  <c r="AE102" i="2"/>
  <c r="Z102" i="2"/>
  <c r="Y102" i="2"/>
  <c r="X102" i="2"/>
  <c r="T102" i="2"/>
  <c r="L102" i="2"/>
  <c r="CM101" i="2"/>
  <c r="CH101" i="2"/>
  <c r="CC101" i="2"/>
  <c r="BX101" i="2"/>
  <c r="BS101" i="2"/>
  <c r="BN101" i="2"/>
  <c r="BD101" i="2"/>
  <c r="AY101" i="2"/>
  <c r="AT101" i="2"/>
  <c r="AO101" i="2"/>
  <c r="AJ101" i="2"/>
  <c r="AE101" i="2"/>
  <c r="Z101" i="2"/>
  <c r="Y101" i="2"/>
  <c r="X101" i="2"/>
  <c r="T101" i="2"/>
  <c r="L101" i="2"/>
  <c r="CM100" i="2"/>
  <c r="CH100" i="2"/>
  <c r="CC100" i="2"/>
  <c r="BX100" i="2"/>
  <c r="BS100" i="2"/>
  <c r="BN100" i="2"/>
  <c r="BD100" i="2"/>
  <c r="AY100" i="2"/>
  <c r="AT100" i="2"/>
  <c r="AO100" i="2"/>
  <c r="AJ100" i="2"/>
  <c r="AE100" i="2"/>
  <c r="Z100" i="2"/>
  <c r="Y100" i="2"/>
  <c r="X100" i="2"/>
  <c r="T100" i="2"/>
  <c r="L100" i="2"/>
  <c r="CM99" i="2"/>
  <c r="CH99" i="2"/>
  <c r="CC99" i="2"/>
  <c r="BX99" i="2"/>
  <c r="BS99" i="2"/>
  <c r="BN99" i="2"/>
  <c r="BD99" i="2"/>
  <c r="AY99" i="2"/>
  <c r="AT99" i="2"/>
  <c r="AO99" i="2"/>
  <c r="AJ99" i="2"/>
  <c r="AE99" i="2"/>
  <c r="Z99" i="2"/>
  <c r="Y99" i="2"/>
  <c r="X99" i="2"/>
  <c r="T99" i="2"/>
  <c r="L99" i="2"/>
  <c r="CM98" i="2"/>
  <c r="CH98" i="2"/>
  <c r="CC98" i="2"/>
  <c r="BX98" i="2"/>
  <c r="BS98" i="2"/>
  <c r="BN98" i="2"/>
  <c r="BD98" i="2"/>
  <c r="AY98" i="2"/>
  <c r="AT98" i="2"/>
  <c r="AO98" i="2"/>
  <c r="AJ98" i="2"/>
  <c r="AE98" i="2"/>
  <c r="Z98" i="2"/>
  <c r="Y98" i="2"/>
  <c r="X98" i="2"/>
  <c r="T98" i="2"/>
  <c r="L98" i="2"/>
  <c r="CM97" i="2"/>
  <c r="CH97" i="2"/>
  <c r="CC97" i="2"/>
  <c r="BX97" i="2"/>
  <c r="BS97" i="2"/>
  <c r="BN97" i="2"/>
  <c r="BD97" i="2"/>
  <c r="AY97" i="2"/>
  <c r="AT97" i="2"/>
  <c r="AO97" i="2"/>
  <c r="AJ97" i="2"/>
  <c r="AE97" i="2"/>
  <c r="Z97" i="2"/>
  <c r="Y97" i="2"/>
  <c r="X97" i="2"/>
  <c r="T97" i="2"/>
  <c r="L97" i="2"/>
  <c r="CM96" i="2"/>
  <c r="CH96" i="2"/>
  <c r="CC96" i="2"/>
  <c r="BX96" i="2"/>
  <c r="BS96" i="2"/>
  <c r="BN96" i="2"/>
  <c r="BD96" i="2"/>
  <c r="AY96" i="2"/>
  <c r="AT96" i="2"/>
  <c r="AO96" i="2"/>
  <c r="AJ96" i="2"/>
  <c r="AE96" i="2"/>
  <c r="Z96" i="2"/>
  <c r="Y96" i="2"/>
  <c r="X96" i="2"/>
  <c r="T96" i="2"/>
  <c r="L96" i="2"/>
  <c r="CM95" i="2"/>
  <c r="CH95" i="2"/>
  <c r="CC95" i="2"/>
  <c r="BX95" i="2"/>
  <c r="BS95" i="2"/>
  <c r="BN95" i="2"/>
  <c r="BD95" i="2"/>
  <c r="AY95" i="2"/>
  <c r="AT95" i="2"/>
  <c r="AO95" i="2"/>
  <c r="AJ95" i="2"/>
  <c r="AE95" i="2"/>
  <c r="Z95" i="2"/>
  <c r="Y95" i="2"/>
  <c r="X95" i="2"/>
  <c r="T95" i="2"/>
  <c r="L95" i="2"/>
  <c r="CM94" i="2"/>
  <c r="CH94" i="2"/>
  <c r="CC94" i="2"/>
  <c r="BX94" i="2"/>
  <c r="BS94" i="2"/>
  <c r="BN94" i="2"/>
  <c r="BD94" i="2"/>
  <c r="AY94" i="2"/>
  <c r="AT94" i="2"/>
  <c r="AO94" i="2"/>
  <c r="AJ94" i="2"/>
  <c r="AE94" i="2"/>
  <c r="Z94" i="2"/>
  <c r="Y94" i="2"/>
  <c r="X94" i="2"/>
  <c r="T94" i="2"/>
  <c r="L94" i="2"/>
  <c r="CM93" i="2"/>
  <c r="CH93" i="2"/>
  <c r="CC93" i="2"/>
  <c r="BX93" i="2"/>
  <c r="BS93" i="2"/>
  <c r="BN93" i="2"/>
  <c r="BD93" i="2"/>
  <c r="AY93" i="2"/>
  <c r="AT93" i="2"/>
  <c r="AO93" i="2"/>
  <c r="AJ93" i="2"/>
  <c r="AE93" i="2"/>
  <c r="Z93" i="2"/>
  <c r="Y93" i="2"/>
  <c r="X93" i="2"/>
  <c r="T93" i="2"/>
  <c r="L93" i="2"/>
  <c r="CM92" i="2"/>
  <c r="CH92" i="2"/>
  <c r="CC92" i="2"/>
  <c r="BX92" i="2"/>
  <c r="BS92" i="2"/>
  <c r="BN92" i="2"/>
  <c r="BD92" i="2"/>
  <c r="AY92" i="2"/>
  <c r="AT92" i="2"/>
  <c r="AO92" i="2"/>
  <c r="AJ92" i="2"/>
  <c r="AE92" i="2"/>
  <c r="Z92" i="2"/>
  <c r="Y92" i="2"/>
  <c r="X92" i="2"/>
  <c r="T92" i="2"/>
  <c r="L92" i="2"/>
  <c r="CM91" i="2"/>
  <c r="CH91" i="2"/>
  <c r="CC91" i="2"/>
  <c r="BX91" i="2"/>
  <c r="BS91" i="2"/>
  <c r="BN91" i="2"/>
  <c r="BD91" i="2"/>
  <c r="AY91" i="2"/>
  <c r="AT91" i="2"/>
  <c r="AO91" i="2"/>
  <c r="AJ91" i="2"/>
  <c r="AE91" i="2"/>
  <c r="Z91" i="2"/>
  <c r="Y91" i="2"/>
  <c r="X91" i="2"/>
  <c r="T91" i="2"/>
  <c r="L91" i="2"/>
  <c r="CM90" i="2"/>
  <c r="CH90" i="2"/>
  <c r="CC90" i="2"/>
  <c r="BX90" i="2"/>
  <c r="BS90" i="2"/>
  <c r="BN90" i="2"/>
  <c r="BD90" i="2"/>
  <c r="AY90" i="2"/>
  <c r="AT90" i="2"/>
  <c r="AO90" i="2"/>
  <c r="AJ90" i="2"/>
  <c r="AE90" i="2"/>
  <c r="Z90" i="2"/>
  <c r="Y90" i="2"/>
  <c r="X90" i="2"/>
  <c r="T90" i="2"/>
  <c r="L90" i="2"/>
  <c r="CM89" i="2"/>
  <c r="CH89" i="2"/>
  <c r="CC89" i="2"/>
  <c r="BX89" i="2"/>
  <c r="BS89" i="2"/>
  <c r="BN89" i="2"/>
  <c r="BD89" i="2"/>
  <c r="AY89" i="2"/>
  <c r="AT89" i="2"/>
  <c r="AO89" i="2"/>
  <c r="AJ89" i="2"/>
  <c r="AE89" i="2"/>
  <c r="Z89" i="2"/>
  <c r="Y89" i="2"/>
  <c r="X89" i="2"/>
  <c r="T89" i="2"/>
  <c r="L89" i="2"/>
  <c r="CM88" i="2"/>
  <c r="CH88" i="2"/>
  <c r="CC88" i="2"/>
  <c r="BX88" i="2"/>
  <c r="BS88" i="2"/>
  <c r="BN88" i="2"/>
  <c r="BD88" i="2"/>
  <c r="AY88" i="2"/>
  <c r="AT88" i="2"/>
  <c r="AO88" i="2"/>
  <c r="AJ88" i="2"/>
  <c r="AE88" i="2"/>
  <c r="Z88" i="2"/>
  <c r="Y88" i="2"/>
  <c r="X88" i="2"/>
  <c r="T88" i="2"/>
  <c r="L88" i="2"/>
  <c r="CM87" i="2"/>
  <c r="CH87" i="2"/>
  <c r="CC87" i="2"/>
  <c r="BX87" i="2"/>
  <c r="BS87" i="2"/>
  <c r="BN87" i="2"/>
  <c r="BD87" i="2"/>
  <c r="AY87" i="2"/>
  <c r="AT87" i="2"/>
  <c r="AO87" i="2"/>
  <c r="AJ87" i="2"/>
  <c r="AE87" i="2"/>
  <c r="Z87" i="2"/>
  <c r="Y87" i="2"/>
  <c r="X87" i="2"/>
  <c r="T87" i="2"/>
  <c r="L87" i="2"/>
  <c r="CM86" i="2"/>
  <c r="CH86" i="2"/>
  <c r="CC86" i="2"/>
  <c r="BX86" i="2"/>
  <c r="BS86" i="2"/>
  <c r="BN86" i="2"/>
  <c r="BD86" i="2"/>
  <c r="AY86" i="2"/>
  <c r="AT86" i="2"/>
  <c r="AO86" i="2"/>
  <c r="AJ86" i="2"/>
  <c r="AE86" i="2"/>
  <c r="Z86" i="2"/>
  <c r="Y86" i="2"/>
  <c r="X86" i="2"/>
  <c r="T86" i="2"/>
  <c r="L86" i="2"/>
  <c r="CM85" i="2"/>
  <c r="CH85" i="2"/>
  <c r="CC85" i="2"/>
  <c r="BX85" i="2"/>
  <c r="BS85" i="2"/>
  <c r="BN85" i="2"/>
  <c r="BD85" i="2"/>
  <c r="AY85" i="2"/>
  <c r="AT85" i="2"/>
  <c r="AO85" i="2"/>
  <c r="AJ85" i="2"/>
  <c r="AE85" i="2"/>
  <c r="Z85" i="2"/>
  <c r="Y85" i="2"/>
  <c r="X85" i="2"/>
  <c r="T85" i="2"/>
  <c r="L85" i="2"/>
  <c r="CM84" i="2"/>
  <c r="CH84" i="2"/>
  <c r="CC84" i="2"/>
  <c r="BX84" i="2"/>
  <c r="BS84" i="2"/>
  <c r="BN84" i="2"/>
  <c r="BD84" i="2"/>
  <c r="AY84" i="2"/>
  <c r="AT84" i="2"/>
  <c r="AO84" i="2"/>
  <c r="AJ84" i="2"/>
  <c r="AE84" i="2"/>
  <c r="Z84" i="2"/>
  <c r="Y84" i="2"/>
  <c r="X84" i="2"/>
  <c r="T84" i="2"/>
  <c r="L84" i="2"/>
  <c r="CM83" i="2"/>
  <c r="CH83" i="2"/>
  <c r="CC83" i="2"/>
  <c r="BX83" i="2"/>
  <c r="BS83" i="2"/>
  <c r="BN83" i="2"/>
  <c r="BD83" i="2"/>
  <c r="AY83" i="2"/>
  <c r="AT83" i="2"/>
  <c r="AO83" i="2"/>
  <c r="AJ83" i="2"/>
  <c r="AE83" i="2"/>
  <c r="Z83" i="2"/>
  <c r="Y83" i="2"/>
  <c r="X83" i="2"/>
  <c r="T83" i="2"/>
  <c r="L83" i="2"/>
  <c r="CM82" i="2"/>
  <c r="CH82" i="2"/>
  <c r="CC82" i="2"/>
  <c r="BX82" i="2"/>
  <c r="BS82" i="2"/>
  <c r="BN82" i="2"/>
  <c r="BD82" i="2"/>
  <c r="AY82" i="2"/>
  <c r="AT82" i="2"/>
  <c r="AO82" i="2"/>
  <c r="AJ82" i="2"/>
  <c r="AE82" i="2"/>
  <c r="Z82" i="2"/>
  <c r="Y82" i="2"/>
  <c r="X82" i="2"/>
  <c r="T82" i="2"/>
  <c r="L82" i="2"/>
  <c r="CM81" i="2"/>
  <c r="CH81" i="2"/>
  <c r="CC81" i="2"/>
  <c r="BX81" i="2"/>
  <c r="BS81" i="2"/>
  <c r="BN81" i="2"/>
  <c r="BD81" i="2"/>
  <c r="AY81" i="2"/>
  <c r="AT81" i="2"/>
  <c r="AO81" i="2"/>
  <c r="AJ81" i="2"/>
  <c r="AE81" i="2"/>
  <c r="Z81" i="2"/>
  <c r="Y81" i="2"/>
  <c r="X81" i="2"/>
  <c r="T81" i="2"/>
  <c r="L81" i="2"/>
  <c r="CM80" i="2"/>
  <c r="CH80" i="2"/>
  <c r="CC80" i="2"/>
  <c r="BX80" i="2"/>
  <c r="BS80" i="2"/>
  <c r="BN80" i="2"/>
  <c r="BD80" i="2"/>
  <c r="AY80" i="2"/>
  <c r="AT80" i="2"/>
  <c r="AO80" i="2"/>
  <c r="AJ80" i="2"/>
  <c r="AE80" i="2"/>
  <c r="Z80" i="2"/>
  <c r="Y80" i="2"/>
  <c r="X80" i="2"/>
  <c r="T80" i="2"/>
  <c r="L80" i="2"/>
  <c r="CM79" i="2"/>
  <c r="CH79" i="2"/>
  <c r="CC79" i="2"/>
  <c r="BX79" i="2"/>
  <c r="BS79" i="2"/>
  <c r="BN79" i="2"/>
  <c r="BD79" i="2"/>
  <c r="AY79" i="2"/>
  <c r="AT79" i="2"/>
  <c r="AO79" i="2"/>
  <c r="AJ79" i="2"/>
  <c r="AE79" i="2"/>
  <c r="Z79" i="2"/>
  <c r="Y79" i="2"/>
  <c r="X79" i="2"/>
  <c r="T79" i="2"/>
  <c r="L79" i="2"/>
  <c r="CM78" i="2"/>
  <c r="CH78" i="2"/>
  <c r="CC78" i="2"/>
  <c r="BX78" i="2"/>
  <c r="BS78" i="2"/>
  <c r="BN78" i="2"/>
  <c r="BD78" i="2"/>
  <c r="AY78" i="2"/>
  <c r="AT78" i="2"/>
  <c r="AO78" i="2"/>
  <c r="AJ78" i="2"/>
  <c r="AE78" i="2"/>
  <c r="Z78" i="2"/>
  <c r="Y78" i="2"/>
  <c r="X78" i="2"/>
  <c r="T78" i="2"/>
  <c r="L78" i="2"/>
  <c r="CM77" i="2"/>
  <c r="CH77" i="2"/>
  <c r="CC77" i="2"/>
  <c r="BX77" i="2"/>
  <c r="BS77" i="2"/>
  <c r="BN77" i="2"/>
  <c r="BD77" i="2"/>
  <c r="AY77" i="2"/>
  <c r="AT77" i="2"/>
  <c r="AO77" i="2"/>
  <c r="AJ77" i="2"/>
  <c r="AE77" i="2"/>
  <c r="Z77" i="2"/>
  <c r="Y77" i="2"/>
  <c r="X77" i="2"/>
  <c r="T77" i="2"/>
  <c r="L77" i="2"/>
  <c r="CM76" i="2"/>
  <c r="CH76" i="2"/>
  <c r="CC76" i="2"/>
  <c r="BX76" i="2"/>
  <c r="BS76" i="2"/>
  <c r="BN76" i="2"/>
  <c r="BD76" i="2"/>
  <c r="AY76" i="2"/>
  <c r="AT76" i="2"/>
  <c r="AO76" i="2"/>
  <c r="AJ76" i="2"/>
  <c r="AE76" i="2"/>
  <c r="Z76" i="2"/>
  <c r="Y76" i="2"/>
  <c r="X76" i="2"/>
  <c r="T76" i="2"/>
  <c r="L76" i="2"/>
  <c r="CM75" i="2"/>
  <c r="CH75" i="2"/>
  <c r="CC75" i="2"/>
  <c r="BX75" i="2"/>
  <c r="BS75" i="2"/>
  <c r="BN75" i="2"/>
  <c r="BD75" i="2"/>
  <c r="AY75" i="2"/>
  <c r="AT75" i="2"/>
  <c r="AO75" i="2"/>
  <c r="AJ75" i="2"/>
  <c r="AE75" i="2"/>
  <c r="Z75" i="2"/>
  <c r="Y75" i="2"/>
  <c r="X75" i="2"/>
  <c r="T75" i="2"/>
  <c r="L75" i="2"/>
  <c r="CM74" i="2"/>
  <c r="CH74" i="2"/>
  <c r="CC74" i="2"/>
  <c r="BX74" i="2"/>
  <c r="BS74" i="2"/>
  <c r="BN74" i="2"/>
  <c r="BD74" i="2"/>
  <c r="AY74" i="2"/>
  <c r="AT74" i="2"/>
  <c r="AO74" i="2"/>
  <c r="AJ74" i="2"/>
  <c r="AE74" i="2"/>
  <c r="Z74" i="2"/>
  <c r="Y74" i="2"/>
  <c r="X74" i="2"/>
  <c r="T74" i="2"/>
  <c r="L74" i="2"/>
  <c r="CM73" i="2"/>
  <c r="CH73" i="2"/>
  <c r="CC73" i="2"/>
  <c r="BX73" i="2"/>
  <c r="BS73" i="2"/>
  <c r="BN73" i="2"/>
  <c r="BD73" i="2"/>
  <c r="AY73" i="2"/>
  <c r="AT73" i="2"/>
  <c r="AO73" i="2"/>
  <c r="AJ73" i="2"/>
  <c r="AE73" i="2"/>
  <c r="Z73" i="2"/>
  <c r="Y73" i="2"/>
  <c r="X73" i="2"/>
  <c r="T73" i="2"/>
  <c r="L73" i="2"/>
  <c r="CM72" i="2"/>
  <c r="CH72" i="2"/>
  <c r="CC72" i="2"/>
  <c r="BX72" i="2"/>
  <c r="BS72" i="2"/>
  <c r="BN72" i="2"/>
  <c r="BI72" i="2"/>
  <c r="BD72" i="2"/>
  <c r="AY72" i="2"/>
  <c r="AT72" i="2"/>
  <c r="AO72" i="2"/>
  <c r="AJ72" i="2"/>
  <c r="AE72" i="2"/>
  <c r="Z72" i="2"/>
  <c r="Y72" i="2"/>
  <c r="X72" i="2"/>
  <c r="T72" i="2"/>
  <c r="L72" i="2"/>
  <c r="CM71" i="2"/>
  <c r="CH71" i="2"/>
  <c r="CC71" i="2"/>
  <c r="BX71" i="2"/>
  <c r="BS71" i="2"/>
  <c r="BN71" i="2"/>
  <c r="BI71" i="2"/>
  <c r="BD71" i="2"/>
  <c r="AY71" i="2"/>
  <c r="AT71" i="2"/>
  <c r="AO71" i="2"/>
  <c r="AJ71" i="2"/>
  <c r="AE71" i="2"/>
  <c r="Z71" i="2"/>
  <c r="Y71" i="2"/>
  <c r="X71" i="2"/>
  <c r="T71" i="2"/>
  <c r="L71" i="2"/>
  <c r="CM70" i="2"/>
  <c r="CH70" i="2"/>
  <c r="CC70" i="2"/>
  <c r="BX70" i="2"/>
  <c r="BS70" i="2"/>
  <c r="BN70" i="2"/>
  <c r="BI70" i="2"/>
  <c r="BD70" i="2"/>
  <c r="AY70" i="2"/>
  <c r="AT70" i="2"/>
  <c r="AO70" i="2"/>
  <c r="AJ70" i="2"/>
  <c r="AE70" i="2"/>
  <c r="Z70" i="2"/>
  <c r="Y70" i="2"/>
  <c r="X70" i="2"/>
  <c r="T70" i="2"/>
  <c r="L70" i="2"/>
  <c r="CM69" i="2"/>
  <c r="CH69" i="2"/>
  <c r="CC69" i="2"/>
  <c r="BX69" i="2"/>
  <c r="BS69" i="2"/>
  <c r="BN69" i="2"/>
  <c r="BI69" i="2"/>
  <c r="BD69" i="2"/>
  <c r="AY69" i="2"/>
  <c r="AT69" i="2"/>
  <c r="AO69" i="2"/>
  <c r="AJ69" i="2"/>
  <c r="AE69" i="2"/>
  <c r="Z69" i="2"/>
  <c r="Y69" i="2"/>
  <c r="X69" i="2"/>
  <c r="T69" i="2"/>
  <c r="L69" i="2"/>
  <c r="CM68" i="2"/>
  <c r="CH68" i="2"/>
  <c r="CC68" i="2"/>
  <c r="BX68" i="2"/>
  <c r="BS68" i="2"/>
  <c r="BN68" i="2"/>
  <c r="BI68" i="2"/>
  <c r="BD68" i="2"/>
  <c r="AY68" i="2"/>
  <c r="AT68" i="2"/>
  <c r="AO68" i="2"/>
  <c r="AJ68" i="2"/>
  <c r="AE68" i="2"/>
  <c r="Z68" i="2"/>
  <c r="Y68" i="2"/>
  <c r="X68" i="2"/>
  <c r="T68" i="2"/>
  <c r="L68" i="2"/>
  <c r="CM67" i="2"/>
  <c r="CH67" i="2"/>
  <c r="CC67" i="2"/>
  <c r="BX67" i="2"/>
  <c r="BS67" i="2"/>
  <c r="BN67" i="2"/>
  <c r="BI67" i="2"/>
  <c r="BD67" i="2"/>
  <c r="AY67" i="2"/>
  <c r="AT67" i="2"/>
  <c r="AO67" i="2"/>
  <c r="AJ67" i="2"/>
  <c r="AE67" i="2"/>
  <c r="Z67" i="2"/>
  <c r="Y67" i="2"/>
  <c r="X67" i="2"/>
  <c r="T67" i="2"/>
  <c r="L67" i="2"/>
  <c r="CM66" i="2"/>
  <c r="CH66" i="2"/>
  <c r="CC66" i="2"/>
  <c r="BX66" i="2"/>
  <c r="BS66" i="2"/>
  <c r="BN66" i="2"/>
  <c r="BI66" i="2"/>
  <c r="BD66" i="2"/>
  <c r="AY66" i="2"/>
  <c r="AT66" i="2"/>
  <c r="AO66" i="2"/>
  <c r="AJ66" i="2"/>
  <c r="AE66" i="2"/>
  <c r="Z66" i="2"/>
  <c r="Y66" i="2"/>
  <c r="X66" i="2"/>
  <c r="T66" i="2"/>
  <c r="L66" i="2"/>
  <c r="CM65" i="2"/>
  <c r="CH65" i="2"/>
  <c r="CC65" i="2"/>
  <c r="BX65" i="2"/>
  <c r="BS65" i="2"/>
  <c r="BN65" i="2"/>
  <c r="BI65" i="2"/>
  <c r="BD65" i="2"/>
  <c r="AY65" i="2"/>
  <c r="AT65" i="2"/>
  <c r="AO65" i="2"/>
  <c r="AJ65" i="2"/>
  <c r="AE65" i="2"/>
  <c r="Z65" i="2"/>
  <c r="Y65" i="2"/>
  <c r="X65" i="2"/>
  <c r="T65" i="2"/>
  <c r="L65" i="2"/>
  <c r="CM64" i="2"/>
  <c r="CH64" i="2"/>
  <c r="CC64" i="2"/>
  <c r="BX64" i="2"/>
  <c r="BS64" i="2"/>
  <c r="BN64" i="2"/>
  <c r="BI64" i="2"/>
  <c r="BD64" i="2"/>
  <c r="AY64" i="2"/>
  <c r="AT64" i="2"/>
  <c r="AO64" i="2"/>
  <c r="AJ64" i="2"/>
  <c r="AE64" i="2"/>
  <c r="Z64" i="2"/>
  <c r="Y64" i="2"/>
  <c r="X64" i="2"/>
  <c r="T64" i="2"/>
  <c r="L64" i="2"/>
  <c r="CM63" i="2"/>
  <c r="CH63" i="2"/>
  <c r="CC63" i="2"/>
  <c r="BX63" i="2"/>
  <c r="BS63" i="2"/>
  <c r="BN63" i="2"/>
  <c r="BI63" i="2"/>
  <c r="BD63" i="2"/>
  <c r="AY63" i="2"/>
  <c r="AT63" i="2"/>
  <c r="AO63" i="2"/>
  <c r="AJ63" i="2"/>
  <c r="AE63" i="2"/>
  <c r="Z63" i="2"/>
  <c r="Y63" i="2"/>
  <c r="X63" i="2"/>
  <c r="T63" i="2"/>
  <c r="L63" i="2"/>
  <c r="CM62" i="2"/>
  <c r="CH62" i="2"/>
  <c r="CC62" i="2"/>
  <c r="BX62" i="2"/>
  <c r="BS62" i="2"/>
  <c r="BN62" i="2"/>
  <c r="BI62" i="2"/>
  <c r="BD62" i="2"/>
  <c r="AY62" i="2"/>
  <c r="AT62" i="2"/>
  <c r="AO62" i="2"/>
  <c r="AJ62" i="2"/>
  <c r="AE62" i="2"/>
  <c r="Z62" i="2"/>
  <c r="Y62" i="2"/>
  <c r="X62" i="2"/>
  <c r="T62" i="2"/>
  <c r="L62" i="2"/>
  <c r="CM61" i="2"/>
  <c r="CH61" i="2"/>
  <c r="CC61" i="2"/>
  <c r="BX61" i="2"/>
  <c r="BS61" i="2"/>
  <c r="BN61" i="2"/>
  <c r="BI61" i="2"/>
  <c r="BD61" i="2"/>
  <c r="AY61" i="2"/>
  <c r="AT61" i="2"/>
  <c r="AO61" i="2"/>
  <c r="AJ61" i="2"/>
  <c r="AE61" i="2"/>
  <c r="Z61" i="2"/>
  <c r="Y61" i="2"/>
  <c r="X61" i="2"/>
  <c r="T61" i="2"/>
  <c r="L61" i="2"/>
  <c r="CM60" i="2"/>
  <c r="CH60" i="2"/>
  <c r="CC60" i="2"/>
  <c r="BX60" i="2"/>
  <c r="BS60" i="2"/>
  <c r="BN60" i="2"/>
  <c r="BI60" i="2"/>
  <c r="BD60" i="2"/>
  <c r="AY60" i="2"/>
  <c r="AT60" i="2"/>
  <c r="AO60" i="2"/>
  <c r="AJ60" i="2"/>
  <c r="AE60" i="2"/>
  <c r="Z60" i="2"/>
  <c r="Y60" i="2"/>
  <c r="X60" i="2"/>
  <c r="T60" i="2"/>
  <c r="L60" i="2"/>
  <c r="CM59" i="2"/>
  <c r="CH59" i="2"/>
  <c r="CC59" i="2"/>
  <c r="BX59" i="2"/>
  <c r="BS59" i="2"/>
  <c r="BN59" i="2"/>
  <c r="BI59" i="2"/>
  <c r="BD59" i="2"/>
  <c r="AY59" i="2"/>
  <c r="AT59" i="2"/>
  <c r="AO59" i="2"/>
  <c r="AJ59" i="2"/>
  <c r="AE59" i="2"/>
  <c r="Z59" i="2"/>
  <c r="Y59" i="2"/>
  <c r="X59" i="2"/>
  <c r="T59" i="2"/>
  <c r="L59" i="2"/>
  <c r="CM58" i="2"/>
  <c r="CH58" i="2"/>
  <c r="CC58" i="2"/>
  <c r="BX58" i="2"/>
  <c r="BS58" i="2"/>
  <c r="BN58" i="2"/>
  <c r="BI58" i="2"/>
  <c r="BD58" i="2"/>
  <c r="AY58" i="2"/>
  <c r="AT58" i="2"/>
  <c r="AO58" i="2"/>
  <c r="AJ58" i="2"/>
  <c r="AE58" i="2"/>
  <c r="Z58" i="2"/>
  <c r="Y58" i="2"/>
  <c r="X58" i="2"/>
  <c r="T58" i="2"/>
  <c r="L58" i="2"/>
  <c r="CM57" i="2"/>
  <c r="CH57" i="2"/>
  <c r="CC57" i="2"/>
  <c r="BX57" i="2"/>
  <c r="BS57" i="2"/>
  <c r="BN57" i="2"/>
  <c r="BI57" i="2"/>
  <c r="BD57" i="2"/>
  <c r="AY57" i="2"/>
  <c r="AT57" i="2"/>
  <c r="AO57" i="2"/>
  <c r="AJ57" i="2"/>
  <c r="AE57" i="2"/>
  <c r="Z57" i="2"/>
  <c r="Y57" i="2"/>
  <c r="X57" i="2"/>
  <c r="T57" i="2"/>
  <c r="L57" i="2"/>
  <c r="CM56" i="2"/>
  <c r="CH56" i="2"/>
  <c r="CC56" i="2"/>
  <c r="BX56" i="2"/>
  <c r="BS56" i="2"/>
  <c r="BN56" i="2"/>
  <c r="BI56" i="2"/>
  <c r="BD56" i="2"/>
  <c r="AY56" i="2"/>
  <c r="AT56" i="2"/>
  <c r="AO56" i="2"/>
  <c r="AJ56" i="2"/>
  <c r="AE56" i="2"/>
  <c r="Z56" i="2"/>
  <c r="Y56" i="2"/>
  <c r="X56" i="2"/>
  <c r="T56" i="2"/>
  <c r="L56" i="2"/>
  <c r="CM55" i="2"/>
  <c r="CH55" i="2"/>
  <c r="CC55" i="2"/>
  <c r="BX55" i="2"/>
  <c r="BS55" i="2"/>
  <c r="BN55" i="2"/>
  <c r="BI55" i="2"/>
  <c r="BD55" i="2"/>
  <c r="AY55" i="2"/>
  <c r="AT55" i="2"/>
  <c r="AO55" i="2"/>
  <c r="AJ55" i="2"/>
  <c r="AE55" i="2"/>
  <c r="Z55" i="2"/>
  <c r="Y55" i="2"/>
  <c r="X55" i="2"/>
  <c r="T55" i="2"/>
  <c r="L55" i="2"/>
  <c r="CM54" i="2"/>
  <c r="CH54" i="2"/>
  <c r="CC54" i="2"/>
  <c r="BX54" i="2"/>
  <c r="BS54" i="2"/>
  <c r="BN54" i="2"/>
  <c r="BI54" i="2"/>
  <c r="BD54" i="2"/>
  <c r="AY54" i="2"/>
  <c r="AT54" i="2"/>
  <c r="AO54" i="2"/>
  <c r="AJ54" i="2"/>
  <c r="AE54" i="2"/>
  <c r="Z54" i="2"/>
  <c r="Y54" i="2"/>
  <c r="X54" i="2"/>
  <c r="T54" i="2"/>
  <c r="L54" i="2"/>
  <c r="CM53" i="2"/>
  <c r="CH53" i="2"/>
  <c r="CC53" i="2"/>
  <c r="BX53" i="2"/>
  <c r="BS53" i="2"/>
  <c r="BN53" i="2"/>
  <c r="BD53" i="2"/>
  <c r="AY53" i="2"/>
  <c r="AT53" i="2"/>
  <c r="AO53" i="2"/>
  <c r="AJ53" i="2"/>
  <c r="AE53" i="2"/>
  <c r="Z53" i="2"/>
  <c r="Y53" i="2"/>
  <c r="X53" i="2"/>
  <c r="T53" i="2"/>
  <c r="L53" i="2"/>
  <c r="CM52" i="2"/>
  <c r="CH52" i="2"/>
  <c r="CC52" i="2"/>
  <c r="BX52" i="2"/>
  <c r="BS52" i="2"/>
  <c r="BN52" i="2"/>
  <c r="BD52" i="2"/>
  <c r="AY52" i="2"/>
  <c r="AT52" i="2"/>
  <c r="AO52" i="2"/>
  <c r="AJ52" i="2"/>
  <c r="AE52" i="2"/>
  <c r="Z52" i="2"/>
  <c r="Y52" i="2"/>
  <c r="X52" i="2"/>
  <c r="T52" i="2"/>
  <c r="L52" i="2"/>
  <c r="CM51" i="2"/>
  <c r="CH51" i="2"/>
  <c r="CC51" i="2"/>
  <c r="BX51" i="2"/>
  <c r="BS51" i="2"/>
  <c r="BN51" i="2"/>
  <c r="BD51" i="2"/>
  <c r="AY51" i="2"/>
  <c r="AT51" i="2"/>
  <c r="AO51" i="2"/>
  <c r="AJ51" i="2"/>
  <c r="AE51" i="2"/>
  <c r="Z51" i="2"/>
  <c r="Y51" i="2"/>
  <c r="X51" i="2"/>
  <c r="T51" i="2"/>
  <c r="L51" i="2"/>
  <c r="CM50" i="2"/>
  <c r="CH50" i="2"/>
  <c r="CC50" i="2"/>
  <c r="BX50" i="2"/>
  <c r="BS50" i="2"/>
  <c r="BN50" i="2"/>
  <c r="BD50" i="2"/>
  <c r="AY50" i="2"/>
  <c r="AT50" i="2"/>
  <c r="AO50" i="2"/>
  <c r="AJ50" i="2"/>
  <c r="AE50" i="2"/>
  <c r="Z50" i="2"/>
  <c r="Y50" i="2"/>
  <c r="X50" i="2"/>
  <c r="T50" i="2"/>
  <c r="L50" i="2"/>
  <c r="CM49" i="2"/>
  <c r="CH49" i="2"/>
  <c r="CC49" i="2"/>
  <c r="BX49" i="2"/>
  <c r="BS49" i="2"/>
  <c r="BN49" i="2"/>
  <c r="BD49" i="2"/>
  <c r="AY49" i="2"/>
  <c r="AT49" i="2"/>
  <c r="AO49" i="2"/>
  <c r="AJ49" i="2"/>
  <c r="AE49" i="2"/>
  <c r="Z49" i="2"/>
  <c r="Y49" i="2"/>
  <c r="X49" i="2"/>
  <c r="T49" i="2"/>
  <c r="L49" i="2"/>
  <c r="CM48" i="2"/>
  <c r="CH48" i="2"/>
  <c r="CC48" i="2"/>
  <c r="BX48" i="2"/>
  <c r="BS48" i="2"/>
  <c r="BN48" i="2"/>
  <c r="BD48" i="2"/>
  <c r="AY48" i="2"/>
  <c r="AT48" i="2"/>
  <c r="AO48" i="2"/>
  <c r="AJ48" i="2"/>
  <c r="AE48" i="2"/>
  <c r="Z48" i="2"/>
  <c r="Y48" i="2"/>
  <c r="X48" i="2"/>
  <c r="T48" i="2"/>
  <c r="L48" i="2"/>
  <c r="CM47" i="2"/>
  <c r="CH47" i="2"/>
  <c r="CC47" i="2"/>
  <c r="BX47" i="2"/>
  <c r="BS47" i="2"/>
  <c r="BN47" i="2"/>
  <c r="BD47" i="2"/>
  <c r="AY47" i="2"/>
  <c r="AT47" i="2"/>
  <c r="AO47" i="2"/>
  <c r="AJ47" i="2"/>
  <c r="AE47" i="2"/>
  <c r="Z47" i="2"/>
  <c r="Y47" i="2"/>
  <c r="X47" i="2"/>
  <c r="T47" i="2"/>
  <c r="L47" i="2"/>
  <c r="CM46" i="2"/>
  <c r="CH46" i="2"/>
  <c r="CC46" i="2"/>
  <c r="BX46" i="2"/>
  <c r="BS46" i="2"/>
  <c r="BN46" i="2"/>
  <c r="BD46" i="2"/>
  <c r="AY46" i="2"/>
  <c r="AT46" i="2"/>
  <c r="AO46" i="2"/>
  <c r="AJ46" i="2"/>
  <c r="AE46" i="2"/>
  <c r="Z46" i="2"/>
  <c r="Y46" i="2"/>
  <c r="X46" i="2"/>
  <c r="T46" i="2"/>
  <c r="L46" i="2"/>
  <c r="CM45" i="2"/>
  <c r="CH45" i="2"/>
  <c r="CC45" i="2"/>
  <c r="BX45" i="2"/>
  <c r="BS45" i="2"/>
  <c r="BN45" i="2"/>
  <c r="BD45" i="2"/>
  <c r="AY45" i="2"/>
  <c r="AT45" i="2"/>
  <c r="AO45" i="2"/>
  <c r="AJ45" i="2"/>
  <c r="AE45" i="2"/>
  <c r="Z45" i="2"/>
  <c r="Y45" i="2"/>
  <c r="X45" i="2"/>
  <c r="T45" i="2"/>
  <c r="L45" i="2"/>
  <c r="CM44" i="2"/>
  <c r="CH44" i="2"/>
  <c r="CC44" i="2"/>
  <c r="BX44" i="2"/>
  <c r="BS44" i="2"/>
  <c r="BN44" i="2"/>
  <c r="BD44" i="2"/>
  <c r="AY44" i="2"/>
  <c r="AT44" i="2"/>
  <c r="AO44" i="2"/>
  <c r="AJ44" i="2"/>
  <c r="AE44" i="2"/>
  <c r="Z44" i="2"/>
  <c r="Y44" i="2"/>
  <c r="X44" i="2"/>
  <c r="T44" i="2"/>
  <c r="L44" i="2"/>
  <c r="CM43" i="2"/>
  <c r="CH43" i="2"/>
  <c r="CC43" i="2"/>
  <c r="BX43" i="2"/>
  <c r="BS43" i="2"/>
  <c r="BN43" i="2"/>
  <c r="BI43" i="2"/>
  <c r="BD43" i="2"/>
  <c r="AY43" i="2"/>
  <c r="AT43" i="2"/>
  <c r="AO43" i="2"/>
  <c r="AJ43" i="2"/>
  <c r="AE43" i="2"/>
  <c r="Z43" i="2"/>
  <c r="Y43" i="2"/>
  <c r="X43" i="2"/>
  <c r="T43" i="2"/>
  <c r="L43" i="2"/>
  <c r="CM42" i="2"/>
  <c r="CH42" i="2"/>
  <c r="CC42" i="2"/>
  <c r="BX42" i="2"/>
  <c r="BS42" i="2"/>
  <c r="BN42" i="2"/>
  <c r="BI42" i="2"/>
  <c r="BD42" i="2"/>
  <c r="AY42" i="2"/>
  <c r="AT42" i="2"/>
  <c r="AO42" i="2"/>
  <c r="AJ42" i="2"/>
  <c r="AE42" i="2"/>
  <c r="Z42" i="2"/>
  <c r="Y42" i="2"/>
  <c r="X42" i="2"/>
  <c r="T42" i="2"/>
  <c r="L42" i="2"/>
  <c r="CM41" i="2"/>
  <c r="CH41" i="2"/>
  <c r="CC41" i="2"/>
  <c r="BX41" i="2"/>
  <c r="BS41" i="2"/>
  <c r="BN41" i="2"/>
  <c r="BI41" i="2"/>
  <c r="BD41" i="2"/>
  <c r="AY41" i="2"/>
  <c r="AT41" i="2"/>
  <c r="AO41" i="2"/>
  <c r="AJ41" i="2"/>
  <c r="AE41" i="2"/>
  <c r="Z41" i="2"/>
  <c r="Y41" i="2"/>
  <c r="X41" i="2"/>
  <c r="T41" i="2"/>
  <c r="L41" i="2"/>
  <c r="CM40" i="2"/>
  <c r="CH40" i="2"/>
  <c r="CC40" i="2"/>
  <c r="BX40" i="2"/>
  <c r="BS40" i="2"/>
  <c r="BN40" i="2"/>
  <c r="BI40" i="2"/>
  <c r="BD40" i="2"/>
  <c r="AY40" i="2"/>
  <c r="AT40" i="2"/>
  <c r="AO40" i="2"/>
  <c r="AJ40" i="2"/>
  <c r="AE40" i="2"/>
  <c r="Z40" i="2"/>
  <c r="Y40" i="2"/>
  <c r="X40" i="2"/>
  <c r="T40" i="2"/>
  <c r="L40" i="2"/>
  <c r="CM39" i="2"/>
  <c r="CH39" i="2"/>
  <c r="CC39" i="2"/>
  <c r="BX39" i="2"/>
  <c r="BS39" i="2"/>
  <c r="BN39" i="2"/>
  <c r="BI39" i="2"/>
  <c r="BD39" i="2"/>
  <c r="AY39" i="2"/>
  <c r="AT39" i="2"/>
  <c r="AO39" i="2"/>
  <c r="AJ39" i="2"/>
  <c r="AE39" i="2"/>
  <c r="Z39" i="2"/>
  <c r="Y39" i="2"/>
  <c r="X39" i="2"/>
  <c r="T39" i="2"/>
  <c r="L39" i="2"/>
  <c r="CM38" i="2"/>
  <c r="CH38" i="2"/>
  <c r="CC38" i="2"/>
  <c r="BX38" i="2"/>
  <c r="BS38" i="2"/>
  <c r="BN38" i="2"/>
  <c r="BI38" i="2"/>
  <c r="BD38" i="2"/>
  <c r="AY38" i="2"/>
  <c r="AT38" i="2"/>
  <c r="AO38" i="2"/>
  <c r="AJ38" i="2"/>
  <c r="AE38" i="2"/>
  <c r="Z38" i="2"/>
  <c r="Y38" i="2"/>
  <c r="X38" i="2"/>
  <c r="T38" i="2"/>
  <c r="L38" i="2"/>
  <c r="CM37" i="2"/>
  <c r="CH37" i="2"/>
  <c r="CC37" i="2"/>
  <c r="BX37" i="2"/>
  <c r="BS37" i="2"/>
  <c r="BN37" i="2"/>
  <c r="BI37" i="2"/>
  <c r="BD37" i="2"/>
  <c r="AY37" i="2"/>
  <c r="AT37" i="2"/>
  <c r="AO37" i="2"/>
  <c r="AJ37" i="2"/>
  <c r="AE37" i="2"/>
  <c r="Z37" i="2"/>
  <c r="Y37" i="2"/>
  <c r="X37" i="2"/>
  <c r="T37" i="2"/>
  <c r="L37" i="2"/>
  <c r="CM36" i="2"/>
  <c r="CH36" i="2"/>
  <c r="CC36" i="2"/>
  <c r="BX36" i="2"/>
  <c r="BS36" i="2"/>
  <c r="BN36" i="2"/>
  <c r="BI36" i="2"/>
  <c r="BD36" i="2"/>
  <c r="AY36" i="2"/>
  <c r="AT36" i="2"/>
  <c r="AO36" i="2"/>
  <c r="AJ36" i="2"/>
  <c r="AE36" i="2"/>
  <c r="Z36" i="2"/>
  <c r="Y36" i="2"/>
  <c r="X36" i="2"/>
  <c r="T36" i="2"/>
  <c r="L36" i="2"/>
  <c r="CM35" i="2"/>
  <c r="CH35" i="2"/>
  <c r="CC35" i="2"/>
  <c r="BX35" i="2"/>
  <c r="BS35" i="2"/>
  <c r="BN35" i="2"/>
  <c r="BI35" i="2"/>
  <c r="BD35" i="2"/>
  <c r="AY35" i="2"/>
  <c r="AT35" i="2"/>
  <c r="AO35" i="2"/>
  <c r="AJ35" i="2"/>
  <c r="AE35" i="2"/>
  <c r="Z35" i="2"/>
  <c r="Y35" i="2"/>
  <c r="X35" i="2"/>
  <c r="T35" i="2"/>
  <c r="L35" i="2"/>
  <c r="CM34" i="2"/>
  <c r="CH34" i="2"/>
  <c r="CC34" i="2"/>
  <c r="BX34" i="2"/>
  <c r="BS34" i="2"/>
  <c r="BN34" i="2"/>
  <c r="BI34" i="2"/>
  <c r="BD34" i="2"/>
  <c r="AY34" i="2"/>
  <c r="AT34" i="2"/>
  <c r="AO34" i="2"/>
  <c r="AJ34" i="2"/>
  <c r="AE34" i="2"/>
  <c r="Z34" i="2"/>
  <c r="Y34" i="2"/>
  <c r="X34" i="2"/>
  <c r="T34" i="2"/>
  <c r="L34" i="2"/>
  <c r="CM33" i="2"/>
  <c r="CH33" i="2"/>
  <c r="CC33" i="2"/>
  <c r="BX33" i="2"/>
  <c r="BS33" i="2"/>
  <c r="BN33" i="2"/>
  <c r="BI33" i="2"/>
  <c r="BD33" i="2"/>
  <c r="AY33" i="2"/>
  <c r="AT33" i="2"/>
  <c r="AO33" i="2"/>
  <c r="AJ33" i="2"/>
  <c r="AE33" i="2"/>
  <c r="Z33" i="2"/>
  <c r="Y33" i="2"/>
  <c r="X33" i="2"/>
  <c r="T33" i="2"/>
  <c r="L33" i="2"/>
  <c r="CM32" i="2"/>
  <c r="CH32" i="2"/>
  <c r="CC32" i="2"/>
  <c r="BX32" i="2"/>
  <c r="BS32" i="2"/>
  <c r="BN32" i="2"/>
  <c r="BI32" i="2"/>
  <c r="BD32" i="2"/>
  <c r="AY32" i="2"/>
  <c r="AT32" i="2"/>
  <c r="AO32" i="2"/>
  <c r="AJ32" i="2"/>
  <c r="AE32" i="2"/>
  <c r="Z32" i="2"/>
  <c r="Y32" i="2"/>
  <c r="X32" i="2"/>
  <c r="T32" i="2"/>
  <c r="L32" i="2"/>
  <c r="CM31" i="2"/>
  <c r="CH31" i="2"/>
  <c r="CC31" i="2"/>
  <c r="BX31" i="2"/>
  <c r="BS31" i="2"/>
  <c r="BN31" i="2"/>
  <c r="BI31" i="2"/>
  <c r="BD31" i="2"/>
  <c r="AY31" i="2"/>
  <c r="AT31" i="2"/>
  <c r="AO31" i="2"/>
  <c r="AJ31" i="2"/>
  <c r="AE31" i="2"/>
  <c r="Z31" i="2"/>
  <c r="Y31" i="2"/>
  <c r="X31" i="2"/>
  <c r="T31" i="2"/>
  <c r="L31" i="2"/>
  <c r="CM30" i="2"/>
  <c r="CH30" i="2"/>
  <c r="CC30" i="2"/>
  <c r="BX30" i="2"/>
  <c r="BS30" i="2"/>
  <c r="BN30" i="2"/>
  <c r="BI30" i="2"/>
  <c r="BD30" i="2"/>
  <c r="AY30" i="2"/>
  <c r="AT30" i="2"/>
  <c r="AO30" i="2"/>
  <c r="AJ30" i="2"/>
  <c r="AE30" i="2"/>
  <c r="Z30" i="2"/>
  <c r="Y30" i="2"/>
  <c r="X30" i="2"/>
  <c r="T30" i="2"/>
  <c r="L30" i="2"/>
  <c r="CM29" i="2"/>
  <c r="CH29" i="2"/>
  <c r="CC29" i="2"/>
  <c r="BX29" i="2"/>
  <c r="BS29" i="2"/>
  <c r="BN29" i="2"/>
  <c r="BI29" i="2"/>
  <c r="BD29" i="2"/>
  <c r="AY29" i="2"/>
  <c r="AT29" i="2"/>
  <c r="AO29" i="2"/>
  <c r="AJ29" i="2"/>
  <c r="AE29" i="2"/>
  <c r="Z29" i="2"/>
  <c r="Y29" i="2"/>
  <c r="X29" i="2"/>
  <c r="T29" i="2"/>
  <c r="L29" i="2"/>
  <c r="CM28" i="2"/>
  <c r="CH28" i="2"/>
  <c r="CC28" i="2"/>
  <c r="BX28" i="2"/>
  <c r="BS28" i="2"/>
  <c r="BN28" i="2"/>
  <c r="BI28" i="2"/>
  <c r="BD28" i="2"/>
  <c r="AY28" i="2"/>
  <c r="AT28" i="2"/>
  <c r="AO28" i="2"/>
  <c r="AJ28" i="2"/>
  <c r="AE28" i="2"/>
  <c r="Z28" i="2"/>
  <c r="Y28" i="2"/>
  <c r="X28" i="2"/>
  <c r="T28" i="2"/>
  <c r="L28" i="2"/>
  <c r="CM27" i="2"/>
  <c r="CH27" i="2"/>
  <c r="CC27" i="2"/>
  <c r="BX27" i="2"/>
  <c r="BS27" i="2"/>
  <c r="BN27" i="2"/>
  <c r="BI27" i="2"/>
  <c r="BD27" i="2"/>
  <c r="AY27" i="2"/>
  <c r="AT27" i="2"/>
  <c r="AO27" i="2"/>
  <c r="AJ27" i="2"/>
  <c r="AE27" i="2"/>
  <c r="Z27" i="2"/>
  <c r="Y27" i="2"/>
  <c r="X27" i="2"/>
  <c r="T27" i="2"/>
  <c r="L27" i="2"/>
  <c r="CM26" i="2"/>
  <c r="CH26" i="2"/>
  <c r="CC26" i="2"/>
  <c r="BX26" i="2"/>
  <c r="BS26" i="2"/>
  <c r="BN26" i="2"/>
  <c r="BI26" i="2"/>
  <c r="BD26" i="2"/>
  <c r="AY26" i="2"/>
  <c r="AT26" i="2"/>
  <c r="AO26" i="2"/>
  <c r="AJ26" i="2"/>
  <c r="AE26" i="2"/>
  <c r="Z26" i="2"/>
  <c r="Y26" i="2"/>
  <c r="X26" i="2"/>
  <c r="T26" i="2"/>
  <c r="L26" i="2"/>
  <c r="CM25" i="2"/>
  <c r="CH25" i="2"/>
  <c r="CC25" i="2"/>
  <c r="BX25" i="2"/>
  <c r="BS25" i="2"/>
  <c r="BN25" i="2"/>
  <c r="BI25" i="2"/>
  <c r="BD25" i="2"/>
  <c r="AY25" i="2"/>
  <c r="AT25" i="2"/>
  <c r="AO25" i="2"/>
  <c r="AJ25" i="2"/>
  <c r="AE25" i="2"/>
  <c r="Z25" i="2"/>
  <c r="Y25" i="2"/>
  <c r="X25" i="2"/>
  <c r="T25" i="2"/>
  <c r="L25" i="2"/>
  <c r="CM24" i="2"/>
  <c r="CH24" i="2"/>
  <c r="CC24" i="2"/>
  <c r="BX24" i="2"/>
  <c r="BS24" i="2"/>
  <c r="BN24" i="2"/>
  <c r="BI24" i="2"/>
  <c r="BD24" i="2"/>
  <c r="AY24" i="2"/>
  <c r="AT24" i="2"/>
  <c r="AO24" i="2"/>
  <c r="AJ24" i="2"/>
  <c r="AE24" i="2"/>
  <c r="Z24" i="2"/>
  <c r="Y24" i="2"/>
  <c r="X24" i="2"/>
  <c r="T24" i="2"/>
  <c r="L24" i="2"/>
  <c r="CM23" i="2"/>
  <c r="CH23" i="2"/>
  <c r="CC23" i="2"/>
  <c r="BX23" i="2"/>
  <c r="BS23" i="2"/>
  <c r="BN23" i="2"/>
  <c r="BI23" i="2"/>
  <c r="BD23" i="2"/>
  <c r="AY23" i="2"/>
  <c r="AT23" i="2"/>
  <c r="AO23" i="2"/>
  <c r="AJ23" i="2"/>
  <c r="AE23" i="2"/>
  <c r="Z23" i="2"/>
  <c r="Y23" i="2"/>
  <c r="X23" i="2"/>
  <c r="T23" i="2"/>
  <c r="L23" i="2"/>
  <c r="CM22" i="2"/>
  <c r="CH22" i="2"/>
  <c r="CC22" i="2"/>
  <c r="BX22" i="2"/>
  <c r="BS22" i="2"/>
  <c r="BN22" i="2"/>
  <c r="BI22" i="2"/>
  <c r="BD22" i="2"/>
  <c r="AY22" i="2"/>
  <c r="AT22" i="2"/>
  <c r="AO22" i="2"/>
  <c r="AJ22" i="2"/>
  <c r="AE22" i="2"/>
  <c r="Z22" i="2"/>
  <c r="Y22" i="2"/>
  <c r="X22" i="2"/>
  <c r="T22" i="2"/>
  <c r="L22" i="2"/>
  <c r="CM21" i="2"/>
  <c r="CH21" i="2"/>
  <c r="CC21" i="2"/>
  <c r="BX21" i="2"/>
  <c r="BS21" i="2"/>
  <c r="BN21" i="2"/>
  <c r="BI21" i="2"/>
  <c r="BD21" i="2"/>
  <c r="AY21" i="2"/>
  <c r="AT21" i="2"/>
  <c r="AO21" i="2"/>
  <c r="AJ21" i="2"/>
  <c r="AE21" i="2"/>
  <c r="Z21" i="2"/>
  <c r="Y21" i="2"/>
  <c r="X21" i="2"/>
  <c r="T21" i="2"/>
  <c r="L21" i="2"/>
  <c r="CM20" i="2"/>
  <c r="CH20" i="2"/>
  <c r="CC20" i="2"/>
  <c r="BX20" i="2"/>
  <c r="BS20" i="2"/>
  <c r="BN20" i="2"/>
  <c r="BI20" i="2"/>
  <c r="BD20" i="2"/>
  <c r="AY20" i="2"/>
  <c r="AT20" i="2"/>
  <c r="AO20" i="2"/>
  <c r="AJ20" i="2"/>
  <c r="AE20" i="2"/>
  <c r="Z20" i="2"/>
  <c r="Y20" i="2"/>
  <c r="X20" i="2"/>
  <c r="T20" i="2"/>
  <c r="L20" i="2"/>
  <c r="CM19" i="2"/>
  <c r="CH19" i="2"/>
  <c r="CC19" i="2"/>
  <c r="BX19" i="2"/>
  <c r="BS19" i="2"/>
  <c r="BN19" i="2"/>
  <c r="BI19" i="2"/>
  <c r="BD19" i="2"/>
  <c r="AY19" i="2"/>
  <c r="AT19" i="2"/>
  <c r="AO19" i="2"/>
  <c r="AJ19" i="2"/>
  <c r="AE19" i="2"/>
  <c r="Z19" i="2"/>
  <c r="Y19" i="2"/>
  <c r="X19" i="2"/>
  <c r="T19" i="2"/>
  <c r="L19" i="2"/>
  <c r="CM18" i="2"/>
  <c r="CH18" i="2"/>
  <c r="CC18" i="2"/>
  <c r="BX18" i="2"/>
  <c r="BS18" i="2"/>
  <c r="BN18" i="2"/>
  <c r="BI18" i="2"/>
  <c r="BD18" i="2"/>
  <c r="AY18" i="2"/>
  <c r="AT18" i="2"/>
  <c r="AO18" i="2"/>
  <c r="AJ18" i="2"/>
  <c r="AE18" i="2"/>
  <c r="Z18" i="2"/>
  <c r="Y18" i="2"/>
  <c r="X18" i="2"/>
  <c r="T18" i="2"/>
  <c r="L18" i="2"/>
  <c r="CM17" i="2"/>
  <c r="CH17" i="2"/>
  <c r="CC17" i="2"/>
  <c r="BX17" i="2"/>
  <c r="BS17" i="2"/>
  <c r="BN17" i="2"/>
  <c r="BI17" i="2"/>
  <c r="BD17" i="2"/>
  <c r="AY17" i="2"/>
  <c r="AT17" i="2"/>
  <c r="AO17" i="2"/>
  <c r="AJ17" i="2"/>
  <c r="AE17" i="2"/>
  <c r="Z17" i="2"/>
  <c r="Y17" i="2"/>
  <c r="X17" i="2"/>
  <c r="T17" i="2"/>
  <c r="L17" i="2"/>
  <c r="CM16" i="2"/>
  <c r="CH16" i="2"/>
  <c r="CC16" i="2"/>
  <c r="BX16" i="2"/>
  <c r="BS16" i="2"/>
  <c r="BN16" i="2"/>
  <c r="BI16" i="2"/>
  <c r="BD16" i="2"/>
  <c r="AY16" i="2"/>
  <c r="AT16" i="2"/>
  <c r="AO16" i="2"/>
  <c r="AJ16" i="2"/>
  <c r="AE16" i="2"/>
  <c r="Z16" i="2"/>
  <c r="Y16" i="2"/>
  <c r="X16" i="2"/>
  <c r="T16" i="2"/>
  <c r="L16" i="2"/>
  <c r="CM15" i="2"/>
  <c r="CH15" i="2"/>
  <c r="CC15" i="2"/>
  <c r="BX15" i="2"/>
  <c r="BS15" i="2"/>
  <c r="BN15" i="2"/>
  <c r="BI15" i="2"/>
  <c r="BD15" i="2"/>
  <c r="AY15" i="2"/>
  <c r="AT15" i="2"/>
  <c r="AO15" i="2"/>
  <c r="AJ15" i="2"/>
  <c r="AE15" i="2"/>
  <c r="Z15" i="2"/>
  <c r="Y15" i="2"/>
  <c r="X15" i="2"/>
  <c r="T15" i="2"/>
  <c r="L15" i="2"/>
  <c r="CM14" i="2"/>
  <c r="CH14" i="2"/>
  <c r="CC14" i="2"/>
  <c r="BX14" i="2"/>
  <c r="BS14" i="2"/>
  <c r="BN14" i="2"/>
  <c r="BI14" i="2"/>
  <c r="BD14" i="2"/>
  <c r="AY14" i="2"/>
  <c r="AT14" i="2"/>
  <c r="AO14" i="2"/>
  <c r="AJ14" i="2"/>
  <c r="AE14" i="2"/>
  <c r="Z14" i="2"/>
  <c r="Y14" i="2"/>
  <c r="X14" i="2"/>
  <c r="T14" i="2"/>
  <c r="L14" i="2"/>
  <c r="CM13" i="2"/>
  <c r="CH13" i="2"/>
  <c r="CC13" i="2"/>
  <c r="BX13" i="2"/>
  <c r="BS13" i="2"/>
  <c r="BN13" i="2"/>
  <c r="BI13" i="2"/>
  <c r="BD13" i="2"/>
  <c r="AY13" i="2"/>
  <c r="AT13" i="2"/>
  <c r="AO13" i="2"/>
  <c r="AJ13" i="2"/>
  <c r="AE13" i="2"/>
  <c r="Z13" i="2"/>
  <c r="Y13" i="2"/>
  <c r="X13" i="2"/>
  <c r="T13" i="2"/>
  <c r="L13" i="2"/>
  <c r="CM12" i="2"/>
  <c r="CH12" i="2"/>
  <c r="CC12" i="2"/>
  <c r="BX12" i="2"/>
  <c r="BS12" i="2"/>
  <c r="BN12" i="2"/>
  <c r="BI12" i="2"/>
  <c r="BD12" i="2"/>
  <c r="AY12" i="2"/>
  <c r="AT12" i="2"/>
  <c r="AO12" i="2"/>
  <c r="AJ12" i="2"/>
  <c r="AE12" i="2"/>
  <c r="Z12" i="2"/>
  <c r="Y12" i="2"/>
  <c r="X12" i="2"/>
  <c r="T12" i="2"/>
  <c r="L12" i="2"/>
  <c r="CM11" i="2"/>
  <c r="CH11" i="2"/>
  <c r="CC11" i="2"/>
  <c r="BX11" i="2"/>
  <c r="BS11" i="2"/>
  <c r="BN11" i="2"/>
  <c r="BI11" i="2"/>
  <c r="BD11" i="2"/>
  <c r="AY11" i="2"/>
  <c r="AT11" i="2"/>
  <c r="AO11" i="2"/>
  <c r="AJ11" i="2"/>
  <c r="AE11" i="2"/>
  <c r="Z11" i="2"/>
  <c r="Y11" i="2"/>
  <c r="X11" i="2"/>
  <c r="T11" i="2"/>
  <c r="L11" i="2"/>
  <c r="CM10" i="2"/>
  <c r="CH10" i="2"/>
  <c r="CC10" i="2"/>
  <c r="BX10" i="2"/>
  <c r="BS10" i="2"/>
  <c r="BN10" i="2"/>
  <c r="BI10" i="2"/>
  <c r="BD10" i="2"/>
  <c r="AY10" i="2"/>
  <c r="AT10" i="2"/>
  <c r="AO10" i="2"/>
  <c r="AJ10" i="2"/>
  <c r="AE10" i="2"/>
  <c r="Z10" i="2"/>
  <c r="Y10" i="2"/>
  <c r="X10" i="2"/>
  <c r="T10" i="2"/>
  <c r="L10" i="2"/>
  <c r="CM9" i="2"/>
  <c r="CH9" i="2"/>
  <c r="CC9" i="2"/>
  <c r="BX9" i="2"/>
  <c r="BS9" i="2"/>
  <c r="BN9" i="2"/>
  <c r="BI9" i="2"/>
  <c r="BD9" i="2"/>
  <c r="AY9" i="2"/>
  <c r="AT9" i="2"/>
  <c r="AO9" i="2"/>
  <c r="AJ9" i="2"/>
  <c r="AE9" i="2"/>
  <c r="Z9" i="2"/>
  <c r="Y9" i="2"/>
  <c r="X9" i="2"/>
  <c r="T9" i="2"/>
  <c r="L9" i="2"/>
  <c r="CM8" i="2"/>
  <c r="CH8" i="2"/>
  <c r="CC8" i="2"/>
  <c r="BX8" i="2"/>
  <c r="BS8" i="2"/>
  <c r="BN8" i="2"/>
  <c r="BI8" i="2"/>
  <c r="BD8" i="2"/>
  <c r="AY8" i="2"/>
  <c r="AT8" i="2"/>
  <c r="AO8" i="2"/>
  <c r="AJ8" i="2"/>
  <c r="AE8" i="2"/>
  <c r="Z8" i="2"/>
  <c r="Y8" i="2"/>
  <c r="X8" i="2"/>
  <c r="T8" i="2"/>
  <c r="L8" i="2"/>
  <c r="CM7" i="2"/>
  <c r="CH7" i="2"/>
  <c r="CC7" i="2"/>
  <c r="BX7" i="2"/>
  <c r="BS7" i="2"/>
  <c r="BN7" i="2"/>
  <c r="BI7" i="2"/>
  <c r="BD7" i="2"/>
  <c r="AY7" i="2"/>
  <c r="AT7" i="2"/>
  <c r="AO7" i="2"/>
  <c r="AJ7" i="2"/>
  <c r="AE7" i="2"/>
  <c r="Z7" i="2"/>
  <c r="Y7" i="2"/>
  <c r="X7" i="2"/>
  <c r="T7" i="2"/>
  <c r="L7" i="2"/>
  <c r="CM6" i="2"/>
  <c r="CH6" i="2"/>
  <c r="CC6" i="2"/>
  <c r="BX6" i="2"/>
  <c r="BS6" i="2"/>
  <c r="BN6" i="2"/>
  <c r="BI6" i="2"/>
  <c r="BD6" i="2"/>
  <c r="AY6" i="2"/>
  <c r="AT6" i="2"/>
  <c r="AO6" i="2"/>
  <c r="AJ6" i="2"/>
  <c r="AE6" i="2"/>
  <c r="Z6" i="2"/>
  <c r="Y6" i="2"/>
  <c r="X6" i="2"/>
  <c r="T6" i="2"/>
  <c r="L6" i="2"/>
  <c r="CM5" i="2"/>
  <c r="CH5" i="2"/>
  <c r="CC5" i="2"/>
  <c r="BX5" i="2"/>
  <c r="BS5" i="2"/>
  <c r="BN5" i="2"/>
  <c r="BI5" i="2"/>
  <c r="BD5" i="2"/>
  <c r="AY5" i="2"/>
  <c r="AT5" i="2"/>
  <c r="AO5" i="2"/>
  <c r="AJ5" i="2"/>
  <c r="AE5" i="2"/>
  <c r="Z5" i="2"/>
  <c r="Y5" i="2"/>
  <c r="X5" i="2"/>
  <c r="T5" i="2"/>
  <c r="L5" i="2"/>
  <c r="B5" i="2"/>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CM4" i="2"/>
  <c r="CH4" i="2"/>
  <c r="CC4" i="2"/>
  <c r="BX4" i="2"/>
  <c r="BS4" i="2"/>
  <c r="BN4" i="2"/>
  <c r="BI4" i="2"/>
  <c r="BD4" i="2"/>
  <c r="AY4" i="2"/>
  <c r="AT4" i="2"/>
  <c r="AO4" i="2"/>
  <c r="AJ4" i="2"/>
  <c r="AE4" i="2"/>
  <c r="Z4" i="2"/>
  <c r="Y4" i="2"/>
  <c r="X4" i="2"/>
  <c r="R4" i="2"/>
  <c r="S4" i="2" s="1"/>
  <c r="T4" i="2" s="1"/>
  <c r="L4" i="2"/>
  <c r="B4" i="2"/>
  <c r="AD120" i="8" l="1"/>
  <c r="AC120" i="8"/>
  <c r="S120" i="8"/>
  <c r="R120" i="8"/>
  <c r="P120" i="8"/>
  <c r="O120" i="8"/>
  <c r="AD119" i="8"/>
  <c r="AC119" i="8"/>
  <c r="S119" i="8"/>
  <c r="R119" i="8"/>
  <c r="P119" i="8"/>
  <c r="O119" i="8"/>
  <c r="AD118" i="8"/>
  <c r="AC118" i="8"/>
  <c r="S118" i="8"/>
  <c r="R118" i="8"/>
  <c r="P118" i="8"/>
  <c r="O118" i="8"/>
  <c r="AD117" i="8"/>
  <c r="AC117" i="8"/>
  <c r="S117" i="8"/>
  <c r="R117" i="8"/>
  <c r="P117" i="8"/>
  <c r="O117" i="8"/>
  <c r="AD116" i="8"/>
  <c r="AC116" i="8"/>
  <c r="S116" i="8"/>
  <c r="R116" i="8"/>
  <c r="P116" i="8"/>
  <c r="O116" i="8"/>
  <c r="O115" i="8"/>
  <c r="AD115" i="8"/>
  <c r="AC115" i="8"/>
  <c r="S115" i="8"/>
  <c r="R115" i="8"/>
  <c r="P115" i="8"/>
  <c r="AD114" i="8"/>
  <c r="AC114" i="8"/>
  <c r="S114" i="8"/>
  <c r="R114" i="8"/>
  <c r="P114" i="8"/>
  <c r="O114" i="8"/>
  <c r="AD113" i="8"/>
  <c r="AC113" i="8"/>
  <c r="S113" i="8"/>
  <c r="R113" i="8"/>
  <c r="P113" i="8"/>
  <c r="O113" i="8"/>
  <c r="AD112" i="8"/>
  <c r="AC112" i="8"/>
  <c r="S112" i="8"/>
  <c r="R112" i="8"/>
  <c r="P112" i="8"/>
  <c r="O112" i="8"/>
  <c r="AD111" i="8"/>
  <c r="AC111" i="8"/>
  <c r="S111" i="8"/>
  <c r="R111" i="8"/>
  <c r="P111" i="8"/>
  <c r="O111" i="8"/>
  <c r="AD110" i="8"/>
  <c r="AC110" i="8"/>
  <c r="S110" i="8"/>
  <c r="R110" i="8"/>
  <c r="P110" i="8"/>
  <c r="O110" i="8"/>
  <c r="AD109" i="8"/>
  <c r="AC109" i="8"/>
  <c r="S109" i="8"/>
  <c r="R109" i="8"/>
  <c r="P109" i="8"/>
  <c r="O109" i="8"/>
  <c r="AD108" i="8"/>
  <c r="AC108" i="8"/>
  <c r="S108" i="8"/>
  <c r="R108" i="8"/>
  <c r="P108" i="8"/>
  <c r="O108" i="8"/>
  <c r="AD107" i="8"/>
  <c r="AC107" i="8"/>
  <c r="S107" i="8"/>
  <c r="R107" i="8"/>
  <c r="P107" i="8"/>
  <c r="O107" i="8"/>
  <c r="AD106" i="8"/>
  <c r="AC106" i="8"/>
  <c r="S106" i="8"/>
  <c r="R106" i="8"/>
  <c r="P106" i="8"/>
  <c r="O106" i="8"/>
  <c r="AD105" i="8"/>
  <c r="AC105" i="8"/>
  <c r="S105" i="8"/>
  <c r="R105" i="8"/>
  <c r="P105" i="8"/>
  <c r="O105" i="8"/>
  <c r="AD104" i="8"/>
  <c r="AC104" i="8"/>
  <c r="S104" i="8"/>
  <c r="R104" i="8"/>
  <c r="P104" i="8"/>
  <c r="O104" i="8"/>
  <c r="AD103" i="8"/>
  <c r="AC103" i="8"/>
  <c r="S103" i="8"/>
  <c r="R103" i="8"/>
  <c r="P103" i="8"/>
  <c r="O103" i="8"/>
  <c r="AD102" i="8"/>
  <c r="AC102" i="8"/>
  <c r="S102" i="8"/>
  <c r="R102" i="8"/>
  <c r="P102" i="8"/>
  <c r="O102" i="8"/>
  <c r="AD101" i="8"/>
  <c r="AC101" i="8"/>
  <c r="S101" i="8"/>
  <c r="R101" i="8"/>
  <c r="P101" i="8"/>
  <c r="O101" i="8"/>
  <c r="AD100" i="8"/>
  <c r="AC100" i="8"/>
  <c r="S100" i="8"/>
  <c r="R100" i="8"/>
  <c r="P100" i="8"/>
  <c r="O100" i="8"/>
  <c r="AD99" i="8"/>
  <c r="AC99" i="8"/>
  <c r="S99" i="8"/>
  <c r="R99" i="8"/>
  <c r="P99" i="8"/>
  <c r="O99" i="8"/>
  <c r="AD98" i="8"/>
  <c r="AC98" i="8"/>
  <c r="S98" i="8"/>
  <c r="R98" i="8"/>
  <c r="P98" i="8"/>
  <c r="O98" i="8"/>
  <c r="AD97" i="8"/>
  <c r="AC97" i="8"/>
  <c r="S97" i="8"/>
  <c r="R97" i="8"/>
  <c r="P97" i="8"/>
  <c r="O97" i="8"/>
  <c r="AD96" i="8"/>
  <c r="AC96" i="8"/>
  <c r="S96" i="8"/>
  <c r="R96" i="8"/>
  <c r="P96" i="8"/>
  <c r="O96" i="8"/>
  <c r="AD95" i="8"/>
  <c r="AC95" i="8"/>
  <c r="S95" i="8"/>
  <c r="R95" i="8"/>
  <c r="P95" i="8"/>
  <c r="O95" i="8"/>
  <c r="AD94" i="8"/>
  <c r="AC94" i="8"/>
  <c r="S94" i="8"/>
  <c r="R94" i="8"/>
  <c r="P94" i="8"/>
  <c r="O94" i="8"/>
  <c r="AD93" i="8"/>
  <c r="AC93" i="8"/>
  <c r="S93" i="8"/>
  <c r="R93" i="8"/>
  <c r="P93" i="8"/>
  <c r="O93" i="8"/>
  <c r="AD92" i="8"/>
  <c r="AC92" i="8"/>
  <c r="S92" i="8"/>
  <c r="R92" i="8"/>
  <c r="P92" i="8"/>
  <c r="O92" i="8"/>
  <c r="AD91" i="8"/>
  <c r="AC91" i="8"/>
  <c r="S91" i="8"/>
  <c r="R91" i="8"/>
  <c r="P91" i="8"/>
  <c r="O91" i="8"/>
  <c r="AD90" i="8"/>
  <c r="AC90" i="8"/>
  <c r="S90" i="8"/>
  <c r="R90" i="8"/>
  <c r="P90" i="8"/>
  <c r="O90" i="8"/>
  <c r="AD89" i="8"/>
  <c r="AC89" i="8"/>
  <c r="S89" i="8"/>
  <c r="R89" i="8"/>
  <c r="P89" i="8"/>
  <c r="O89" i="8"/>
  <c r="AD88" i="8"/>
  <c r="AC88" i="8"/>
  <c r="S88" i="8"/>
  <c r="R88" i="8"/>
  <c r="P88" i="8"/>
  <c r="O88" i="8"/>
  <c r="AD87" i="8"/>
  <c r="AC87" i="8"/>
  <c r="S87" i="8"/>
  <c r="R87" i="8"/>
  <c r="P87" i="8"/>
  <c r="O87" i="8"/>
  <c r="AD86" i="8"/>
  <c r="AC86" i="8"/>
  <c r="S86" i="8"/>
  <c r="R86" i="8"/>
  <c r="P86" i="8"/>
  <c r="O86" i="8"/>
  <c r="AD85" i="8"/>
  <c r="AC85" i="8"/>
  <c r="S85" i="8"/>
  <c r="R85" i="8"/>
  <c r="P85" i="8"/>
  <c r="O85" i="8"/>
  <c r="AD84" i="8"/>
  <c r="AC84" i="8"/>
  <c r="S84" i="8"/>
  <c r="R84" i="8"/>
  <c r="P84" i="8"/>
  <c r="O84" i="8"/>
  <c r="AD83" i="8"/>
  <c r="AC83" i="8"/>
  <c r="S83" i="8"/>
  <c r="R83" i="8"/>
  <c r="P83" i="8"/>
  <c r="O83" i="8"/>
  <c r="AD82" i="8"/>
  <c r="AC82" i="8"/>
  <c r="S82" i="8"/>
  <c r="R82" i="8"/>
  <c r="P82" i="8"/>
  <c r="O82" i="8"/>
  <c r="AD81" i="8"/>
  <c r="AC81" i="8"/>
  <c r="S81" i="8"/>
  <c r="R81" i="8"/>
  <c r="P81" i="8"/>
  <c r="O81" i="8"/>
  <c r="AC80" i="8"/>
  <c r="AD80" i="8"/>
  <c r="S80" i="8"/>
  <c r="R80" i="8"/>
  <c r="P80" i="8"/>
  <c r="O80" i="8"/>
  <c r="AD79" i="8"/>
  <c r="AC79" i="8"/>
  <c r="S79" i="8"/>
  <c r="R79" i="8"/>
  <c r="P79" i="8"/>
  <c r="O79" i="8"/>
  <c r="AD78" i="8"/>
  <c r="AC78" i="8"/>
  <c r="S78" i="8"/>
  <c r="R78" i="8"/>
  <c r="P78" i="8"/>
  <c r="O78" i="8"/>
  <c r="AD77" i="8"/>
  <c r="AC77" i="8"/>
  <c r="S77" i="8"/>
  <c r="R77" i="8"/>
  <c r="P77" i="8"/>
  <c r="O77" i="8"/>
  <c r="AD76" i="8"/>
  <c r="AC76" i="8"/>
  <c r="S76" i="8"/>
  <c r="R76" i="8"/>
  <c r="P76" i="8"/>
  <c r="O76" i="8"/>
  <c r="AD75" i="8"/>
  <c r="AC75" i="8"/>
  <c r="S75" i="8"/>
  <c r="R75" i="8"/>
  <c r="P75" i="8"/>
  <c r="O75" i="8"/>
  <c r="AD74" i="8"/>
  <c r="AC74" i="8"/>
  <c r="S74" i="8"/>
  <c r="R74" i="8"/>
  <c r="P74" i="8"/>
  <c r="O74" i="8"/>
  <c r="AD73" i="8"/>
  <c r="AC73" i="8"/>
  <c r="S73" i="8"/>
  <c r="R73" i="8"/>
  <c r="P73" i="8"/>
  <c r="O73" i="8"/>
  <c r="AD72" i="8"/>
  <c r="AC72" i="8"/>
  <c r="S72" i="8"/>
  <c r="R72" i="8"/>
  <c r="P72" i="8"/>
  <c r="O72" i="8"/>
  <c r="AD71" i="8"/>
  <c r="AC71" i="8"/>
  <c r="S71" i="8"/>
  <c r="R71" i="8"/>
  <c r="P71" i="8"/>
  <c r="O71" i="8"/>
  <c r="AD70" i="8"/>
  <c r="AC70" i="8"/>
  <c r="S70" i="8"/>
  <c r="R70" i="8"/>
  <c r="P70" i="8"/>
  <c r="O70" i="8"/>
  <c r="AD69" i="8"/>
  <c r="AC69" i="8"/>
  <c r="S69" i="8"/>
  <c r="R69" i="8"/>
  <c r="P69" i="8"/>
  <c r="O69" i="8"/>
  <c r="AD68" i="8"/>
  <c r="AC68" i="8"/>
  <c r="S68" i="8"/>
  <c r="R68" i="8"/>
  <c r="P68" i="8"/>
  <c r="O68" i="8"/>
  <c r="AD67" i="8"/>
  <c r="AC67" i="8"/>
  <c r="S67" i="8"/>
  <c r="R67" i="8"/>
  <c r="P67" i="8"/>
  <c r="O67" i="8"/>
  <c r="AC66" i="8"/>
  <c r="AD66" i="8"/>
  <c r="S66" i="8"/>
  <c r="R66" i="8"/>
  <c r="P66" i="8"/>
  <c r="O66" i="8"/>
  <c r="AD65" i="8"/>
  <c r="AC65" i="8"/>
  <c r="S65" i="8"/>
  <c r="R65" i="8"/>
  <c r="P65" i="8"/>
  <c r="O65" i="8"/>
  <c r="AD64" i="8"/>
  <c r="AC64" i="8"/>
  <c r="S64" i="8"/>
  <c r="R64" i="8"/>
  <c r="P64" i="8"/>
  <c r="O64" i="8"/>
  <c r="AD63" i="8"/>
  <c r="AC63" i="8"/>
  <c r="S63" i="8"/>
  <c r="R63" i="8"/>
  <c r="P63" i="8"/>
  <c r="O63" i="8"/>
  <c r="AD62" i="8"/>
  <c r="AC62" i="8"/>
  <c r="S62" i="8"/>
  <c r="R62" i="8"/>
  <c r="P62" i="8"/>
  <c r="O62" i="8"/>
  <c r="B69" i="8"/>
  <c r="B70" i="8"/>
  <c r="B71" i="8" s="1"/>
  <c r="B72" i="8" s="1"/>
  <c r="B73" i="8" s="1"/>
  <c r="B74" i="8" s="1"/>
  <c r="B75" i="8" s="1"/>
  <c r="B76" i="8" s="1"/>
  <c r="B77" i="8" s="1"/>
  <c r="B78" i="8" s="1"/>
  <c r="B79" i="8" s="1"/>
  <c r="B80" i="8" s="1"/>
  <c r="B81" i="8" s="1"/>
  <c r="AD61" i="8"/>
  <c r="AC61" i="8"/>
  <c r="S61" i="8"/>
  <c r="R61" i="8"/>
  <c r="P61" i="8"/>
  <c r="O61" i="8"/>
  <c r="AD60" i="8"/>
  <c r="AC60" i="8"/>
  <c r="S60" i="8"/>
  <c r="R60" i="8"/>
  <c r="P60" i="8"/>
  <c r="O60" i="8"/>
  <c r="AD59" i="8"/>
  <c r="AC59" i="8"/>
  <c r="S59" i="8"/>
  <c r="R59" i="8"/>
  <c r="P59" i="8"/>
  <c r="O59" i="8"/>
  <c r="AD58" i="8"/>
  <c r="AC58" i="8"/>
  <c r="S58" i="8"/>
  <c r="R58" i="8"/>
  <c r="P58" i="8"/>
  <c r="O58" i="8"/>
  <c r="AD57" i="8"/>
  <c r="AC57" i="8"/>
  <c r="S57" i="8"/>
  <c r="R57" i="8"/>
  <c r="P57" i="8"/>
  <c r="O57" i="8"/>
  <c r="AD56" i="8"/>
  <c r="AC56" i="8"/>
  <c r="S56" i="8"/>
  <c r="R56" i="8"/>
  <c r="P56" i="8"/>
  <c r="O56" i="8"/>
  <c r="AD55" i="8"/>
  <c r="AC55" i="8"/>
  <c r="S55" i="8"/>
  <c r="R55" i="8"/>
  <c r="P55" i="8"/>
  <c r="O55" i="8"/>
  <c r="AD54" i="8"/>
  <c r="AC54" i="8"/>
  <c r="S54" i="8"/>
  <c r="R54" i="8"/>
  <c r="P54" i="8"/>
  <c r="O54" i="8"/>
  <c r="AD53" i="8"/>
  <c r="AC53" i="8"/>
  <c r="S53" i="8"/>
  <c r="R53" i="8"/>
  <c r="P53" i="8"/>
  <c r="O53" i="8"/>
  <c r="AD52" i="8"/>
  <c r="AC52" i="8"/>
  <c r="S52" i="8"/>
  <c r="R52" i="8"/>
  <c r="P52" i="8"/>
  <c r="O52" i="8"/>
  <c r="AD51" i="8"/>
  <c r="AC51" i="8"/>
  <c r="S51" i="8"/>
  <c r="R51" i="8"/>
  <c r="P51" i="8"/>
  <c r="O51" i="8"/>
  <c r="AD50" i="8"/>
  <c r="AC50" i="8"/>
  <c r="S50" i="8"/>
  <c r="R50" i="8"/>
  <c r="P50" i="8"/>
  <c r="O50" i="8"/>
  <c r="AD49" i="8"/>
  <c r="AC49" i="8"/>
  <c r="S49" i="8"/>
  <c r="R49" i="8"/>
  <c r="P49" i="8"/>
  <c r="O49" i="8"/>
  <c r="AD48" i="8"/>
  <c r="AC48" i="8"/>
  <c r="S48" i="8"/>
  <c r="R48" i="8"/>
  <c r="P48" i="8"/>
  <c r="O48" i="8"/>
  <c r="AD47" i="8"/>
  <c r="AC47" i="8"/>
  <c r="S47" i="8"/>
  <c r="R47" i="8"/>
  <c r="P47" i="8"/>
  <c r="O47" i="8"/>
  <c r="AD46" i="8"/>
  <c r="AC46" i="8"/>
  <c r="S46" i="8"/>
  <c r="R46" i="8"/>
  <c r="P46" i="8"/>
  <c r="O46" i="8"/>
  <c r="AD45" i="8"/>
  <c r="AC45" i="8"/>
  <c r="S45" i="8"/>
  <c r="R45" i="8"/>
  <c r="P45" i="8"/>
  <c r="O45" i="8"/>
  <c r="AD44" i="8"/>
  <c r="AC44" i="8"/>
  <c r="S44" i="8"/>
  <c r="R44" i="8"/>
  <c r="P44" i="8"/>
  <c r="O44" i="8"/>
  <c r="AD43" i="8"/>
  <c r="AC43" i="8"/>
  <c r="S43" i="8"/>
  <c r="R43" i="8"/>
  <c r="P43" i="8"/>
  <c r="O43" i="8"/>
  <c r="AD42" i="8"/>
  <c r="AC42" i="8"/>
  <c r="S42" i="8"/>
  <c r="R42" i="8"/>
  <c r="P42" i="8"/>
  <c r="O42" i="8"/>
  <c r="AD41" i="8"/>
  <c r="AC41" i="8"/>
  <c r="S41" i="8"/>
  <c r="R41" i="8"/>
  <c r="P41" i="8"/>
  <c r="O41" i="8"/>
  <c r="AD40" i="8"/>
  <c r="AC40" i="8"/>
  <c r="S40" i="8"/>
  <c r="R40" i="8"/>
  <c r="P40" i="8"/>
  <c r="O40" i="8"/>
  <c r="AD39" i="8"/>
  <c r="AC39" i="8"/>
  <c r="S39" i="8"/>
  <c r="R39" i="8"/>
  <c r="P39" i="8"/>
  <c r="O39" i="8"/>
  <c r="AD38" i="8"/>
  <c r="AC38" i="8"/>
  <c r="S38" i="8"/>
  <c r="R38" i="8"/>
  <c r="P38" i="8"/>
  <c r="O38" i="8"/>
  <c r="AD37" i="8"/>
  <c r="AC37" i="8"/>
  <c r="S37" i="8"/>
  <c r="R37" i="8"/>
  <c r="P37" i="8"/>
  <c r="O37" i="8"/>
  <c r="AD36" i="8"/>
  <c r="AC36" i="8"/>
  <c r="S36" i="8"/>
  <c r="R36" i="8"/>
  <c r="P36" i="8"/>
  <c r="O36" i="8"/>
  <c r="AD35" i="8"/>
  <c r="AC35" i="8"/>
  <c r="S35" i="8"/>
  <c r="R35" i="8"/>
  <c r="P35" i="8"/>
  <c r="O35" i="8"/>
  <c r="AD34" i="8"/>
  <c r="AC34" i="8"/>
  <c r="S34" i="8"/>
  <c r="R34" i="8"/>
  <c r="P34" i="8"/>
  <c r="O34" i="8"/>
  <c r="AD33" i="8"/>
  <c r="AC33" i="8"/>
  <c r="S33" i="8"/>
  <c r="R33" i="8"/>
  <c r="P33" i="8"/>
  <c r="O33" i="8"/>
  <c r="AD32" i="8"/>
  <c r="AC32" i="8"/>
  <c r="S32" i="8"/>
  <c r="R32" i="8"/>
  <c r="P32" i="8"/>
  <c r="O32" i="8"/>
  <c r="AD31" i="8"/>
  <c r="AC31" i="8"/>
  <c r="S31" i="8"/>
  <c r="R31" i="8"/>
  <c r="P31" i="8"/>
  <c r="O31" i="8"/>
  <c r="AD30" i="8"/>
  <c r="AC30" i="8"/>
  <c r="S30" i="8"/>
  <c r="R30" i="8"/>
  <c r="P30" i="8"/>
  <c r="O30" i="8"/>
  <c r="AD29" i="8"/>
  <c r="AC29" i="8"/>
  <c r="S29" i="8"/>
  <c r="R29" i="8"/>
  <c r="P29" i="8"/>
  <c r="O29" i="8"/>
  <c r="AD28" i="8"/>
  <c r="AC28" i="8"/>
  <c r="S28" i="8"/>
  <c r="R28" i="8"/>
  <c r="P28" i="8"/>
  <c r="O28" i="8"/>
  <c r="AD27" i="8"/>
  <c r="AC27" i="8"/>
  <c r="S27" i="8"/>
  <c r="R27" i="8"/>
  <c r="P27" i="8"/>
  <c r="O27" i="8"/>
  <c r="AD26" i="8"/>
  <c r="AC26" i="8"/>
  <c r="S26" i="8"/>
  <c r="R26" i="8"/>
  <c r="P26" i="8"/>
  <c r="O26" i="8"/>
  <c r="AD25" i="8"/>
  <c r="AC25" i="8"/>
  <c r="S25" i="8"/>
  <c r="R25" i="8"/>
  <c r="P25" i="8"/>
  <c r="O25" i="8"/>
  <c r="AD24" i="8"/>
  <c r="AC24" i="8"/>
  <c r="S24" i="8"/>
  <c r="R24" i="8"/>
  <c r="P24" i="8"/>
  <c r="O24" i="8"/>
  <c r="AD23" i="8"/>
  <c r="AC23" i="8"/>
  <c r="S23" i="8"/>
  <c r="R23" i="8"/>
  <c r="P23" i="8"/>
  <c r="O23" i="8"/>
  <c r="AD22" i="8"/>
  <c r="AC22" i="8"/>
  <c r="S22" i="8"/>
  <c r="R22" i="8"/>
  <c r="P22" i="8"/>
  <c r="O22" i="8"/>
  <c r="AD21" i="8"/>
  <c r="AC21" i="8"/>
  <c r="S21" i="8"/>
  <c r="R21" i="8"/>
  <c r="P21" i="8"/>
  <c r="O21" i="8"/>
  <c r="AD20" i="8"/>
  <c r="AC20" i="8"/>
  <c r="S20" i="8"/>
  <c r="R20" i="8"/>
  <c r="P20" i="8"/>
  <c r="O20" i="8"/>
  <c r="AD19" i="8"/>
  <c r="AC19" i="8"/>
  <c r="S19" i="8"/>
  <c r="R19" i="8"/>
  <c r="P19" i="8"/>
  <c r="O19" i="8"/>
  <c r="AD18" i="8"/>
  <c r="AC18" i="8"/>
  <c r="S18" i="8"/>
  <c r="R18" i="8"/>
  <c r="P18" i="8"/>
  <c r="O18" i="8"/>
  <c r="AD17" i="8"/>
  <c r="AC17" i="8"/>
  <c r="S17" i="8"/>
  <c r="R17" i="8"/>
  <c r="P17" i="8"/>
  <c r="O17" i="8"/>
  <c r="AD16" i="8"/>
  <c r="AC16" i="8"/>
  <c r="S16" i="8"/>
  <c r="R16" i="8"/>
  <c r="P16" i="8"/>
  <c r="O16" i="8"/>
  <c r="AD15" i="8"/>
  <c r="AC15" i="8"/>
  <c r="S15" i="8"/>
  <c r="R15" i="8"/>
  <c r="P15" i="8"/>
  <c r="O15" i="8"/>
  <c r="AD14" i="8"/>
  <c r="AC14" i="8"/>
  <c r="S14" i="8"/>
  <c r="R14" i="8"/>
  <c r="P14" i="8"/>
  <c r="O14" i="8"/>
  <c r="AD13" i="8"/>
  <c r="AC13" i="8"/>
  <c r="S13" i="8"/>
  <c r="R13" i="8"/>
  <c r="P13" i="8"/>
  <c r="O13" i="8"/>
  <c r="AD12" i="8"/>
  <c r="AC12" i="8"/>
  <c r="S12" i="8"/>
  <c r="R12" i="8"/>
  <c r="P12" i="8"/>
  <c r="O12" i="8"/>
  <c r="AD11" i="8"/>
  <c r="AC11" i="8"/>
  <c r="S11" i="8"/>
  <c r="R11" i="8"/>
  <c r="P11" i="8"/>
  <c r="O11" i="8"/>
  <c r="AD10" i="8"/>
  <c r="AC10" i="8"/>
  <c r="S10" i="8"/>
  <c r="R10" i="8"/>
  <c r="P10" i="8"/>
  <c r="O10" i="8"/>
  <c r="AD9" i="8"/>
  <c r="AC9" i="8"/>
  <c r="S9" i="8"/>
  <c r="R9" i="8"/>
  <c r="P9" i="8"/>
  <c r="O9" i="8"/>
  <c r="AD8" i="8"/>
  <c r="AC8" i="8"/>
  <c r="S8" i="8"/>
  <c r="R8" i="8"/>
  <c r="P8" i="8"/>
  <c r="O8" i="8"/>
  <c r="AD7" i="8"/>
  <c r="AC7" i="8"/>
  <c r="S7" i="8"/>
  <c r="R7" i="8"/>
  <c r="P7" i="8"/>
  <c r="O7" i="8"/>
  <c r="AD6" i="8"/>
  <c r="AC6" i="8"/>
  <c r="S6" i="8"/>
  <c r="R6" i="8"/>
  <c r="P6" i="8"/>
  <c r="O6" i="8"/>
  <c r="AD5" i="8"/>
  <c r="AC5" i="8"/>
  <c r="S5" i="8"/>
  <c r="R5" i="8"/>
  <c r="P5" i="8"/>
  <c r="O5" i="8"/>
  <c r="AD4" i="8"/>
  <c r="AC4" i="8"/>
  <c r="P4" i="8"/>
  <c r="O4" i="8"/>
  <c r="R4" i="8" s="1"/>
  <c r="X57" i="7"/>
  <c r="W57" i="7"/>
  <c r="P57" i="7"/>
  <c r="O57" i="7"/>
  <c r="X56" i="7"/>
  <c r="W56" i="7"/>
  <c r="P56" i="7"/>
  <c r="O56" i="7"/>
  <c r="X55" i="7"/>
  <c r="W55" i="7"/>
  <c r="P55" i="7"/>
  <c r="O55" i="7"/>
  <c r="X54" i="7"/>
  <c r="W54" i="7"/>
  <c r="P54" i="7"/>
  <c r="O54" i="7"/>
  <c r="X53" i="7"/>
  <c r="W53" i="7"/>
  <c r="P53" i="7"/>
  <c r="O53" i="7"/>
  <c r="X52" i="7"/>
  <c r="W52" i="7"/>
  <c r="P52" i="7"/>
  <c r="O52" i="7"/>
  <c r="X51" i="7"/>
  <c r="W51" i="7"/>
  <c r="P51" i="7"/>
  <c r="O51" i="7"/>
  <c r="X50" i="7"/>
  <c r="W50" i="7"/>
  <c r="P50" i="7"/>
  <c r="O50" i="7"/>
  <c r="X49" i="7"/>
  <c r="W49" i="7"/>
  <c r="P49" i="7"/>
  <c r="O49" i="7"/>
  <c r="X48" i="7"/>
  <c r="W48" i="7"/>
  <c r="P48" i="7"/>
  <c r="O48" i="7"/>
  <c r="X47" i="7"/>
  <c r="W47" i="7"/>
  <c r="P47" i="7"/>
  <c r="O47" i="7"/>
  <c r="X46" i="7"/>
  <c r="W46" i="7"/>
  <c r="P46" i="7"/>
  <c r="O46" i="7"/>
  <c r="X45" i="7"/>
  <c r="W45" i="7"/>
  <c r="P45" i="7"/>
  <c r="O45" i="7"/>
  <c r="X44" i="7"/>
  <c r="W44" i="7"/>
  <c r="P44" i="7"/>
  <c r="O44" i="7"/>
  <c r="X43" i="7"/>
  <c r="W43" i="7"/>
  <c r="P43" i="7"/>
  <c r="O43" i="7"/>
  <c r="X42" i="7"/>
  <c r="W42" i="7"/>
  <c r="P42" i="7"/>
  <c r="O42" i="7"/>
  <c r="X41" i="7"/>
  <c r="W41" i="7"/>
  <c r="P41" i="7"/>
  <c r="O41" i="7"/>
  <c r="X40" i="7"/>
  <c r="W40" i="7"/>
  <c r="P40" i="7"/>
  <c r="O40" i="7"/>
  <c r="X39" i="7"/>
  <c r="W39" i="7"/>
  <c r="P39" i="7"/>
  <c r="O39" i="7"/>
  <c r="X38" i="7"/>
  <c r="W38" i="7"/>
  <c r="P38" i="7"/>
  <c r="O38" i="7"/>
  <c r="P37" i="7"/>
  <c r="O37" i="7"/>
  <c r="X36" i="7"/>
  <c r="W36" i="7"/>
  <c r="P36" i="7"/>
  <c r="O36" i="7"/>
  <c r="X35" i="7"/>
  <c r="W35" i="7"/>
  <c r="P35" i="7"/>
  <c r="O35" i="7"/>
  <c r="X34" i="7"/>
  <c r="W34" i="7"/>
  <c r="P34" i="7"/>
  <c r="O34" i="7"/>
  <c r="X33" i="7"/>
  <c r="W33" i="7"/>
  <c r="P33" i="7"/>
  <c r="O33" i="7"/>
  <c r="X32" i="7"/>
  <c r="W32" i="7"/>
  <c r="P32" i="7"/>
  <c r="O32" i="7"/>
  <c r="X31" i="7"/>
  <c r="W31" i="7"/>
  <c r="P31" i="7"/>
  <c r="O31" i="7"/>
  <c r="X30" i="7"/>
  <c r="W30" i="7"/>
  <c r="P30" i="7"/>
  <c r="O30" i="7"/>
  <c r="X29" i="7"/>
  <c r="W29" i="7"/>
  <c r="P29" i="7"/>
  <c r="O29" i="7"/>
  <c r="X28" i="7"/>
  <c r="W28" i="7"/>
  <c r="P28" i="7"/>
  <c r="O28" i="7"/>
  <c r="X27" i="7"/>
  <c r="W27" i="7"/>
  <c r="P27" i="7"/>
  <c r="O27" i="7"/>
  <c r="X26" i="7"/>
  <c r="W26" i="7"/>
  <c r="P26" i="7"/>
  <c r="O26" i="7"/>
  <c r="X25" i="7"/>
  <c r="W25" i="7"/>
  <c r="P25" i="7"/>
  <c r="O25" i="7"/>
  <c r="X24" i="7"/>
  <c r="W24" i="7"/>
  <c r="P24" i="7"/>
  <c r="O24" i="7"/>
  <c r="X23" i="7"/>
  <c r="W23" i="7"/>
  <c r="P23" i="7"/>
  <c r="O23" i="7"/>
  <c r="X22" i="7"/>
  <c r="W22" i="7"/>
  <c r="P22" i="7"/>
  <c r="O22" i="7"/>
  <c r="X21" i="7"/>
  <c r="W21" i="7"/>
  <c r="P21" i="7"/>
  <c r="O21" i="7"/>
  <c r="X20" i="7"/>
  <c r="W20" i="7"/>
  <c r="P20" i="7"/>
  <c r="O20" i="7"/>
  <c r="X19" i="7"/>
  <c r="W19" i="7"/>
  <c r="P19" i="7"/>
  <c r="O19" i="7"/>
  <c r="X18" i="7"/>
  <c r="W18" i="7"/>
  <c r="P18" i="7"/>
  <c r="O18" i="7"/>
  <c r="X17" i="7"/>
  <c r="W17" i="7"/>
  <c r="P17" i="7"/>
  <c r="O17" i="7"/>
  <c r="X16" i="7"/>
  <c r="W16" i="7"/>
  <c r="P16" i="7"/>
  <c r="O16" i="7"/>
  <c r="X15" i="7"/>
  <c r="W15" i="7"/>
  <c r="P15" i="7"/>
  <c r="O15" i="7"/>
  <c r="X14" i="7"/>
  <c r="W14" i="7"/>
  <c r="P14" i="7"/>
  <c r="O14" i="7"/>
  <c r="X13" i="7"/>
  <c r="W13" i="7"/>
  <c r="P13" i="7"/>
  <c r="O13" i="7"/>
  <c r="X12" i="7"/>
  <c r="W12" i="7"/>
  <c r="P12" i="7"/>
  <c r="O12" i="7"/>
  <c r="X11" i="7"/>
  <c r="W11" i="7"/>
  <c r="P11" i="7"/>
  <c r="O11" i="7"/>
  <c r="X10" i="7"/>
  <c r="W10" i="7"/>
  <c r="P10" i="7"/>
  <c r="O10" i="7"/>
  <c r="X9" i="7"/>
  <c r="W9" i="7"/>
  <c r="P9" i="7"/>
  <c r="O9" i="7"/>
  <c r="X8" i="7"/>
  <c r="W8" i="7"/>
  <c r="P8" i="7"/>
  <c r="O8" i="7"/>
  <c r="X7" i="7"/>
  <c r="W7" i="7"/>
  <c r="P7" i="7"/>
  <c r="O7" i="7"/>
  <c r="P6" i="7"/>
  <c r="O6" i="7"/>
  <c r="X5" i="7"/>
  <c r="W5" i="7"/>
  <c r="P5" i="7"/>
  <c r="O5" i="7"/>
  <c r="X4" i="7"/>
  <c r="W4" i="7"/>
  <c r="P4" i="7"/>
  <c r="O4" i="7"/>
  <c r="X3" i="7"/>
  <c r="W3" i="7"/>
  <c r="P3" i="7"/>
  <c r="O3" i="7"/>
  <c r="F74" i="6"/>
  <c r="G63" i="6"/>
  <c r="G74" i="6" s="1"/>
  <c r="F54" i="6"/>
  <c r="G44" i="6"/>
  <c r="G54" i="6" s="1"/>
  <c r="F36" i="6"/>
  <c r="G25" i="6"/>
  <c r="G36" i="6" s="1"/>
  <c r="F18" i="6"/>
  <c r="G6" i="6"/>
  <c r="G18" i="6" s="1"/>
  <c r="AF126" i="4"/>
  <c r="S126" i="4"/>
  <c r="AF124" i="4"/>
  <c r="S124" i="4"/>
  <c r="AF121" i="4"/>
  <c r="S121" i="4"/>
  <c r="AJ7" i="4" s="1"/>
  <c r="AF105" i="4"/>
  <c r="S105" i="4"/>
  <c r="AF102" i="4"/>
  <c r="S102" i="4"/>
  <c r="AF101" i="4"/>
  <c r="S101" i="4"/>
  <c r="AF99" i="4"/>
  <c r="S99" i="4"/>
  <c r="AF98" i="4"/>
  <c r="S98" i="4"/>
  <c r="AF94" i="4"/>
  <c r="S94" i="4"/>
  <c r="AF93" i="4"/>
  <c r="S93" i="4"/>
  <c r="AF90" i="4"/>
  <c r="S90" i="4"/>
  <c r="AF86" i="4"/>
  <c r="S86" i="4"/>
  <c r="AF85" i="4"/>
  <c r="S85" i="4"/>
  <c r="AF82" i="4"/>
  <c r="S82" i="4"/>
  <c r="AJ6" i="4" s="1"/>
  <c r="AF80" i="4"/>
  <c r="S80" i="4"/>
  <c r="AE80" i="4" s="1"/>
  <c r="AF77" i="4"/>
  <c r="S77" i="4"/>
  <c r="AE77" i="4" s="1"/>
  <c r="AF76" i="4"/>
  <c r="S76" i="4"/>
  <c r="AE76" i="4" s="1"/>
  <c r="AF74" i="4"/>
  <c r="S74" i="4"/>
  <c r="AE74" i="4" s="1"/>
  <c r="AF73" i="4"/>
  <c r="S73" i="4"/>
  <c r="AE73" i="4" s="1"/>
  <c r="AF72" i="4"/>
  <c r="S72" i="4"/>
  <c r="AE72" i="4" s="1"/>
  <c r="AF71" i="4"/>
  <c r="S71" i="4"/>
  <c r="AE71" i="4" s="1"/>
  <c r="AF69" i="4"/>
  <c r="S69" i="4"/>
  <c r="AE69" i="4" s="1"/>
  <c r="AF68" i="4"/>
  <c r="S68" i="4"/>
  <c r="AE68" i="4" s="1"/>
  <c r="AF67" i="4"/>
  <c r="S67" i="4"/>
  <c r="AE67" i="4" s="1"/>
  <c r="AF66" i="4"/>
  <c r="S66" i="4"/>
  <c r="AE66" i="4" s="1"/>
  <c r="AF65" i="4"/>
  <c r="S65" i="4"/>
  <c r="AE65" i="4" s="1"/>
  <c r="AF62" i="4"/>
  <c r="S62" i="4"/>
  <c r="AE62" i="4" s="1"/>
  <c r="AF61" i="4"/>
  <c r="S61" i="4"/>
  <c r="AE61" i="4" s="1"/>
  <c r="AF59" i="4"/>
  <c r="S59" i="4"/>
  <c r="AE59" i="4" s="1"/>
  <c r="AF58" i="4"/>
  <c r="S58" i="4"/>
  <c r="AF29" i="4"/>
  <c r="S29" i="4"/>
  <c r="AE29" i="4" s="1"/>
  <c r="AF28" i="4"/>
  <c r="S28" i="4"/>
  <c r="AE28" i="4" s="1"/>
  <c r="AF16" i="4"/>
  <c r="S16" i="4"/>
  <c r="AE16" i="4" s="1"/>
  <c r="AF14" i="4"/>
  <c r="S14" i="4"/>
  <c r="AE14" i="4" s="1"/>
  <c r="AF11" i="4"/>
  <c r="S11" i="4"/>
  <c r="AE11" i="4" s="1"/>
  <c r="AJ3" i="4"/>
  <c r="AE3" i="4"/>
  <c r="V119" i="2"/>
  <c r="U119" i="2"/>
  <c r="P119" i="2"/>
  <c r="V118" i="2"/>
  <c r="U118" i="2"/>
  <c r="P118" i="2"/>
  <c r="V117" i="2"/>
  <c r="U117" i="2"/>
  <c r="P117" i="2"/>
  <c r="V116" i="2"/>
  <c r="U116" i="2"/>
  <c r="P116" i="2"/>
  <c r="V115" i="2"/>
  <c r="U115" i="2"/>
  <c r="P115" i="2"/>
  <c r="V114" i="2"/>
  <c r="U114" i="2"/>
  <c r="P114" i="2"/>
  <c r="V113" i="2"/>
  <c r="U113" i="2"/>
  <c r="P113" i="2"/>
  <c r="V112" i="2"/>
  <c r="U112" i="2"/>
  <c r="P112" i="2"/>
  <c r="V111" i="2"/>
  <c r="U111" i="2"/>
  <c r="P111" i="2"/>
  <c r="V110" i="2"/>
  <c r="U110" i="2"/>
  <c r="P110" i="2"/>
  <c r="V109" i="2"/>
  <c r="U109" i="2"/>
  <c r="P109" i="2"/>
  <c r="V108" i="2"/>
  <c r="U108" i="2"/>
  <c r="P108" i="2"/>
  <c r="V107" i="2"/>
  <c r="U107" i="2"/>
  <c r="P107" i="2"/>
  <c r="V106" i="2"/>
  <c r="U106" i="2"/>
  <c r="P106" i="2"/>
  <c r="V105" i="2"/>
  <c r="U105" i="2"/>
  <c r="P105" i="2"/>
  <c r="V104" i="2"/>
  <c r="U104" i="2"/>
  <c r="P104" i="2"/>
  <c r="V103" i="2"/>
  <c r="U103" i="2"/>
  <c r="P103" i="2"/>
  <c r="V102" i="2"/>
  <c r="U102" i="2"/>
  <c r="P102" i="2"/>
  <c r="V101" i="2"/>
  <c r="U101" i="2"/>
  <c r="P101" i="2"/>
  <c r="V100" i="2"/>
  <c r="U100" i="2"/>
  <c r="P100" i="2"/>
  <c r="V99" i="2"/>
  <c r="U99" i="2"/>
  <c r="P99" i="2"/>
  <c r="V98" i="2"/>
  <c r="U98" i="2"/>
  <c r="P98" i="2"/>
  <c r="V97" i="2"/>
  <c r="U97" i="2"/>
  <c r="P97" i="2"/>
  <c r="V96" i="2"/>
  <c r="U96" i="2"/>
  <c r="P96" i="2"/>
  <c r="V95" i="2"/>
  <c r="U95" i="2"/>
  <c r="P95" i="2"/>
  <c r="V94" i="2"/>
  <c r="U94" i="2"/>
  <c r="P94" i="2"/>
  <c r="V93" i="2"/>
  <c r="U93" i="2"/>
  <c r="P93" i="2"/>
  <c r="V92" i="2"/>
  <c r="U92" i="2"/>
  <c r="P92" i="2"/>
  <c r="V91" i="2"/>
  <c r="U91" i="2"/>
  <c r="P91" i="2"/>
  <c r="V90" i="2"/>
  <c r="U90" i="2"/>
  <c r="P90" i="2"/>
  <c r="V89" i="2"/>
  <c r="U89" i="2"/>
  <c r="P89" i="2"/>
  <c r="V88" i="2"/>
  <c r="U88" i="2"/>
  <c r="P88" i="2"/>
  <c r="V87" i="2"/>
  <c r="U87" i="2"/>
  <c r="P87" i="2"/>
  <c r="V86" i="2"/>
  <c r="U86" i="2"/>
  <c r="P86" i="2"/>
  <c r="V85" i="2"/>
  <c r="U85" i="2"/>
  <c r="P85" i="2"/>
  <c r="V84" i="2"/>
  <c r="U84" i="2"/>
  <c r="P84" i="2"/>
  <c r="V83" i="2"/>
  <c r="U83" i="2"/>
  <c r="P83" i="2"/>
  <c r="V82" i="2"/>
  <c r="U82" i="2"/>
  <c r="P82" i="2"/>
  <c r="V81" i="2"/>
  <c r="U81" i="2"/>
  <c r="P81" i="2"/>
  <c r="V80" i="2"/>
  <c r="U80" i="2"/>
  <c r="P80" i="2"/>
  <c r="V79" i="2"/>
  <c r="U79" i="2"/>
  <c r="P79" i="2"/>
  <c r="V78" i="2"/>
  <c r="U78" i="2"/>
  <c r="P78" i="2"/>
  <c r="V77" i="2"/>
  <c r="U77" i="2"/>
  <c r="P77" i="2"/>
  <c r="V76" i="2"/>
  <c r="U76" i="2"/>
  <c r="P76" i="2"/>
  <c r="V75" i="2"/>
  <c r="U75" i="2"/>
  <c r="P75" i="2"/>
  <c r="V74" i="2"/>
  <c r="U74" i="2"/>
  <c r="P74" i="2"/>
  <c r="V73" i="2"/>
  <c r="U73" i="2"/>
  <c r="P73" i="2"/>
  <c r="V72" i="2"/>
  <c r="U72" i="2"/>
  <c r="P72" i="2"/>
  <c r="V71" i="2"/>
  <c r="U71" i="2"/>
  <c r="P71" i="2"/>
  <c r="V70" i="2"/>
  <c r="U70" i="2"/>
  <c r="P70" i="2"/>
  <c r="V69" i="2"/>
  <c r="U69" i="2"/>
  <c r="P69" i="2"/>
  <c r="V68" i="2"/>
  <c r="U68" i="2"/>
  <c r="P68" i="2"/>
  <c r="V67" i="2"/>
  <c r="U67" i="2"/>
  <c r="P67" i="2"/>
  <c r="V66" i="2"/>
  <c r="U66" i="2"/>
  <c r="P66" i="2"/>
  <c r="V65" i="2"/>
  <c r="U65" i="2"/>
  <c r="P65" i="2"/>
  <c r="V64" i="2"/>
  <c r="U64" i="2"/>
  <c r="P64" i="2"/>
  <c r="V63" i="2"/>
  <c r="U63" i="2"/>
  <c r="P63" i="2"/>
  <c r="V62" i="2"/>
  <c r="U62" i="2"/>
  <c r="P62" i="2"/>
  <c r="V61" i="2"/>
  <c r="U61" i="2"/>
  <c r="P61" i="2"/>
  <c r="V60" i="2"/>
  <c r="U60" i="2"/>
  <c r="P60" i="2"/>
  <c r="V59" i="2"/>
  <c r="U59" i="2"/>
  <c r="P59" i="2"/>
  <c r="V58" i="2"/>
  <c r="U58" i="2"/>
  <c r="P58" i="2"/>
  <c r="V57" i="2"/>
  <c r="U57" i="2"/>
  <c r="P57" i="2"/>
  <c r="V56" i="2"/>
  <c r="U56" i="2"/>
  <c r="P56" i="2"/>
  <c r="V55" i="2"/>
  <c r="U55" i="2"/>
  <c r="P55" i="2"/>
  <c r="V54" i="2"/>
  <c r="U54" i="2"/>
  <c r="P54" i="2"/>
  <c r="V53" i="2"/>
  <c r="U53" i="2"/>
  <c r="P53" i="2"/>
  <c r="V52" i="2"/>
  <c r="U52" i="2"/>
  <c r="P52" i="2"/>
  <c r="V51" i="2"/>
  <c r="U51" i="2"/>
  <c r="P51" i="2"/>
  <c r="V50" i="2"/>
  <c r="U50" i="2"/>
  <c r="P50" i="2"/>
  <c r="V49" i="2"/>
  <c r="U49" i="2"/>
  <c r="P49" i="2"/>
  <c r="V48" i="2"/>
  <c r="U48" i="2"/>
  <c r="P48" i="2"/>
  <c r="V47" i="2"/>
  <c r="U47" i="2"/>
  <c r="P47" i="2"/>
  <c r="V46" i="2"/>
  <c r="U46" i="2"/>
  <c r="P46" i="2"/>
  <c r="V45" i="2"/>
  <c r="U45" i="2"/>
  <c r="P45" i="2"/>
  <c r="V44" i="2"/>
  <c r="U44" i="2"/>
  <c r="P44" i="2"/>
  <c r="V43" i="2"/>
  <c r="U43" i="2"/>
  <c r="P43" i="2"/>
  <c r="V42" i="2"/>
  <c r="U42" i="2"/>
  <c r="P42" i="2"/>
  <c r="O42" i="2"/>
  <c r="V41" i="2"/>
  <c r="U41" i="2"/>
  <c r="P41" i="2"/>
  <c r="O41" i="2"/>
  <c r="V40" i="2"/>
  <c r="U40" i="2"/>
  <c r="P40" i="2"/>
  <c r="O40" i="2"/>
  <c r="V39" i="2"/>
  <c r="U39" i="2"/>
  <c r="P39" i="2"/>
  <c r="O39" i="2"/>
  <c r="V38" i="2"/>
  <c r="U38" i="2"/>
  <c r="P38" i="2"/>
  <c r="O38" i="2"/>
  <c r="V37" i="2"/>
  <c r="U37" i="2"/>
  <c r="P37" i="2"/>
  <c r="O37" i="2"/>
  <c r="V36" i="2"/>
  <c r="U36" i="2"/>
  <c r="P36" i="2"/>
  <c r="O36" i="2"/>
  <c r="V35" i="2"/>
  <c r="U35" i="2"/>
  <c r="P35" i="2"/>
  <c r="O35" i="2"/>
  <c r="V34" i="2"/>
  <c r="U34" i="2"/>
  <c r="P34" i="2"/>
  <c r="O34" i="2"/>
  <c r="V33" i="2"/>
  <c r="U33" i="2"/>
  <c r="P33" i="2"/>
  <c r="O33" i="2"/>
  <c r="V32" i="2"/>
  <c r="U32" i="2"/>
  <c r="P32" i="2"/>
  <c r="O32" i="2"/>
  <c r="V31" i="2"/>
  <c r="U31" i="2"/>
  <c r="P31" i="2"/>
  <c r="O31" i="2"/>
  <c r="V30" i="2"/>
  <c r="U30" i="2"/>
  <c r="P30" i="2"/>
  <c r="O30" i="2"/>
  <c r="V29" i="2"/>
  <c r="U29" i="2"/>
  <c r="P29" i="2"/>
  <c r="O29" i="2"/>
  <c r="V28" i="2"/>
  <c r="U28" i="2"/>
  <c r="P28" i="2"/>
  <c r="O28" i="2"/>
  <c r="V27" i="2"/>
  <c r="U27" i="2"/>
  <c r="P27" i="2"/>
  <c r="O27" i="2"/>
  <c r="V26" i="2"/>
  <c r="U26" i="2"/>
  <c r="P26" i="2"/>
  <c r="O26" i="2"/>
  <c r="V25" i="2"/>
  <c r="U25" i="2"/>
  <c r="P25" i="2"/>
  <c r="O25" i="2"/>
  <c r="V24" i="2"/>
  <c r="U24" i="2"/>
  <c r="P24" i="2"/>
  <c r="O24" i="2"/>
  <c r="V23" i="2"/>
  <c r="U23" i="2"/>
  <c r="P23" i="2"/>
  <c r="O23" i="2"/>
  <c r="V22" i="2"/>
  <c r="U22" i="2"/>
  <c r="P22" i="2"/>
  <c r="O22" i="2"/>
  <c r="V21" i="2"/>
  <c r="U21" i="2"/>
  <c r="P21" i="2"/>
  <c r="O21" i="2"/>
  <c r="V20" i="2"/>
  <c r="U20" i="2"/>
  <c r="P20" i="2"/>
  <c r="O20" i="2"/>
  <c r="V19" i="2"/>
  <c r="U19" i="2"/>
  <c r="P19" i="2"/>
  <c r="O19" i="2"/>
  <c r="V18" i="2"/>
  <c r="U18" i="2"/>
  <c r="P18" i="2"/>
  <c r="O18" i="2"/>
  <c r="V17" i="2"/>
  <c r="U17" i="2"/>
  <c r="P17" i="2"/>
  <c r="O17" i="2"/>
  <c r="V16" i="2"/>
  <c r="U16" i="2"/>
  <c r="P16" i="2"/>
  <c r="O16" i="2"/>
  <c r="V15" i="2"/>
  <c r="U15" i="2"/>
  <c r="P15" i="2"/>
  <c r="O15" i="2"/>
  <c r="V14" i="2"/>
  <c r="U14" i="2"/>
  <c r="P14" i="2"/>
  <c r="O14" i="2"/>
  <c r="V13" i="2"/>
  <c r="U13" i="2"/>
  <c r="P13" i="2"/>
  <c r="O13" i="2"/>
  <c r="V12" i="2"/>
  <c r="U12" i="2"/>
  <c r="P12" i="2"/>
  <c r="O12" i="2"/>
  <c r="V11" i="2"/>
  <c r="U11" i="2"/>
  <c r="P11" i="2"/>
  <c r="O11" i="2"/>
  <c r="V10" i="2"/>
  <c r="U10" i="2"/>
  <c r="P10" i="2"/>
  <c r="O10" i="2"/>
  <c r="V9" i="2"/>
  <c r="U9" i="2"/>
  <c r="P9" i="2"/>
  <c r="O9" i="2"/>
  <c r="V8" i="2"/>
  <c r="U8" i="2"/>
  <c r="P8" i="2"/>
  <c r="O8" i="2"/>
  <c r="V7" i="2"/>
  <c r="U7" i="2"/>
  <c r="P7" i="2"/>
  <c r="O7" i="2"/>
  <c r="V6" i="2"/>
  <c r="U6" i="2"/>
  <c r="P6" i="2"/>
  <c r="O6" i="2"/>
  <c r="V5" i="2"/>
  <c r="U5" i="2"/>
  <c r="P5" i="2"/>
  <c r="O5" i="2"/>
  <c r="V4" i="2"/>
  <c r="U4" i="2"/>
  <c r="P4" i="2"/>
  <c r="O4" i="2"/>
  <c r="S4" i="8" l="1"/>
  <c r="AE58" i="4"/>
  <c r="AJ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tc={529245A7-E7B3-4EDC-A539-A2BD76BF4F84}</author>
    <author>tc={68B616C7-2590-43A3-A477-47DE5C11FBBD}</author>
    <author>tc={9A00DD61-CE93-486C-88DB-396B16D12FE2}</author>
    <author>tc={553D8A6E-F690-4377-8511-B1E1EC789197}</author>
    <author>tc={5B03C9BB-230C-4ADD-982D-FCD76124140E}</author>
    <author>tc={62CAEC07-1003-4C4D-A4F2-A9CCCBFAC82A}</author>
    <author>tc={3FE09AF5-EAB5-4F24-94DF-8010EDFAC57A}</author>
    <author>tc={F5778BC1-5F89-4C62-9874-0105C52E6BF5}</author>
    <author>tc={5F35F8FD-9B90-4913-A3F4-B2672C8F56B6}</author>
    <author>tc={E5CEF013-85C7-4FDF-B60A-777F5A9A3AE6}</author>
    <author>tc={FDC68CA8-3726-4A6D-A914-C35ACA808E63}</author>
    <author>tc={79518ED8-684A-4F61-B77A-8C7060CF361D}</author>
    <author>tc={4DCA81A8-CB9A-4351-87AF-E42E5841265C}</author>
    <author>tc={F1377730-F4C4-4EB3-B2A8-CD23EA4E7E8D}</author>
    <author>tc={8382DE44-DB82-41BA-A52E-8C87A266C245}</author>
    <author>tc={A71B8F7D-8DAF-4DB4-A995-E064FB4005AE}</author>
    <author>tc={DFE5C21D-1B1C-4499-AA48-31F87B35308D}</author>
    <author>tc={51D5D47E-1EFF-41B4-90DB-6FA1C6C84E9C}</author>
    <author>tc={971966AC-281F-4663-BD0C-4C10634D36C2}</author>
    <author>tc={DA36B370-CDFC-4C54-B788-92C985813EFB}</author>
    <author>tc={F39CCA77-5618-4E8C-912A-9659D71DC49F}</author>
    <author>tc={123030C9-509C-4D66-B922-84F19CF9CBE9}</author>
    <author>tc={A5EFAB0F-9D2A-46BF-B43D-22CFCB453564}</author>
    <author>tc={1A3AE92E-B0AF-4A05-BA76-94322601C2D8}</author>
    <author>tc={E30C9A7A-4AE3-45CA-A772-2468C46AE169}</author>
    <author>tc={F79088E4-89D2-41C7-9ADB-A8FA9F8D1832}</author>
    <author>tc={B2F9F336-5313-48ED-A350-A3AF421F81B7}</author>
    <author>tc={68CE1E13-B4CA-47F0-9D9E-56B46B95C970}</author>
    <author>tc={5C7F3E37-4260-4EE2-9FC8-B3D4EA70AE51}</author>
    <author>tc={3CAD9A5F-7B10-43BC-AE2B-418EA958138D}</author>
    <author>tc={1AE9F2BB-028C-4B7D-A504-A126BCC5CAB6}</author>
    <author>tc={19D7D797-F8CB-4EE1-A8A8-D852C4B0702A}</author>
    <author>tc={4556C5E7-6815-41EB-8427-1FAB300156DA}</author>
    <author>tc={6167D0E3-63BD-4DDA-B1E8-596896181935}</author>
    <author>tc={C7B4BAE0-A6E1-4253-BA4C-19AFF05488A9}</author>
    <author>tc={01F3FE93-DC91-4B18-9FD1-032C649DA534}</author>
    <author>tc={E09C4BFB-14BA-4E2F-B251-B0ECB7EC003F}</author>
    <author>tc={C476BE4D-D546-4E32-B168-757039E1FD53}</author>
    <author>tc={FCA1B045-7776-491D-8751-53C1CC0C2462}</author>
    <author>tc={DC67BDA1-9D05-4E5C-A870-D3D261A39282}</author>
    <author>tc={8DB959B4-D291-4D01-9537-B464DAF970DA}</author>
    <author>tc={5D2D402A-5AB1-4497-BD06-1D6D03F47684}</author>
  </authors>
  <commentList>
    <comment ref="A4" authorId="0" shapeId="0" xr:uid="{529245A7-E7B3-4EDC-A539-A2BD76BF4F84}">
      <text>
        <t xml:space="preserve">[Threaded comment]
Your version of Excel allows you to read this threaded comment; however, any edits to it will get removed if the file is opened in a newer version of Excel. Learn more: https://go.microsoft.com/fwlink/?linkid=870924
Comment:
    Thorough Analysis
Ada potensi data hilang di sharepoint. belum ada action penanggulangannya
Keperluan untuk audit?
</t>
      </text>
    </comment>
    <comment ref="A5" authorId="1" shapeId="0" xr:uid="{68B616C7-2590-43A3-A477-47DE5C11FBBD}">
      <text>
        <t>[Threaded comment]
Your version of Excel allows you to read this threaded comment; however, any edits to it will get removed if the file is opened in a newer version of Excel. Learn more: https://go.microsoft.com/fwlink/?linkid=870924
Comment:
    Thorough Analysis:
Ada potensi late kirim ke cust, tidak ada analisanya
Reply:
    Data Gathering, Quantitative Data &amp; Benefit
Data tidak jelas darimana, tidak ada perhitungan apapun
Benefit mungkin ada, tapi tidak sebesar itu
Reply:
    FPC Tidak Ada
Reply:
    Data Gathering:
Data hanya di confluence tidak dilampirkan di excel.
 Thorough Analysis:
1. Tidak dijabarkan bagaimana resiko maupun penanggulangan yg memungkinkan dengan improvement yang dilakukan</t>
      </text>
    </comment>
    <comment ref="A6" authorId="2" shapeId="0" xr:uid="{9A00DD61-CE93-486C-88DB-396B16D12FE2}">
      <text>
        <t xml:space="preserve">[Threaded comment]
Your version of Excel allows you to read this threaded comment; however, any edits to it will get removed if the file is opened in a newer version of Excel. Learn more: https://go.microsoft.com/fwlink/?linkid=870924
Comment:
    Quantitative:
1. benefit 1807, angka darimana
Data Gathering:
1. FPC before seharusnya bisa lebih detail, pembuatan rekap apakah perlu pindah tempat, apakah jadi satu di area weight Capture, apakah perlu scan lagi saat rekap, dsb.
Analisa
1. Improvement menggunakan jasper tetapi tidak dihitung berapa lama proses jasper
Reply:
    Data gathering &amp; Thorough Analysis:
1. FPC ada, tpi kurang detail menjabarkannya. Padahal siapa tau bisa dipercepat lagi proses bagging linehaul luar kota.
</t>
      </text>
    </comment>
    <comment ref="A7" authorId="3" shapeId="0" xr:uid="{553D8A6E-F690-4377-8511-B1E1EC789197}">
      <text>
        <t>[Threaded comment]
Your version of Excel allows you to read this threaded comment; however, any edits to it will get removed if the file is opened in a newer version of Excel. Learn more: https://go.microsoft.com/fwlink/?linkid=870924
Comment:
    Data Gathering: 
1. Dengan layout parkir mobil before, harusnya ada aktivitas memindahkan posisi mobil saat memuat barang
Analysis:
1. Aktivitas after improve berkurang waktunya dengan alasan yang kurang jelas
2. Dengan memindah lokasi parkir, berarti seharusnya saat akan memuat barang akan ada aktivitas memindahkan motor dari parkiran ke depan loading dock di process after, tetapi tidak tercapture
Reply:
    Data after, ada beberapa yang tidak bisa disamakan dengan data before
Reply:
    Ada proses di before yang hilang di after, tapi tidak jelas kenapa proses hilang
Reply:
    Benefit Quantitative tpi dari segi analisa hasil:
1. menata dimobil jadi lebih singkat? kalau dari jarak sudah digambarkan dari waktu berjalan. Bedanya apa tdk dijelaskan drmna angkanya.</t>
      </text>
    </comment>
    <comment ref="A8" authorId="4" shapeId="0" xr:uid="{5B03C9BB-230C-4ADD-982D-FCD76124140E}">
      <text>
        <t xml:space="preserve">[Threaded comment]
Your version of Excel allows you to read this threaded comment; however, any edits to it will get removed if the file is opened in a newer version of Excel. Learn more: https://go.microsoft.com/fwlink/?linkid=870924
Comment:
    Benefit okay, tapi saving seharusnya tidak sebanyak itu, karena delay yang terjadi tidak menyebabkan orang tersebut tidak dapat mengerjakan hal lain
Reply:
    Thorough Analysis:
Risk leaked info karena menggunakan 3rd party apps, without approval dari Infra
Reply:
    Analysis:
1. Penggunaan zoom membutuhkan proses setting schedule meeting, copy paste link untuk meeting dan membagikan ke peserta meeting
Reply:
    Analysis:
Tidak di jelaskan kenapa waktu menunggu via teams dan zoom berbeda. karena proses sebelumnya sudah di jelaskan peserta meeting sudah standby
</t>
      </text>
    </comment>
    <comment ref="A10" authorId="5" shapeId="0" xr:uid="{62CAEC07-1003-4C4D-A4F2-A9CCCBFAC82A}">
      <text>
        <t>[Threaded comment]
Your version of Excel allows you to read this threaded comment; however, any edits to it will get removed if the file is opened in a newer version of Excel. Learn more: https://go.microsoft.com/fwlink/?linkid=870924
Comment:
    Benefit:
Benefit tidak bisa dihitung untuk harbolnas, karena linehaul saat harbolnas pasti akan meningkat sehingga tidak bisa untuk IR
Reply:
    Thorough Analysis:
How many cubics can be transfered by BES?
How many cubics that need to be transfered each month?
Reply:
    Benefit:
1. Tidak ada penjelasan bagaimana cara hitung saving 33.8mio/month.
2. tidak ada penjelasan kapan metode ini bisa digunakan, karena tidak setiap saat linehaul BES sepi, dan jika ada dedicated mobil maka harus dihitung cost mobilnya
Data Gathering:
1. FPC before tidak ada timenya
Analysis:
1. FPC after tidak ada timenya
2. disebutkan daily coordination, tetapi tidak dijelaskan di FPC after dan diperhitungan benefit
3. kapasitas transfer apakah sama
Reply:
    Quantitative Data &amp; Benefit:
1. Cost penggunaan mobil internal tidak disertakan/dibandingkan? (Manpower, Bensin, Capacity BES)
Thorough analysis:
1. Periode penggunaan mobil internal. (Pada harbolnas load BES untuk linehaul delivery akan meningkat)</t>
      </text>
    </comment>
    <comment ref="A11" authorId="6" shapeId="0" xr:uid="{3FE09AF5-EAB5-4F24-94DF-8010EDFAC57A}">
      <text>
        <t xml:space="preserve">[Threaded comment]
Your version of Excel allows you to read this threaded comment; however, any edits to it will get removed if the file is opened in a newer version of Excel. Learn more: https://go.microsoft.com/fwlink/?linkid=870924
Comment:
    Quantitative Data &amp; Benefit:
Waktu untuk mendapatkan mapping UPC &amp; SKU belum ada.
Berapa untuk menghitung qty di data after tidak ada
Reply:
    Analysis:
1. Scan berarti membutuhkan scanner dan PC / Laptop, tidak dijelaskan ada biaya penambahan equipment
2. Untuk scan berarti seharusnya akan ada transportasi barang dari lokasi checking ke area scan, itu tidak tercapture
Reply:
    Quantative Data, Data Gathering:
1. Proses After tidak memperhitungkan waktu pengecekan fisik?
Thorough analysis:
1. Jumlah scanner / Laptop perlu penambahan tidak? ya ada biaya, tidak : berdampak ke proses lain?
Reply:
    Data Gathering:
Ada process yang dihilangkan di after, tidak dijelaskan kenapa dihilangkan
</t>
      </text>
    </comment>
    <comment ref="A12" authorId="7" shapeId="0" xr:uid="{F5778BC1-5F89-4C62-9874-0105C52E6BF5}">
      <text>
        <t xml:space="preserve">[Threaded comment]
Your version of Excel allows you to read this threaded comment; however, any edits to it will get removed if the file is opened in a newer version of Excel. Learn more: https://go.microsoft.com/fwlink/?linkid=870924
Comment:
    Data Gather:
1. Flow Process Chart TIDAK ADA
Analysis:
1. Risk tidak dipertimbangkan dengan matang: Dengan menghilangkan keyboard, proses  cara mereka login komputer, mengetikkan URL system, login system tidak dijelaskan.
Reply:
    Benefit:
Rasanya cost keyboard tidak bisa dimasukkan karena tidak mungkin membeli set PC tanpa Keyboard
Angka After tidak jelas darimana
Reply:
    Data Gather:
FPC tidak ada, angka tidak jelas darimana
Reply:
    FPC ga ada, untuk benefit klo menghitung biaya beli keyboard tidak bisa dihitung karena beli pc se set kecuali beli rakitan? lepasan?
Reply:
    Data Gathering:
Tidak ada FPC, 
Analysis:
1. Tidak di mention risk menghilangkan keyboard 
2. Apa ada aktivitas yang jadi tidak bisa dilakukan karena tidak ada keyboard
</t>
      </text>
    </comment>
    <comment ref="A13" authorId="8" shapeId="0" xr:uid="{5F35F8FD-9B90-4913-A3F4-B2672C8F56B6}">
      <text>
        <t xml:space="preserve">[Threaded comment]
Your version of Excel allows you to read this threaded comment; however, any edits to it will get removed if the file is opened in a newer version of Excel. Learn more: https://go.microsoft.com/fwlink/?linkid=870924
Comment:
    Analysis:
1. Proses after berubah dari menggunakan printout PO menjadi Softcopy PO, jadi seharusnya akan ada proses mengirimkan softcopy oleh tim inbound
2. Proses before sepertinya mencatat lokasi di kertas PO yang diberikan inbound, Proses after mereka memerlukan print dokumen untuk memperoleh lokasi, seharusnya akan menambah biaya kertas
Reply:
    proses after tidak terlihat berbeda dengan proses before
</t>
      </text>
    </comment>
    <comment ref="A14" authorId="9" shapeId="0" xr:uid="{E5CEF013-85C7-4FDF-B60A-777F5A9A3AE6}">
      <text>
        <t xml:space="preserve">[Threaded comment]
Your version of Excel allows you to read this threaded comment; however, any edits to it will get removed if the file is opened in a newer version of Excel. Learn more: https://go.microsoft.com/fwlink/?linkid=870924
Comment:
    Data Gathering:
1. Prosesnya seharusnya bisa lebih detail, karena pasti ada proses mengambil barang, memindahkan barang, save file, mengirimkan file ke pic yang membutuhkan file
Analysis:
1. Metode analisa dan improvement sangat simple karena report sudah tidak dibutuhkan sehingga proses tidak dilakukan lagi
Reply:
    Data Gathering:
1. Process tidak detail
2. Data after, ada prosesnya tapi tidak ada waktunya
</t>
      </text>
    </comment>
    <comment ref="A24" authorId="10" shapeId="0" xr:uid="{FDC68CA8-3726-4A6D-A914-C35ACA808E63}">
      <text>
        <t>[Threaded comment]
Your version of Excel allows you to read this threaded comment; however, any edits to it will get removed if the file is opened in a newer version of Excel. Learn more: https://go.microsoft.com/fwlink/?linkid=870924
Comment:
    Analysis
1. Mengapa ada macro bisa menghilangkan proses membaca aspek</t>
      </text>
    </comment>
    <comment ref="A25" authorId="11" shapeId="0" xr:uid="{79518ED8-684A-4F61-B77A-8C7060CF361D}">
      <text>
        <t>[Threaded comment]
Your version of Excel allows you to read this threaded comment; however, any edits to it will get removed if the file is opened in a newer version of Excel. Learn more: https://go.microsoft.com/fwlink/?linkid=870924
Comment:
    Data Before:
FPC tidak lengkap waktunya
Analysis:
Kurang jelas barcode apa yang apa yang dimaksud, ditempel dimana, proses FPC harusnya ada proses scan.
Benefit:
perhitungan kurang tepat, jumlah login dan jumlah shift tidak masuk perhitungan benefit, seharusnya bisa lebih banyak benefit</t>
      </text>
    </comment>
    <comment ref="F25" authorId="12" shapeId="0" xr:uid="{4DCA81A8-CB9A-4351-87AF-E42E5841265C}">
      <text>
        <t>[Threaded comment]
Your version of Excel allows you to read this threaded comment; however, any edits to it will get removed if the file is opened in a newer version of Excel. Learn more: https://go.microsoft.com/fwlink/?linkid=870924
Comment:
    All Warehouse Est: (Sept 2019, Data Dea)
30980 manpower all wh / 1826 manpower Angke * Saving di Angke (180000)</t>
      </text>
    </comment>
    <comment ref="G25" authorId="13" shapeId="0" xr:uid="{F1377730-F4C4-4EB3-B2A8-CD23EA4E7E8D}">
      <text>
        <t>[Threaded comment]
Your version of Excel allows you to read this threaded comment; however, any edits to it will get removed if the file is opened in a newer version of Excel. Learn more: https://go.microsoft.com/fwlink/?linkid=870924
Comment:
    Sept: 1x
Okt: est 1x MPP sep
Nov: est 1x MPP sep
Des: est 1x MPP sep</t>
      </text>
    </comment>
    <comment ref="A26" authorId="14" shapeId="0" xr:uid="{8382DE44-DB82-41BA-A52E-8C87A266C245}">
      <text>
        <t>[Threaded comment]
Your version of Excel allows you to read this threaded comment; however, any edits to it will get removed if the file is opened in a newer version of Excel. Learn more: https://go.microsoft.com/fwlink/?linkid=870924
Comment:
    Analysis:
1. kenapa SO non moving bisa tiba2 berkurang nilaiya
2. RIsk: terdapat proses yang ketambahan aktivitas tapi waktu tetap
3. Risk: input di stockholm harusnya akan lebih lama karena harus mencocokan SKU yang dihitung</t>
      </text>
    </comment>
    <comment ref="A28" authorId="15" shapeId="0" xr:uid="{A71B8F7D-8DAF-4DB4-A995-E064FB4005AE}">
      <text>
        <t xml:space="preserve">[Threaded comment]
Your version of Excel allows you to read this threaded comment; however, any edits to it will get removed if the file is opened in a newer version of Excel. Learn more: https://go.microsoft.com/fwlink/?linkid=870924
Comment:
    Risk: Kerobek ulang print
Reply:
    FPC seharusnya bisa lebih detail
</t>
      </text>
    </comment>
    <comment ref="A29" authorId="16" shapeId="0" xr:uid="{DFE5C21D-1B1C-4499-AA48-31F87B35308D}">
      <text>
        <t>[Threaded comment]
Your version of Excel allows you to read this threaded comment; however, any edits to it will get removed if the file is opened in a newer version of Excel. Learn more: https://go.microsoft.com/fwlink/?linkid=870924
Comment:
    Data Before
tidak ada FPC
Benefit
Perhitungan data benefit dan data after tidak match. data after perhitungannya dari mana?
Reply:
    Data Before &amp; After:
1. Tidak ada FPC, dapat dari mana perhitungan  cost dan jumlah trip?
2. Perubahan Skema dari bagaimana menjadi bagaimana tidak dijelaskan
Benefit
1. kenapa granmax bisa jadi tidak ada
2. dapat dari mana angka 1080</t>
      </text>
    </comment>
    <comment ref="A31" authorId="17" shapeId="0" xr:uid="{51D5D47E-1EFF-41B4-90DB-6FA1C6C84E9C}">
      <text>
        <t>[Threaded comment]
Your version of Excel allows you to read this threaded comment; however, any edits to it will get removed if the file is opened in a newer version of Excel. Learn more: https://go.microsoft.com/fwlink/?linkid=870924
Comment:
    Tidak ada FPC
analisa bisa ditambahkan kriteria kardus yang dapat digunakan dan rata-rata jumlah kardus recycle nya berapa, apa mencukupi
Reply:
    FPC/Tools lain tidak ada
Thorough analisis kurang menyertakan jumlah kardus bekas yang dihasilkan warehouse yang dapat layak pakai  bsa berapa.
Benefit : Target pemakaian karung kurang dijelaskan dapat dari man? (berhubungan dengan jmlah kardus dengan ukuran tertentu di gudang?)
Reply:
    Before After:
FPC tak ada
Riks: Menggunakan kardus membutuhkan waktu untuk mencari kardus, volume yang muat lebih sedikit</t>
      </text>
    </comment>
    <comment ref="A32" authorId="18" shapeId="0" xr:uid="{971966AC-281F-4663-BD0C-4C10634D36C2}">
      <text>
        <t xml:space="preserve">[Threaded comment]
Your version of Excel allows you to read this threaded comment; however, any edits to it will get removed if the file is opened in a newer version of Excel. Learn more: https://go.microsoft.com/fwlink/?linkid=870924
Comment:
    Benefit :
Perhitungan benefit kurang. 
Reply:
    Analisa kurang, apa ada penambahan biaya atau proses lain kalau pakai conveyor?
</t>
      </text>
    </comment>
    <comment ref="G32" authorId="19" shapeId="0" xr:uid="{DA36B370-CDFC-4C54-B788-92C985813EFB}">
      <text>
        <t>[Threaded comment]
Your version of Excel allows you to read this threaded comment; however, any edits to it will get removed if the file is opened in a newer version of Excel. Learn more: https://go.microsoft.com/fwlink/?linkid=870924
Comment:
    Data dari Leo
Aug : 1x (38.66 M3)
Sep : 2x (27.1 M3 &amp; 48.02 M3)
Oct : 1x (13.02 M3)
Nov: est 1x
Des: est 1x</t>
      </text>
    </comment>
    <comment ref="A33" authorId="20" shapeId="0" xr:uid="{F39CCA77-5618-4E8C-912A-9659D71DC49F}">
      <text>
        <t xml:space="preserve">[Threaded comment]
Your version of Excel allows you to read this threaded comment; however, any edits to it will get removed if the file is opened in a newer version of Excel. Learn more: https://go.microsoft.com/fwlink/?linkid=870924
Comment:
    Data gathering: perhitungan data benefit dan next action tidak lengkap
seharusnya dapat dilakukan analisis benfit yang ada dihubungkan dengan delay time yang di cut
Reply:
    Data before : kasus customer missed direset PNVny? &lt;&lt; bisa untuk waktu delay karena tidak ada jadwal sebelomnya.
</t>
      </text>
    </comment>
    <comment ref="A41" authorId="21" shapeId="0" xr:uid="{123030C9-509C-4D66-B922-84F19CF9CBE9}">
      <text>
        <t>[Threaded comment]
Your version of Excel allows you to read this threaded comment; however, any edits to it will get removed if the file is opened in a newer version of Excel. Learn more: https://go.microsoft.com/fwlink/?linkid=870924
Comment:
    Data Before:
Beberapa proses di FPC tidak sesuai, misal seharusnya storage jadi delay. Tidak lengkap perhitungan waktunya, tidak sesuai antara FPC dan Tabel PDCA report</t>
      </text>
    </comment>
    <comment ref="A42" authorId="22" shapeId="0" xr:uid="{A5EFAB0F-9D2A-46BF-B43D-22CFCB453564}">
      <text>
        <t>[Threaded comment]
Your version of Excel allows you to read this threaded comment; however, any edits to it will get removed if the file is opened in a newer version of Excel. Learn more: https://go.microsoft.com/fwlink/?linkid=870924
Comment:
    Analisis:
1. Aktivitas 6,7,8 dari FPC before tiba2 hilang di FPC After</t>
      </text>
    </comment>
    <comment ref="A43" authorId="23" shapeId="0" xr:uid="{1A3AE92E-B0AF-4A05-BA76-94322601C2D8}">
      <text>
        <t>[Threaded comment]
Your version of Excel allows you to read this threaded comment; however, any edits to it will get removed if the file is opened in a newer version of Excel. Learn more: https://go.microsoft.com/fwlink/?linkid=870924
Comment:
    Before:
1. Kurang detail bagaimana proses SO bisa butuh banyak waktu
Analisis:
1. Waktu untuk Aktivitas SO bisa berkurang tanpa ada penjelasan apapun
Reply:
    Thorough Analysis:
1. Tidak ada penjelasan bagaimana proses SO jadi berkurang (hitung waktunya per apa?)
2. Data waktu untuk benefit berdampak dari point 1?</t>
      </text>
    </comment>
    <comment ref="A44" authorId="24" shapeId="0" xr:uid="{E30C9A7A-4AE3-45CA-A772-2468C46AE169}">
      <text>
        <t>[Threaded comment]
Your version of Excel allows you to read this threaded comment; however, any edits to it will get removed if the file is opened in a newer version of Excel. Learn more: https://go.microsoft.com/fwlink/?linkid=870924
Comment:
    1. Benefit:
- tidak jelas pehitungan benefit dari mana karena berbeda dengan FPC Before/After
2. Before
Aktivitas di rangkuman berbeda dengan FPC
Reply:
    Data Before:
Angka perhitungan before after tidak sama dengan FPC, seharusnya di hitung untuk semua proses
Reply:
    Data PDCA : menggunakan per day
data FPC before after menggunakan per IR. Tapi angka di FPC dan PDCA untuk aktivitas membuat dan mencetak IR tidak jelas pemecahannya --&gt; Data after jadi gajelas</t>
      </text>
    </comment>
    <comment ref="A45" authorId="25" shapeId="0" xr:uid="{F79088E4-89D2-41C7-9ADB-A8FA9F8D1832}">
      <text>
        <t>[Threaded comment]
Your version of Excel allows you to read this threaded comment; however, any edits to it will get removed if the file is opened in a newer version of Excel. Learn more: https://go.microsoft.com/fwlink/?linkid=870924
Comment:
    Before:
1. Proses menunggu seharusnya tidak masuk perhitungan benefit, karena tidak ada manpower yang menunggu
Analisis:
1. melakukan pemeriksaan kurang detail, bagaimana bisa dari 48 jam menjadi 3 jam
Reply:
    Benefit : Data perhitungan salah, tidak perlu delay dihitung benefit</t>
      </text>
    </comment>
    <comment ref="A47" authorId="26" shapeId="0" xr:uid="{B2F9F336-5313-48ED-A350-A3AF421F81B7}">
      <text>
        <t>[Threaded comment]
Your version of Excel allows you to read this threaded comment; however, any edits to it will get removed if the file is opened in a newer version of Excel. Learn more: https://go.microsoft.com/fwlink/?linkid=870924
Comment:
    1. FPC Before dan After tidak lengkap melihat proses yang terjadi pada seluruh Hub (jumlah linehaul berkurang berarti harusnya jumlah proses bagging dan inward linehaul berubah)
2. Analisis dampak terhadap performance tak dijelaskan</t>
      </text>
    </comment>
    <comment ref="A49" authorId="27" shapeId="0" xr:uid="{68CE1E13-B4CA-47F0-9D9E-56B46B95C970}">
      <text>
        <t>[Threaded comment]
Your version of Excel allows you to read this threaded comment; however, any edits to it will get removed if the file is opened in a newer version of Excel. Learn more: https://go.microsoft.com/fwlink/?linkid=870924
Comment:
    Analysis:
1. Kurang jelas ini macro excel apakah pakai excel online atau file manual, 
kalau macro excel online, apakah akan ada problem jika beberapa users input bersamaan
kalau macro dipegang di tiap hub, berarti database kurang lengkap,
2. Waktu dari Aktivitas "Isi data diri" di before dan after berbeda hampir 50%, padahal tidak disebutkan ada perubahan data yang diisi</t>
      </text>
    </comment>
    <comment ref="A52" authorId="28" shapeId="0" xr:uid="{5C7F3E37-4260-4EE2-9FC8-B3D4EA70AE51}">
      <text>
        <t>[Threaded comment]
Your version of Excel allows you to read this threaded comment; however, any edits to it will get removed if the file is opened in a newer version of Excel. Learn more: https://go.microsoft.com/fwlink/?linkid=870924
Comment:
    Data Before:
Targetnya 13.000 detik darimana? ada dasarnya?
Thorough Analysis:
Perlu analisa lebih lanjut, hasilnya akurat atau tidak? Apa tetap dapat insight yang selama ini didapatkan dari checking manual?</t>
      </text>
    </comment>
    <comment ref="A53" authorId="29" shapeId="0" xr:uid="{3CAD9A5F-7B10-43BC-AE2B-418EA958138D}">
      <text>
        <t>[Threaded comment]
Your version of Excel allows you to read this threaded comment; however, any edits to it will get removed if the file is opened in a newer version of Excel. Learn more: https://go.microsoft.com/fwlink/?linkid=870924
Comment:
    Data Before: 
Target tidak di state di awal?
Reply:
    Analisa:
1. Aktivitas Analisa Data Weekly MTD (No 139 di FPC Before dan 90 di FPC After), berubah waktunya tanpa ada penjelasan kenapa berubah
2. Aktivitas jika ingin menentukan lagi weekly utility agent (No 152 di FPC Before) hilang tanpa ada penjelasan.</t>
      </text>
    </comment>
    <comment ref="H61" authorId="30" shapeId="0" xr:uid="{1AE9F2BB-028C-4B7D-A504-A126BCC5CAB6}">
      <text>
        <t>[Threaded comment]
Your version of Excel allows you to read this threaded comment; however, any edits to it will get removed if the file is opened in a newer version of Excel. Learn more: https://go.microsoft.com/fwlink/?linkid=870924
Comment:
    0 karena implementasi ide kaizen lebih dari 3 minggu</t>
      </text>
    </comment>
    <comment ref="A62" authorId="31" shapeId="0" xr:uid="{19D7D797-F8CB-4EE1-A8A8-D852C4B0702A}">
      <text>
        <t>[Threaded comment]
Your version of Excel allows you to read this threaded comment; however, any edits to it will get removed if the file is opened in a newer version of Excel. Learn more: https://go.microsoft.com/fwlink/?linkid=870924
Comment:
    Data AFter:
1. Aktivitas pencarian barang dan putaway fisik berkurang dari FPC Before tanpa ada keterangan yang jelas</t>
      </text>
    </comment>
    <comment ref="A63" authorId="32" shapeId="0" xr:uid="{4556C5E7-6815-41EB-8427-1FAB300156DA}">
      <text>
        <t>[Threaded comment]
Your version of Excel allows you to read this threaded comment; however, any edits to it will get removed if the file is opened in a newer version of Excel. Learn more: https://go.microsoft.com/fwlink/?linkid=870924
Comment:
    Data Before After:
1. ga ada FPC Before After nya
Benefit:
1. kertas A6 nya motong dari A5? kalau iya, berarti di FPC after ada penambahan proses potong kertas.
2. terus drivernya jadi cuma ttd 1x, dan ga perlu nunggu copy GIN nya kan, berarti proses FPC afternya bisa lebih cepat
Reply:
    Data before: &amp; analysis:
1. FPC tidak detail
Benefit:
1. Pemotongan kertas manual oleh pekerja atau sudah datang dalam bentuk potongan A6 dari supplier?
Reply:
    Data Before After:
1. FPC Before After kurang lengkap
Benefit:
1. Apa impact dari hanya ttd GRN 1x? Surat Jalannya yang pegang kita atau driver? lalu yang tidak terima akan dapat bukti berupa apa?
Reply:
    1. FPC before after tidak jelas dan tidak detail
2. Tidak di jelaskan impact dan atau benefit hanya di TTD 1 kali?
Reply:
    1. Tandatangan bukti serah terima 1x ? ga ada analisis dampak kemungkinan case klo cmn 1x ttd. 
2.FPC tidak detail, proses print2x berkurang jadi 1x tidakd iinclude</t>
      </text>
    </comment>
    <comment ref="A64" authorId="33" shapeId="0" xr:uid="{6167D0E3-63BD-4DDA-B1E8-596896181935}">
      <text>
        <t>[Threaded comment]
Your version of Excel allows you to read this threaded comment; however, any edits to it will get removed if the file is opened in a newer version of Excel. Learn more: https://go.microsoft.com/fwlink/?linkid=870924
Comment:
    Data Before &amp; AFter:
1. Total Waktu FPC tidak sesuai dengan Total Waktu di Summary
Benefit:
1. Seharusnya memperhatikan impact ke Picking SKU yang lain, karena space digunakan untuk SKU baru
Reply:
    Benefit:
1. Apakah load atau kinerja picker dapat di-maintain? karena sekarang beberapa picker hanya ditugaskan untuk mengambil barang Fast Moving
Reply:
    1. Improvement nya tidak di jelaskan bentuknya seperti apa, kalau tidak baca FPC nya ga kelihatan
2. Di FPC before, kegiatan picking-scan storage dan container 4-18 waktunya sama dengan kegiatan utk 1 storage, seharusnya lebih lama?</t>
      </text>
    </comment>
    <comment ref="A65" authorId="34" shapeId="0" xr:uid="{C7B4BAE0-A6E1-4253-BA4C-19AFF05488A9}">
      <text>
        <t>[Threaded comment]
Your version of Excel allows you to read this threaded comment; however, any edits to it will get removed if the file is opened in a newer version of Excel. Learn more: https://go.microsoft.com/fwlink/?linkid=870924
Comment:
    Data Before &amp; AFter:
1. Tidak ada FPC
Benefit:
1. Terdapat penambahan proses penempelan label sehingga harus dimasukkan biayanya
Reply:
    Before &amp; After tidak ada FPC
Proses penempelan label tidak masuk ke dalam perhitungan.
Reply:
    1. Tidak ada FPC Before &amp; After
2. Data before kurang jelas dalam memaparkan mengapa butuh waktu sampai 17 menit untuk mencari item
3. Apa proses tambahan yang harus dilakukan untuk register barcode? siapa yang maintain datanya di system? Tanggung jawab apa yang berbeda setelah prosesnya diganti?
Reply:
    1. Tidak ada FPC before after
2. Benefit sulit dipastikan sudah terhitung semua biaya yang muncul (karena point 1)</t>
      </text>
    </comment>
    <comment ref="A66" authorId="35" shapeId="0" xr:uid="{01F3FE93-DC91-4B18-9FD1-032C649DA534}">
      <text>
        <t xml:space="preserve">[Threaded comment]
Your version of Excel allows you to read this threaded comment; however, any edits to it will get removed if the file is opened in a newer version of Excel. Learn more: https://go.microsoft.com/fwlink/?linkid=870924
Comment:
    Data After:
1. di improvement disebutkan proses menimbang dipindahkan sebelum driver datang, tetapi tidak di sebutkan di FPC after
Benefit:
1. Benefit seharusnya tidak menghilangkan waktu proses yang dipindahkan, karena proses tersebut tetap dilakukan dan menjadi cost warehouse
Reply:
    1. FPC tetap sama antara before dan after, seharunya bisa di jabarkan proses menimbang dan mengukur paket seperti apa yang membuat waktunya berkurang
2. Proses menimbang dan mengukur di lakukan sebelum driver datang, jadi harusnya prosesnya di atas (jadi no 1)
Reply:
    1. Proses timbang &amp; ukur dimensi tetap dilakukan seblumnya namun tidak dimasukkan ke dalam perhitungan.  
Reply:
    1. Sepertinya belum memaparkan berapa lama waktu yang dibutuhkan untuk menimbang.
2. Kalau hanya menukar urutan proses dari menimbang di belakang, sekarang menjadi di depan, harusnya pembandingnya dapat menuliskan berapa banyak delay yang dikurangi
</t>
      </text>
    </comment>
    <comment ref="F66" authorId="36" shapeId="0" xr:uid="{E09C4BFB-14BA-4E2F-B251-B0ECB7EC003F}">
      <text>
        <t>[Threaded comment]
Your version of Excel allows you to read this threaded comment; however, any edits to it will get removed if the file is opened in a newer version of Excel. Learn more: https://go.microsoft.com/fwlink/?linkid=870924
Comment:
    0 karena hanya memindahkan proses</t>
      </text>
    </comment>
    <comment ref="A67" authorId="37" shapeId="0" xr:uid="{C476BE4D-D546-4E32-B168-757039E1FD53}">
      <text>
        <t xml:space="preserve">[Threaded comment]
Your version of Excel allows you to read this threaded comment; however, any edits to it will get removed if the file is opened in a newer version of Excel. Learn more: https://go.microsoft.com/fwlink/?linkid=870924
Comment:
    Benefit: 
1. Lead Time reduction tidak bisa langsung * Rp 30k
</t>
      </text>
    </comment>
    <comment ref="A68" authorId="38" shapeId="0" xr:uid="{FCA1B045-7776-491D-8751-53C1CC0C2462}">
      <text>
        <t xml:space="preserve">[Threaded comment]
Your version of Excel allows you to read this threaded comment; however, any edits to it will get removed if the file is opened in a newer version of Excel. Learn more: https://go.microsoft.com/fwlink/?linkid=870924
Comment:
    Data Before:
kurang jelas
1. FPC itu dilakukan untuk 1 koli / 1 IR brp koli?
2. Pengecekan dan bongkar muat kenapa bisa lama sekali
Data After
1. Terdapat pengurangan proses pengecekan dan bongkar muat tanpa ada keterangan jelas
2. proses bagging menambah waktunya
3. proses loading ke truck hilang, barangnya teleport??
Benefit
1. Tidak Jelas dapat dari mana angka tsb
Reply:
    1. Mereka akan kirim dengan BES untuk tujuan yang murah, berarti akan ada proses sorting per area kah? kalo ada, sptnya bakal nambah proses lain juga
2. memang harga pengirimannya murah, namun apakah sdh consider waktu pengiriman akan lbh sebentar / lama?
3. Apakah semua barang yang dikirimkan  3PL, bisa di handle semua / lebih efektif kalau di kirim dengan BES (e.g. DG / Big Product)?
Comment nomor 3 Jeffry = Best comment 2019
</t>
      </text>
    </comment>
    <comment ref="A71" authorId="39" shapeId="0" xr:uid="{DC67BDA1-9D05-4E5C-A870-D3D261A39282}">
      <text>
        <t xml:space="preserve">[Threaded comment]
Your version of Excel allows you to read this threaded comment; however, any edits to it will get removed if the file is opened in a newer version of Excel. Learn more: https://go.microsoft.com/fwlink/?linkid=870924
Comment:
    Data Before &amp; After:
1. Tidak ada FPC
Benefit:
1. Rute Baru lebih lama jadi seharusnya ada penambahan cost (manpower)
Reply:
    Benefit:
1. Tidak ada justification yang jelas mengapa biayanya bisa berkurang
2. Rute memang lebih pendek, namun lama tempuh lebih panjang
3. Tidak ada briefing / penyambung mengapa perubahan rute dapat mengurangi kebutuhan armada, karena harus dibandingkan juga dengan jumlah volum yang dibawa
Reply:
    Data before after tidak ada FPC
Rute lebih dekat, waktu temput lebih panjang.
Tidak ada penjelasan tentang korelasi perubahan jalur dengan efiesiensi armada
</t>
      </text>
    </comment>
    <comment ref="A72" authorId="40" shapeId="0" xr:uid="{8DB959B4-D291-4D01-9537-B464DAF970DA}">
      <text>
        <t>[Threaded comment]
Your version of Excel allows you to read this threaded comment; however, any edits to it will get removed if the file is opened in a newer version of Excel. Learn more: https://go.microsoft.com/fwlink/?linkid=870924
Comment:
    FPC Before &amp; After:
1. FPC Before Kurang detail, semua aktivitas saat istirahat hari jumat dijadikan 1
2. FPC After tidak ada aktivitas sama sekali
Benefit:
1. seharusnya dihitung waktu OB membeli makanan
Reply:
    FPC Before &amp; After:
1. Tidak terlihat perubahan prosesnya selain waktu
Reply:
    Isu ini cukup sensitif karena terkait ibadah. Di Indonesia pada umumnya waktu pulang yang dimundurkan.
Reply:
    Manpower OB digunakan</t>
      </text>
    </comment>
    <comment ref="A73" authorId="41" shapeId="0" xr:uid="{5D2D402A-5AB1-4497-BD06-1D6D03F47684}">
      <text>
        <t xml:space="preserve">[Threaded comment]
Your version of Excel allows you to read this threaded comment; however, any edits to it will get removed if the file is opened in a newer version of Excel. Learn more: https://go.microsoft.com/fwlink/?linkid=870924
Comment:
    Benefit:
Apakah sudah disetujui untuk upload materi training di FB?
Reply:
    Benefit:
1. Bagaimana cara memastikan bahwa agent memang melakukan training dan bukan hanya click next
2. Bagaimana cara pengukuran peningkatan skill setelah training
Reply:
    Perlu dipertimbangkan penggunaan medsos (confidential issue). Sebaiknya bisa maksimalkan penggunaan medsos internal seperti teams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tc={262CA993-0CD1-4AD4-B6BD-030AE40DE687}</author>
    <author>tc={613084A7-00E9-4838-A629-5D2B92645ABC}</author>
    <author>tc={A9F03B35-AD55-4239-9823-A921F35BF68D}</author>
    <author>tc={1D6A5554-A76A-4064-BD26-D67D3208DB93}</author>
    <author>tc={ED69F55F-0EA6-40BC-9A9A-1BB7058BE455}</author>
    <author>tc={3F6C6FA8-5E4E-47D6-8B58-F0E58B4B1B6C}</author>
    <author>tc={879EFE6C-EA62-49FE-A75C-FAC451B4D39F}</author>
    <author>tc={8B1A6617-BF74-48BE-8200-2B5B52747B82}</author>
    <author>tc={131F527C-F496-474B-AEE3-0AFB6B9D2B5C}</author>
    <author>tc={9F976CD2-2749-4F18-B4ED-223C34CF88B9}</author>
    <author>tc={C5B8C843-5757-4C0C-822A-8A192169D27C}</author>
    <author>tc={BF8F9083-3041-49E5-9BE2-03CD46068A60}</author>
    <author>tc={C858F284-2552-4E34-9B8F-1B287A43B6D7}</author>
    <author>tc={90084D85-1BAF-445D-B0AF-D43DBDFAC9C5}</author>
    <author>tc={A967C3CE-C86C-4E9C-9DAC-CE2A978732C5}</author>
    <author>tc={8BA7A56A-47D1-4FBC-8F33-4891946E7698}</author>
    <author>tc={4F34F823-E3FC-44B5-80A9-8C04F9774377}</author>
    <author>tc={BA949A96-1471-4F42-B8DD-D7C3EB6CEF01}</author>
    <author>tc={65CC6775-0EE4-4850-9CE0-81666232D727}</author>
    <author>tc={AE25D523-F37C-495E-B65D-B228E80B915D}</author>
    <author>tc={C368F807-F07D-4E53-95B2-EFF7518862F2}</author>
    <author>tc={6FEE18AA-872E-4DC3-96ED-6439870F6DD4}</author>
    <author>tc={3732BFB6-DACD-46C9-BECE-B4B79FFDE835}</author>
    <author>tc={D0121ACF-ED98-45A8-BBE7-46DC64D6C129}</author>
    <author>tc={5E31AE13-B113-4B50-9957-F031C4F59CCD}</author>
    <author>tc={AB891115-DA4C-4619-9652-24A83A661148}</author>
    <author>tc={6966B91C-3F6B-42A4-9128-8762A33EFBA0}</author>
    <author>tc={C6C1ADE2-9FC7-4DC5-AF02-A2ECBB5FCB30}</author>
    <author>tc={6E635BF5-C4AE-4412-979A-0A80BE59D258}</author>
    <author>tc={DD35F6F6-AB87-414B-A435-BDD131FA542A}</author>
    <author>tc={2A46CAEB-66CF-4AA0-B1C5-27F4158C5E10}</author>
    <author>tc={1A3B420F-5CDE-4E6B-8AD9-248456162F30}</author>
    <author>tc={5334762A-E08F-44FC-A1C5-B5A5BCABC6F5}</author>
    <author>tc={4790C28E-32D5-4CD2-8EA5-9049D2FC65B7}</author>
    <author>tc={7354E2CF-B26C-4FD6-9997-B7C4CA4D33D3}</author>
    <author>tc={3AA2B338-BFC5-4D89-B3F2-4E631A02F370}</author>
    <author>tc={F6EAC791-FE74-4A5E-961E-9DC0AE50CE19}</author>
    <author>tc={551E2FDD-BBBB-4868-827D-B944F4F58EFD}</author>
    <author>tc={12447FA4-486C-4318-A7E1-CAA491DFDEB0}</author>
    <author>tc={A410DA3A-3D78-4846-9E57-8F67556A27D3}</author>
    <author>tc={DE0B5723-603E-4DE9-879D-C7314A94DC44}</author>
    <author>tc={A98E966F-C2D7-4905-A301-CDD20B836056}</author>
    <author>tc={CBBA1D1F-EB6B-4CB9-B5F1-D64E5F71F6CC}</author>
    <author>tc={84AE43A4-374B-411B-B3A2-62A58A9A0743}</author>
    <author>tc={D09D0EA4-8876-4426-A92E-4CA5F6FAA687}</author>
    <author>tc={58D7B1D0-DC75-498E-946D-5A361790EEA9}</author>
    <author>tc={B0267B56-79EA-4C22-BCCE-A444200F669F}</author>
    <author>tc={81A0C1A5-39AC-4D12-9D5C-C63696902BA6}</author>
    <author>tc={EED148FC-D2BD-4D88-B451-71E074DE5184}</author>
    <author>tc={943F99B2-66CB-40FE-9D89-3F60FE84127F}</author>
    <author>tc={FE910FD4-C7F8-4952-A736-F49819094024}</author>
    <author>tc={7932B504-65B9-4702-9D59-57737F628CD1}</author>
    <author>tc={F8E58C53-6E78-4E96-81EC-21A01204A6A9}</author>
    <author>tc={A1E4EC2C-1A72-45D9-97B9-2B3812A14314}</author>
    <author>tc={F88362AA-D188-4C3D-91AF-C0F1A3DAF80E}</author>
    <author>tc={AFF32A05-9F71-4496-97DC-D971EC15CD23}</author>
    <author>tc={9500CEAD-63C9-4CCD-ABEF-20D0FE9436BE}</author>
    <author>tc={18AEC73E-9E51-4180-B38E-FCF5E7C9D6A6}</author>
    <author>tc={AABB2C47-1E4C-4EC5-8B20-12AB1365F473}</author>
    <author>tc={0742EB19-D849-44F5-94E0-DF41227227A4}</author>
    <author>tc={03708B03-07AA-497E-90BE-B34FB913EBA6}</author>
    <author>tc={DE033179-F0ED-48FC-88D3-DFCD2C180D03}</author>
    <author>tc={66726C0D-2827-4F90-8179-670EAF177F46}</author>
    <author>tc={6BF368EE-5862-4790-8FC6-5111721B8642}</author>
    <author>tc={C6E490BE-B2CA-42B9-B41D-45AF4FF4F80B}</author>
    <author>tc={70FB6F4D-1420-40C0-9C98-8486EA64E0CC}</author>
    <author>tc={A562DCCD-0045-4F7A-9DFF-03E391EBCC88}</author>
    <author>tc={78C31161-DB5B-4ED6-B0F1-697480D03377}</author>
    <author>tc={B2845EEA-4DB3-49A5-A13D-DE19887220E0}</author>
    <author>tc={C5B5142D-A73E-4028-8EB3-40215B025C72}</author>
    <author>tc={47A91E05-D2E1-42CE-9270-9D619DDD61A5}</author>
    <author>tc={642A69B1-117E-46AF-AE06-62576ED061DF}</author>
    <author>tc={2821F2FD-169F-4AA7-ABA3-694EBD122884}</author>
    <author>tc={427400B1-3507-4414-9F4E-72230D12BFBA}</author>
    <author>tc={3C8CD787-3E08-433B-83D4-FD32C999FFEB}</author>
    <author>tc={EA66D7AB-F1E9-423E-8B56-7EF2F8ECC6F3}</author>
    <author>tc={CB457950-8B76-41EA-A4DB-4E50A00F7687}</author>
    <author>tc={2BD67A1C-720B-4FA3-9196-A11F97D45787}</author>
  </authors>
  <commentList>
    <comment ref="D2" authorId="0" shapeId="0" xr:uid="{262CA993-0CD1-4AD4-B6BD-030AE40DE687}">
      <text>
        <t>[Threaded comment]
Your version of Excel allows you to read this threaded comment; however, any edits to it will get removed if the file is opened in a newer version of Excel. Learn more: https://go.microsoft.com/fwlink/?linkid=870924
Comment:
    Quantitative Benefit:
Edbert: Benefit jelas dan penjelasan juga sudah baik
Data Before:
Edbert: Datanya juga jelas dan make sense untuk waktu pengerjaannya
Thorough Analysis:
Edbert: Masalahnya adalah upload product satu per satu, apakah dengan macro, uploadnya jadi dapat dilakukan secara bulk? Sebenarnya apakah kegunaan dari macro ini? belum begitu jelas
Reply:
    Thorough Analysis:
Setelah pakai makro, apa proses pemeriksaan/inspeksinya sama?
Reply:
    Data Before : Sudah jelas
Thorough analysis : Kalau big product ini kan upload D nya manual pada PDCA di improvement dikatakan update dilakukan menjadi tiap minggu. Apakah ini tidak apa apa?
Quantitative Benefit : Ok
Reply:
    Quantitative benefit
Clear
Data before
Clear
Thorough Analysis
Apakah update dibutuhkan setiap hari / minggu / bulan? Karena terjadi perubahan frekuensi update dari harian menjadi mingguan.</t>
      </text>
    </comment>
    <comment ref="D3" authorId="1" shapeId="0" xr:uid="{613084A7-00E9-4838-A629-5D2B92645ABC}">
      <text>
        <t>[Threaded comment]
Your version of Excel allows you to read this threaded comment; however, any edits to it will get removed if the file is opened in a newer version of Excel. Learn more: https://go.microsoft.com/fwlink/?linkid=870924
Comment:
    Quantiative Benefit
Edbert: Benefit sudah cukup jelas dan disajikan dengan cukup
Data Before:
Edbert: Tidak ada alasan mengapa tidak bisa menggunakan template serupa yang pernah dibuat sebelumnya dan menggunakan kembali template tersebut
Thorough Analysis:
Edbert: Jika macro untuk membuat template bisa dibuat, kenapa tidak coba untuk copas template sebelum2nya saja untuk pengerjaan yang sekarang?
Reply:
    Benefit:
belum dikonversi ke financial
Analysis:
Penjabaran process macro masih kurang jelas
Reply:
    Data Before : 
Benefit :
Kurang di convert ke uang dan sebenarnya berhubungan dengan Thorough analysis : darimana waktu tersebut bisa didapatkan
Reply:
    Quantitative benefit
Hanya diberikan secara waktu, belum terlihat efisiensi finansial. 
Data before
Berapa orang yang mengerjakan?
Berapa sering setiap minggunya?
Thorough Analysis
Analisa quantitatif bisa lebih diperdalama
Reply:
    Data Before:
Tidak ada penjabaran proses per proses, kurang jelas terlihat proses mana yang di cut
Analysis:
Kurang jelas perbedaan proses dengan atau tanpa makro</t>
      </text>
    </comment>
    <comment ref="D4" authorId="2" shapeId="0" xr:uid="{A9F03B35-AD55-4239-9823-A921F35BF68D}">
      <text>
        <t>[Threaded comment]
Your version of Excel allows you to read this threaded comment; however, any edits to it will get removed if the file is opened in a newer version of Excel. Learn more: https://go.microsoft.com/fwlink/?linkid=870924
Comment:
    Quantitative Benefit
Edbert: Tidak jelas, sekarang Storage Bazaar juga sudah ada lalu proses apa yang beda? Lagipula, tim warehouse memang tau barang apa saja yang akan di Bazaar-kan ke depannya?
Data Before: Proses sudah cukup jelas dan lengkap
Thorough Analysis: Improvement ini lebih ke pengumpulan barang bazaar di storage bazaar, oleh karena itu pasti ada proses putaway, stock control, etc. Disini tidak dinyatakan ada proses itu. Lalu, apakah ada perbedaan penggunaan space untuk storage bazaar dengan tidak?
Reply:
    Quantitative benefit
Bagaimana bisa barang bazar selalu sama setiap kali diadakan?
Data before
Apakah storage sudah ada sebelumnya? Kalau belum, kenapa tidak ada costnya?
Thorough Analysis
1. "Menunggu list bazar" tetap ada before and after, padahal statusnya bisa dieliminasi.
2. Pengecekan barang kenapa bisa menjadi sangat singkat?
Reply:
    Analysis:
Kuran penjelasan apa yang diimprove
kurang penjelasan apa yang dilakukan sehingga 18 step bisa menjadi 9 step
Benefir
saving seharusnya hanya terjadi untuk sku yang sisa bazaar sebelumnya, untuk sku baru masih perlu dicari di dalam storage
Reply:
    Data Before:
Perbedaan elemen proses menunggu di list bazar tidak dijelaskan kenapa jadi storage?
Analysis:
Dengan adanya storage bazar, ada biaya lain yg dikeluarkan ga? Berapa besar area yang digunakan, harusnya akan jadi costing besides efisiensi cost dari sisi time</t>
      </text>
    </comment>
    <comment ref="D5" authorId="3" shapeId="0" xr:uid="{1D6A5554-A76A-4064-BD26-D67D3208DB93}">
      <text>
        <t>[Threaded comment]
Your version of Excel allows you to read this threaded comment; however, any edits to it will get removed if the file is opened in a newer version of Excel. Learn more: https://go.microsoft.com/fwlink/?linkid=870924
Comment:
    Quantiative Benefit
Edbert: Sudah cukup jelas namun bisa ditambahkan penjelasan seperti berapa tingkat kesalahan HO sekarang dan prediksi ke depannya
Data Before:
Edbert: Tidak ada
Thorough Analysis:
Edbert: Masih belum menjelaskan bagaimana WA dapat menjawab goal untuk menyediakan paket mana untuk driver mana, karena walaupun sudah di koordinasikan, pihak yang handover harus mencari paket itu juga untuk kurir yang sesuai.
Lalu, belum dijelaskan bagaimana prosedur untuk memilah paket mana untuk kurir mana dan kira-kira resource apa yang dipakai untuk proses sorting yang baru ini.
Reply:
    Thorough Analysis:
Tidak dijelaskan bagaimana proses sortir packing bisa dilakukan setelah di koordinasikan..
Reply:
    Quantitative benefit
jika sudah disiapkan, apakah loading dock menjadi lebih kosong?
Data before
1. Perhitungan timing tidak jelas.
2. Tidak ada FPC
Thorough Analysis
1. tidak jelas proses apa saja yang dilakukan sehingga mendapat waktu sekian
2. waktu pembuatan list apakah menjadi hilang?
3. Proses lain yang ditimbulkan dari sistem baru?
4. Mengapa tidak menggunakan email? (lebih valid &amp; secure)
Reply:
    Data Before:
Tidak ada detail proses, tidak tau proses mana yang diperbaiki
data before-after ga jelas apa jumlah SKU nya sama
Analysis:
Tidak dijelaskan group WA nya bekerja seperti apa. Apa dengan group WA, informasi dapat di simpan seperti mana email?</t>
      </text>
    </comment>
    <comment ref="D6" authorId="4" shapeId="0" xr:uid="{ED69F55F-0EA6-40BC-9A9A-1BB7058BE455}">
      <text>
        <t>[Threaded comment]
Your version of Excel allows you to read this threaded comment; however, any edits to it will get removed if the file is opened in a newer version of Excel. Learn more: https://go.microsoft.com/fwlink/?linkid=870924
Comment:
    Quantitative Benefit
Edbert: Benefit cukup jelas
Data Before:
Edbert: Proses before sudah benar dan disampaikan dengan lengkap
Thorough Analysis
Edbert: Impact dan cara pengerjaan sudah sangat lengkap. Penjabaran pekerjaan picker dan admin juga sudah lengkap. Sedikit masukkan adalah apakah proses-proses tersebut akan melanggar SOP karena storage di set manual bukan stockholm
Reply:
    Cukup jelas
Reply:
    Analysis:
Perbandingan tidak apple to apple
di before, waktu assign sampai pick lama karena 1 cycle picking dilakukan untuk beberapa SKU selain SKU yang qty terbanyak
di after, waktu assign sampai pick menjadi cepat karena 1 cycle picking dilakukan untuk SKU qty terbanyak saja, namun tidak dihitung juga waktu untuk picking SKU lain juga
Reply:
    ok
Reply:
    Diskualifikasi karena sama persis dengan kaizen ceper di 2019, sudah konfirm ke Faisal dan Ci Sanni</t>
      </text>
    </comment>
    <comment ref="D7" authorId="5" shapeId="0" xr:uid="{3F6C6FA8-5E4E-47D6-8B58-F0E58B4B1B6C}">
      <text>
        <t>[Threaded comment]
Your version of Excel allows you to read this threaded comment; however, any edits to it will get removed if the file is opened in a newer version of Excel. Learn more: https://go.microsoft.com/fwlink/?linkid=870924
Comment:
    Quantitative Benefit:
Edbert: Memang benar kertas tidak digunakan, tapi sekarang semua personil BES harus mempunyai akses ke Microsoft Forms, apakah mereka sekarang sudah punya akses?
Lalu apakah anda yakin bahwa proses pengisian form PA akan lancar apabila menggunakan HP? bisa jadi pengisian PA nya malah lebih lama
Data Before:
Edbert: Proses cukup straightforward jadi jelas-jelas saja
Thorough Analysis:
Edbert: Masih kurang pas karena masih ada beberapa poin yang harus di consider seperti akses ke form, siapa yang maintain dokumen (karena harus disimpan sampai 10 tahun), Apakah mudah mencari jawaban pegawai untuk proses one on one mengingat ini bentuknya form bukan excel
Reply:
    Quantitative benefit
1.  cukup jelas
Data before
1. Biaya cetak belum termasuk. Bisa ditambahkan.
2. Biaya preservasi dokumen?
Thorough Analysis
1. Bagaimana memastikan preservasi dokumen PA online selama 10 tahun?
2. Proses submit ke HRD hilang. Apakah form langsung submit ke HR
3. Siapa yang mengisi formnya?
4. Waktu proses review tidak masuk?
Reply:
    Data Before:
seharusnya dimasukkan proses memasukkan PA ke kertas manual supaya dapat dibandingkan apakah menulis di kertas dan mengetik di form online sama cepatnya
Analysis
Seharusnya dimasukkan waktu untuk mengisi form online
Benfit:
OK
Reply:
    Thorough Analysis :
Excel online atau microsoft form? 
Proses submit ke hrd ga ada? apakah langsung pas selesai PA nya? 
Apakah pengisian PA dan proses PA dilakukan bersamaan? &lt;&lt;&lt; Ada baiknya proses PA dan pengisian PA dipisah.
Reply:
    Analysis:
Apakah no problem ketika penyerahan hasil PA berupa hasil online form ke HRD? Jika perlu di fisik, harusnya ada biaya cetak hasil PA. Apa proses PA ini ok jika dilakukan tanpa face to face?</t>
      </text>
    </comment>
    <comment ref="D8" authorId="6" shapeId="0" xr:uid="{879EFE6C-EA62-49FE-A75C-FAC451B4D39F}">
      <text>
        <t>[Threaded comment]
Your version of Excel allows you to read this threaded comment; however, any edits to it will get removed if the file is opened in a newer version of Excel. Learn more: https://go.microsoft.com/fwlink/?linkid=870924
Comment:
    Quantitative Benefit:
Edbert: benefit make sense dan banyak aspek yang tersentuh seperti efisiensi biaya, peningkatan utilisasi aset dan pegawai
Data Before:
Tidak ada proses yang berubah, namun lebih ke perubahan penggunaan aset, dari menggunakan jasa 3PL menjadi menggunakan resource internal
Thorough Analysis:
Edbert: Rincian sudah lengkap hanya saja ada beberapa faktor seperti seberapa banyak peningkatan utilisasi karyawan dan utilisasi kendaraan masih belum dapat dilampirkan karena memang belum ada datanya
Reply:
    1. Belum terlihat perbandingan biaya per hari dari 3pl dengan inhouse untuk masing-masing rute.
2. Cost BBM berbeda-beda untuk setiap rute
4. Perhitungan cost masih ada yang terlewat seperti ban, asuransi, biaya kenek.
5. Berpotensi saving besar namun perlu perhitungan yang lebih rinci
Reply:
    Data Before kurang jelas berasal dari mana 235 jt
Harusnya FPC menjelaskan proses linehaul (handover ke trip logic dsb) dimana pasti akan ada pengisian dokumen serah terima, arsip yang mungkin dapat dihemat dengan penggunaan kurir internal
Analysis:
harusnya FPC menjelaskan proses linhaulnya
Benefit:
OK
Reply:
    Thorough Analysis:
Akan lebih ok dengan apakah utilisasi mobil mencukupi untuk proses linehaul mother hub hingga 6 bulan kedepan minimal.
-Dapat info : tidak ada satupun proses yg berbeda antara driver internal atau eksternal?
Data Before :
Biaya dri invoice kah? darimana?
Reply:
    Data Before:
Benefit biaya kurang jelas, angka biayanya dari mana?
Proses di linehaul nya gimana? Apakah iya sama persis dengan sebelumnya?</t>
      </text>
    </comment>
    <comment ref="D9" authorId="7" shapeId="0" xr:uid="{8B1A6617-BF74-48BE-8200-2B5B52747B82}">
      <text>
        <t>[Threaded comment]
Your version of Excel allows you to read this threaded comment; however, any edits to it will get removed if the file is opened in a newer version of Excel. Learn more: https://go.microsoft.com/fwlink/?linkid=870924
Comment:
    Quantitative Benefit
Edbert: Tujuan dan keuntungan sudah cukup jelas
Data Before:
Edbert: Proses sudah cukup jelas dan lengkap
Thorough Analysis:
Edbert: Apakah load seperti ini dilakukan secara reguler? jika tidak, maka savingnya sebenarnya tidak fixed dan sebaiknya memberikan average.
Reply:
    1. Berapa muatan maksimum dari granmax bv? Diharapkan muatan masih di bawah batas berat maksimum.
2. Berapa kali dalam 1 bulan ada trip yang penuh? 
Reply:
    Data Before: OK
Analysis: sisi bagian belakang kenapa tidak dimaksimalkan juga
Benefit: Perhitungan 40rb kurang jelas, improvement tidak dapat diterapkan setiap waktu
Reply:
    Benefit : Dilakukan hanya setiap promo bliblimart groceries... perlu melihat load apakah memang terpakai full selalu berdasarkan history saja
Reply:
    Analysis:
Efisiensi biaya perhitungannya bagaimana? 40rb didapatkan dari mana? Secara proses justu menimbulkan costing 41rb?</t>
      </text>
    </comment>
    <comment ref="D10" authorId="8" shapeId="0" xr:uid="{131F527C-F496-474B-AEE3-0AFB6B9D2B5C}">
      <text>
        <t xml:space="preserve">[Threaded comment]
Your version of Excel allows you to read this threaded comment; however, any edits to it will get removed if the file is opened in a newer version of Excel. Learn more: https://go.microsoft.com/fwlink/?linkid=870924
Comment:
    Quantitative Benefit
Edbert: Benefitnya jelas, namun sepertinya angkanya tidak bisa fixed, karena kebutuhan agent belum tentu sama angkanya
Data Before
Edbert: Proses sekarang sudah cukup lengkap dan jelas
Thorough Analysis:
Edbert: Apa yang dilakukan apabila tiba-tiba butuh akun tambahan? Apakah proses approvalnya cepat? Apabila minta akun mendadak, apakah billing akan naik?
Reply:
    Analysis:
apakah sudah implementasi?
negosiasi menjadi bagaimana?
approval request akun dan negosiasi dilakukan setiap berapa lama sekali
Reply:
    Quantitative Ben: jelas
Thorough analysis : Ini dilakukan tahunan? apabila terdapat perubahan mendadak (tiba-tiba ada event besar) apakah proses penambahan akun dapat dilakukan dengan cepat?
Reply:
    Analysis:
Seharusnya bisa ditambahkan penjadwalan/pengaturan penggunaan akun, pada bagian improvement seharusnya disebutkan bahwa akun bisa digunakan lebih dari 1 user sehingga pertanyaan mengenai kekurangan akun bisa terjawab
Reply:
    1. Apakah sudah implementasi?
2. Bagaimana jika terjadi kebutuhan mendadak? Impact terhadap SLA?
</t>
      </text>
    </comment>
    <comment ref="D11" authorId="9" shapeId="0" xr:uid="{9F976CD2-2749-4F18-B4ED-223C34CF88B9}">
      <text>
        <t>[Threaded comment]
Your version of Excel allows you to read this threaded comment; however, any edits to it will get removed if the file is opened in a newer version of Excel. Learn more: https://go.microsoft.com/fwlink/?linkid=870924
Comment:
    Quantiative Benefit
Edbert: Benefitnya memang jelas, tapi banyak pertimbangan yang belum dijelaskan apakah ada impact terhadap quality
Data Before
Edbert: Proses sudah benar dan straightforward
Thorough Analysis
Edbert: Bagaimana mereka make sure kalau setiap agent punya standard yang sama dalam filter mana email yang spam dan yang bukan? Sudahkah di hitung impactnya apabila agent tidak melakukan filter dengan benar?
Reply:
    Quantitative benefit
Belum dijelaskan panduan diberikan dalam bentuk apa. kertas/training/sticky notes?
Data before
Apa alasan TL membutuhkan waktu 130s?
Thorough Analysis
Jika TL membutuhkan waktu sampai 130s, bagaimana caranya Agent bisa melakukan lebih cepat?3
Reply:
    Analysis:
Guideline belum dijelaskan seperti apa
seharusnya ada periodical check untuk memastikan keputusan agent benar atau tidak
Reply:
    Thorough analysis :
Guide bentuknya apa?
Mengapa agent bisa menentukan email SPAM hanya dalam waktu total 84 detik sementara untuk TL 130 detik, ada waktu membuka app nya?
Reply:
    Analysis:
Guideline nya gimana dan diletakkan dimana?</t>
      </text>
    </comment>
    <comment ref="D12" authorId="10" shapeId="0" xr:uid="{C5B8C843-5757-4C0C-822A-8A192169D27C}">
      <text>
        <t>[Threaded comment]
Your version of Excel allows you to read this threaded comment; however, any edits to it will get removed if the file is opened in a newer version of Excel. Learn more: https://go.microsoft.com/fwlink/?linkid=870924
Comment:
    Quantitative Benefit
Edbert: Perumusan dan penjelasan benefit sudah sangat baik dan dapat dimengerti darimana savingnya
Data Before:
Edbert: Proses juga sudah sangat lengkap dan tepat
Thorouh Analysis:
Edbert: Sudah sangat jelas action apa saja yang harus dilakukan dan hitungannya sudah make sense</t>
      </text>
    </comment>
    <comment ref="D13" authorId="11" shapeId="0" xr:uid="{BF8F9083-3041-49E5-9BE2-03CD46068A60}">
      <text>
        <t>[Threaded comment]
Your version of Excel allows you to read this threaded comment; however, any edits to it will get removed if the file is opened in a newer version of Excel. Learn more: https://go.microsoft.com/fwlink/?linkid=870924
Comment:
    Why analysis bisa lebih diperjelas mengapa data bank tidak lengkap. Tujuannya untuk menghindari proses terhambat karena data yang tidak lengkap karena kesalahan yang sama
Reply:
    Analysis:
Potential improvement yang dapat dilakukan lebih besar, kurang dijelaskan bagaimana bentuk datanya
Reply:
    Thorough analysis:
Bentuk listnya dalam bentuk apa ya?
Reply:
    Analysis
Why analysis masih bisa dilanjutkan</t>
      </text>
    </comment>
    <comment ref="D14" authorId="12" shapeId="0" xr:uid="{C858F284-2552-4E34-9B8F-1B287A43B6D7}">
      <text>
        <t>[Threaded comment]
Your version of Excel allows you to read this threaded comment; however, any edits to it will get removed if the file is opened in a newer version of Excel. Learn more: https://go.microsoft.com/fwlink/?linkid=870924
Comment:
    Data Before:
1. Rata-rata 1 bulan didapat dari bulan berapa sampai berapa?
Through Analysis:
1. Pada FPC before, banyak yang bisa dieliminate, namun tidak dilakukan.
QB:
1. Penghematan waktu tidak dikonversi ke penghematan
Reply:
    perhitungan pengurangan unit berdasarkan apa kurang dijelaskan
pejadwalan penggunaan avaya nya seperti apa, karena dari FPC penggunaan avaya utk FU cases
Reply:
    TA:
Apakah load pekerjaan tetap dapat di maintain apabila device ditiadakan?
Reply:
    Analysis:
Why analysis masih bisa diperdalam lagi
Benefit
tidak menghitung cost waktu yang bertambah.
Reply:
    Thorough analysis :
bagaimana bsa ngurangin jumlah avayanya
Qty benefit :
benefit kurang di penambahan waktu yg terjadi</t>
      </text>
    </comment>
    <comment ref="D15" authorId="13" shapeId="0" xr:uid="{90084D85-1BAF-445D-B0AF-D43DBDFAC9C5}">
      <text>
        <t>[Threaded comment]
Your version of Excel allows you to read this threaded comment; however, any edits to it will get removed if the file is opened in a newer version of Excel. Learn more: https://go.microsoft.com/fwlink/?linkid=870924
Comment:
    DB:
1. Perhitungan kapsitas catridge untuk ukuran A4/A5? 9600 lembar didapat dari mana?
TA:
1. FPC tidak ada perhitungan dari segi waktu.
2. Proses scan dan upload tidak terkuantifikasi.
QB:
1. Data disimpan di server atau hard disk external? Kalau di local drive, potensi data hilang karena kerusakan device.
Reply:
    DB:
Tidak ada perubahan? sepertinya sama saja cuma ganti media
TA:
bukannya dokumen GIN harus ada dokumennya supaya sesuai dengan ISO
Reply:
    FPC tidak ada waktunya
Benefit tidak consider saving dari segi waktu
Reply:
    Saving Cartridge tidak tepat menggunakan asumsi 50%, karena pemakaian cartridge dari tim OPM kan bukan hanya untuk GIN dengan BES saja
Reply:
    Saving per year saya kurangin saving dari cartridge
Reply:
    Thorough analysis:
waktu di fpc tidak ada, 
Qty benefit :
simpan di sharepoint berarti benefit nya tidak pakai perkiraan terabytenya external tpi cloud?</t>
      </text>
    </comment>
    <comment ref="H15" authorId="14" shapeId="0" xr:uid="{A967C3CE-C86C-4E9C-9DAC-CE2A978732C5}">
      <text>
        <t>[Threaded comment]
Your version of Excel allows you to read this threaded comment; however, any edits to it will get removed if the file is opened in a newer version of Excel. Learn more: https://go.microsoft.com/fwlink/?linkid=870924
Comment:
    Order Q4 diasumsikan 3x dari order Q1-Q3 sehingga dikalikan 18 x untuk mengetahui jumlah penggunaan kertas selama satu tahun</t>
      </text>
    </comment>
    <comment ref="D16" authorId="15" shapeId="0" xr:uid="{8BA7A56A-47D1-4FBC-8F33-4891946E7698}">
      <text>
        <t>[Threaded comment]
Your version of Excel allows you to read this threaded comment; however, any edits to it will get removed if the file is opened in a newer version of Excel. Learn more: https://go.microsoft.com/fwlink/?linkid=870924
Comment:
    Seharusnya SO tidak perlu menggunakan kertas
Reply:
    Data Before tidak ada FPC, 
SO seharusnya tidak menggunakan kertas
setelah diberi revisi data juga angka tidak berubah
ANalysis
why analysis kurang tepat, seharusnya analisa kenapa pemakaian kertas banyak,
pemakaian untuk proses apa saja, dsb
benefit
perhitungan salah</t>
      </text>
    </comment>
    <comment ref="D17" authorId="16" shapeId="0" xr:uid="{4F34F823-E3FC-44B5-80A9-8C04F9774377}">
      <text>
        <t>[Threaded comment]
Your version of Excel allows you to read this threaded comment; however, any edits to it will get removed if the file is opened in a newer version of Excel. Learn more: https://go.microsoft.com/fwlink/?linkid=870924
Comment:
    Analysis:
1. Bagaimana proses sosialisasi ke driver ojol?
2. Ada proses tambahan rekap dari data yang di send by WA ga?
Reply:
    TA:
1. Bagaimana cara membuat driver konsisten / mau hub pakai WA dulu? karena ini adalah driver 3rd party
2. Lalu setelah di WA, memang bagaimana caranya membuat driver tdk perlu mengantri lagi? karena operator tetap harus tanya nama driver siapa
DB:
Biasa ngantri berp lama?
Reply:
    After:
proses driver konfirmasi di whatsapp juga tidak mungkin hanya 5 detik untuk mengetik info2 yang dibutuhkan.
Menyiapkan dan menyerahkan paket ke driver kenapa waktunya bisa lebih cepat? kan proses menyiapkan dan serah terima ke driver tidak berubah, hanya informasi lebih cepat saja</t>
      </text>
    </comment>
    <comment ref="D18" authorId="17" shapeId="0" xr:uid="{BA949A96-1471-4F42-B8DD-D7C3EB6CEF01}">
      <text>
        <t>[Threaded comment]
Your version of Excel allows you to read this threaded comment; however, any edits to it will get removed if the file is opened in a newer version of Excel. Learn more: https://go.microsoft.com/fwlink/?linkid=870924
Comment:
    DB, TA, QB sudah jelas</t>
      </text>
    </comment>
    <comment ref="C19" authorId="18" shapeId="0" xr:uid="{65CC6775-0EE4-4850-9CE0-81666232D727}">
      <text>
        <t>[Threaded comment]
Your version of Excel allows you to read this threaded comment; however, any edits to it will get removed if the file is opened in a newer version of Excel. Learn more: https://go.microsoft.com/fwlink/?linkid=870924
Comment:
    25/2: Pringgo drop submission Kaizen ini karena dia bilang masih belum keuntungan dari melakukan ide ini</t>
      </text>
    </comment>
    <comment ref="D19" authorId="19" shapeId="0" xr:uid="{AE25D523-F37C-495E-B65D-B228E80B915D}">
      <text>
        <t>[Threaded comment]
Your version of Excel allows you to read this threaded comment; however, any edits to it will get removed if the file is opened in a newer version of Excel. Learn more: https://go.microsoft.com/fwlink/?linkid=870924
Comment:
    mengapa proses yang sama di FPC before after bisa berbeda waktunya?
apakah waktu konfirmasi chat dengan driver betul2 hanya 5 detik?</t>
      </text>
    </comment>
    <comment ref="D20" authorId="20" shapeId="0" xr:uid="{C368F807-F07D-4E53-95B2-EFF7518862F2}">
      <text>
        <t>[Threaded comment]
Your version of Excel allows you to read this threaded comment; however, any edits to it will get removed if the file is opened in a newer version of Excel. Learn more: https://go.microsoft.com/fwlink/?linkid=870924
Comment:
    belum ada penjelasan siapa yang approve form. Mengapa di FPC before tidak ada approval proses?
Reply:
    Penjelasan proses kurang detail, padahal bisa di jabarin pengurangan waktu admin yang siapin ATK saat rekap data by email yang lebih lama dibanding tercompile di form
Reply:
    Sepertinya kegunaan bukan hanya dari segi waktu, tapi ke pertanggunjawaban / bisa pelajari ATK apa yang sering di pakai atau cepat habis
Reply:
    Benefit:
data 18x belum menggunakan data aktual, karena masih menggunakan asumsi</t>
      </text>
    </comment>
    <comment ref="D21" authorId="21" shapeId="0" xr:uid="{6FEE18AA-872E-4DC3-96ED-6439870F6DD4}">
      <text>
        <t>[Threaded comment]
Your version of Excel allows you to read this threaded comment; however, any edits to it will get removed if the file is opened in a newer version of Excel. Learn more: https://go.microsoft.com/fwlink/?linkid=870924
Comment:
    Diagram fish bone tidak menjelaskan permasalahan sebelumnya.
Reply:
    TA:
Belum ada analisa apakah mengurangi manpower dapat tetap menjaga kinerja operator
Reply:
    FPC tidak ada waktu nya
Analisa tidak menyebutkan kenapa di awal di set sejumlah 4 orang tersebut</t>
      </text>
    </comment>
    <comment ref="D22" authorId="22" shapeId="0" xr:uid="{3732BFB6-DACD-46C9-BECE-B4B79FFDE835}">
      <text>
        <t>[Threaded comment]
Your version of Excel allows you to read this threaded comment; however, any edits to it will get removed if the file is opened in a newer version of Excel. Learn more: https://go.microsoft.com/fwlink/?linkid=870924
Comment:
    Analysis:
Salah satu kendala online form berbarengan adalah kemungkinan tabrakan per baris satu sama lain, kurang di mention ada atau tidak aktivitas tambahan untuk menghindari hal tsb?
Reply:
    penjabaran Perhitungan benefit tidak sistematis dan angka berbeda dengan difference FPC</t>
      </text>
    </comment>
    <comment ref="D23" authorId="23" shapeId="0" xr:uid="{D0121ACF-ED98-45A8-BBE7-46DC64D6C129}">
      <text>
        <t>[Threaded comment]
Your version of Excel allows you to read this threaded comment; however, any edits to it will get removed if the file is opened in a newer version of Excel. Learn more: https://go.microsoft.com/fwlink/?linkid=870924
Comment:
    Analysis:
1. Proses control nya bagaimana? Berapa % keberhasilannya? karena kemungkinan agent tetep telat tetap ada walaupun pakai aplikasi tersebut
2. Agent ga perlu info di slack lagi? WFM control nya all via galarm?
Reply:
    DB:
waktu break vs ketelatan tidak apple to apple karena harusnya per satu agent saja bukan kolektif
TA:
Kenapa harus pakai Galarm? memang tidak bisa pake clock di HP saja?
Reply:
    Data before:
Keterlambatan seharusnya tidak masuk FPC tetapi di bagian benefit
Analysis dana data after:
Terdapat proses melakukan aux break yang waktunya berubah dari before ke after padahal tidak ada keterangan improvement apapun pada aktivitas tsb</t>
      </text>
    </comment>
    <comment ref="D24" authorId="24" shapeId="0" xr:uid="{5E31AE13-B113-4B50-9957-F031C4F59CCD}">
      <text>
        <t>[Threaded comment]
Your version of Excel allows you to read this threaded comment; however, any edits to it will get removed if the file is opened in a newer version of Excel. Learn more: https://go.microsoft.com/fwlink/?linkid=870924
Comment:
    Data before untuk GIN butuh 4200 lembar tidak valid, karena berdasar data GIN di stockholm selama bulan januari hanya terdapat sekitar 800 GIN sehingga hanya membutuhkan 1600 lembar saja
FPC before after tidak ada waktunya
Reply:
    masalah utamanya bukan karena pake 2 account tapi lebih ke kurang training sampe2 2 orang proses 1 GIN yang sama</t>
      </text>
    </comment>
    <comment ref="D25" authorId="25" shapeId="0" xr:uid="{AB891115-DA4C-4619-9652-24A83A661148}">
      <text>
        <t>[Threaded comment]
Your version of Excel allows you to read this threaded comment; however, any edits to it will get removed if the file is opened in a newer version of Excel. Learn more: https://go.microsoft.com/fwlink/?linkid=870924
Comment:
    TA:
Dia mempunyai PIC utk sorting kardus, artinya akan hire orang specific utk kerja. Pertanyaan: apakah load pekerjaan di WH ini akan tetap terjaga, lalu apakah waktu pekerja ini akan di utilize dengan baik?
Reply:
    Pengumpulan report terlambat
Data Before:
FPC tidak ada
Analysis:
FPC tidak ada
Improvement tidak menyelasaikan semua root cause yang ditemukan pada Analisa Sebab, padahal improvementnya seharusnya cepat
bagaimana cara maintain space yang digunakan untuk packaging tidak mencapai 300m2 lagi?
Goalnya untuk mempersingkat waktu pengeluaran kardus, tetapi tidak disebutkan before dan after waktu pengeluaran kardusnya.
Benfit:
saving seharusnya tidak 300m2 karena masih ada space yang digunakan untuk kardus bekas</t>
      </text>
    </comment>
    <comment ref="D26" authorId="26" shapeId="0" xr:uid="{6966B91C-3F6B-42A4-9128-8762A33EFBA0}">
      <text>
        <t>[Threaded comment]
Your version of Excel allows you to read this threaded comment; however, any edits to it will get removed if the file is opened in a newer version of Excel. Learn more: https://go.microsoft.com/fwlink/?linkid=870924
Comment:
    Benefit/Implementation:
1. After improvement kenapa tetap ada proses print form KYC?
2. Proses upload data dokumen kenapa tidak ada di after improvement?
Reply:
    1. Dokumen di after tidak perlu discan?
Reply:
    analisa
1. proses scan dan upload data dokumen di after tidak dijelaskan
2. 
benefiti
1. pengurangan waktu proses seharusnya ikut dihitung sebagai benefit</t>
      </text>
    </comment>
    <comment ref="D27" authorId="27" shapeId="0" xr:uid="{C6C1ADE2-9FC7-4DC5-AF02-A2ECBB5FCB30}">
      <text>
        <t>[Threaded comment]
Your version of Excel allows you to read this threaded comment; however, any edits to it will get removed if the file is opened in a newer version of Excel. Learn more: https://go.microsoft.com/fwlink/?linkid=870924
Comment:
    Before:
1. data yang disebutkan pada summary data before berbeda dengan data pada FPC
analysis:
1. improvement tidak menjawab analisa template yang berbeda dan kebutuhan yang berbeda di setiap bagian
benefit:
1. benfit tidak ada</t>
      </text>
    </comment>
    <comment ref="H27" authorId="28" shapeId="0" xr:uid="{6E635BF5-C4AE-4412-979A-0A80BE59D258}">
      <text>
        <t>[Threaded comment]
Your version of Excel allows you to read this threaded comment; however, any edits to it will get removed if the file is opened in a newer version of Excel. Learn more: https://go.microsoft.com/fwlink/?linkid=870924
Comment:
    based on presentation with Ops Mgr</t>
      </text>
    </comment>
    <comment ref="D28" authorId="29" shapeId="0" xr:uid="{DD35F6F6-AB87-414B-A435-BDD131FA542A}">
      <text>
        <t>[Threaded comment]
Your version of Excel allows you to read this threaded comment; however, any edits to it will get removed if the file is opened in a newer version of Excel. Learn more: https://go.microsoft.com/fwlink/?linkid=870924
Comment:
    kan berarti keuntungannya:
1. mengurangi salah kirim - berapa kali kejadian before dan after improvement (rata2 dalam 1 bulan)
2. mempercepat investigasi kalau salah kirim - berapa lama investigasi before dan after (rata2 dalam 1 bulan)
kerugiannya:
1. Penambahan waktu buat input excel - berapa lama waktu yang diperlukan (rata2 dalam 1 bulan)
nnti tlg dipastikan ada perhitungan ini
Reply:
    before:
1. data kerugian tidak jelas dari mana
2. tidak ada FPC untuk investigasi salah kirim
analisis
1. harusnya analisa sebab bisa lebih detail mengambil kasus yang telah terjadi kenapa bisa salah kirim bukan langsung kesimpulan karena tidak ada monitoring berat
2. improvement kurang detail bagaimana cara cek error weight, excelnya seperti apa
benefit:
1. Data after seharusnya menyertakan proses cek error weight itu menambah proses berapa lama
2. tidak dikuantifikasi
Reply:
    Ada perubahan proses tpi tidak ada FPC : Data before
Tho Anal : Improvement kurang jelas dijelaskan cara cek error dan kenapa bsa bkin ga lebih kurang</t>
      </text>
    </comment>
    <comment ref="D30" authorId="30" shapeId="0" xr:uid="{2A46CAEB-66CF-4AA0-B1C5-27F4158C5E10}">
      <text>
        <t>[Threaded comment]
Your version of Excel allows you to read this threaded comment; however, any edits to it will get removed if the file is opened in a newer version of Excel. Learn more: https://go.microsoft.com/fwlink/?linkid=870924
Comment:
    QB:
Terus kalau GINnya di batch, waktunya penyerahannya ngga sesuai dong?
Reply:
    Analisa:
1. Analisa bisa lebih detail, mengapa bisa banyak akun, mengapa bisa lama submit GINnya
Benefit:
1. harusnya untuk semua warehouse tidak bisa langsung dikali 19 saja, karena tidak semua warehouse sama, terutama yang di luar jabodetabek</t>
      </text>
    </comment>
    <comment ref="H30" authorId="31" shapeId="0" xr:uid="{1A3B420F-5CDE-4E6B-8AD9-248456162F30}">
      <text>
        <t>[Threaded comment]
Your version of Excel allows you to read this threaded comment; however, any edits to it will get removed if the file is opened in a newer version of Excel. Learn more: https://go.microsoft.com/fwlink/?linkid=870924
Comment:
    based on presentation with Ops Mgr</t>
      </text>
    </comment>
    <comment ref="D31" authorId="32" shapeId="0" xr:uid="{5334762A-E08F-44FC-A1C5-B5A5BCABC6F5}">
      <text>
        <t>[Threaded comment]
Your version of Excel allows you to read this threaded comment; however, any edits to it will get removed if the file is opened in a newer version of Excel. Learn more: https://go.microsoft.com/fwlink/?linkid=870924
Comment:
    harus dibandingkannya lebih mudah antara pakai stockholm atau pakai excel online nya,
Reply:
    Before:
1. FPC kurang detail
Benefit:
1. FPC kurang detail apakah scan di security sudah termasuk di proses mencatat data ATK
2. sehari ambil 32 macam ATK? kok kurang make sense</t>
      </text>
    </comment>
    <comment ref="D34" authorId="33" shapeId="0" xr:uid="{4790C28E-32D5-4CD2-8EA5-9049D2FC65B7}">
      <text>
        <t>[Threaded comment]
Your version of Excel allows you to read this threaded comment; however, any edits to it will get removed if the file is opened in a newer version of Excel. Learn more: https://go.microsoft.com/fwlink/?linkid=870924
Comment:
    Before:
FPC kurang detail 90 detik melakukan kategorisasi itu gimana caranya
Benefit
FPC after kurang detail 10 detik itu bagaimana
lalu ada penarikan data dengan macro tidak masuk dalam FPC</t>
      </text>
    </comment>
    <comment ref="H34" authorId="34" shapeId="0" xr:uid="{7354E2CF-B26C-4FD6-9997-B7C4CA4D33D3}">
      <text>
        <t>[Threaded comment]
Your version of Excel allows you to read this threaded comment; however, any edits to it will get removed if the file is opened in a newer version of Excel. Learn more: https://go.microsoft.com/fwlink/?linkid=870924
Comment:
    based on presentation with Ops Mgr</t>
      </text>
    </comment>
    <comment ref="D36" authorId="35" shapeId="0" xr:uid="{3AA2B338-BFC5-4D89-B3F2-4E631A02F370}">
      <text>
        <t>[Threaded comment]
Your version of Excel allows you to read this threaded comment; however, any edits to it will get removed if the file is opened in a newer version of Excel. Learn more: https://go.microsoft.com/fwlink/?linkid=870924
Comment:
    sudah di implementasikan
Reply:
    Data before tidak ada
Analisa dan improvement ridak dijelaskan
benefit tidak ada
Reply:
    Improvement tidak dijelaskan,
data before after tidak ada</t>
      </text>
    </comment>
    <comment ref="D37" authorId="36" shapeId="0" xr:uid="{F6EAC791-FE74-4A5E-961E-9DC0AE50CE19}">
      <text>
        <t>[Threaded comment]
Your version of Excel allows you to read this threaded comment; however, any edits to it will get removed if the file is opened in a newer version of Excel. Learn more: https://go.microsoft.com/fwlink/?linkid=870924
Comment:
    Analisa:
Tidak menjelaskan bagaimana memastikan admin disipilin
Benefit:
tidak aktual, perhitungan permintaan stok masih dalam bentuk "Misal"
Stock opname bulanan kenapa hanya 67200 kan harusnya 48000x2</t>
      </text>
    </comment>
    <comment ref="D38" authorId="37" shapeId="0" xr:uid="{551E2FDD-BBBB-4868-827D-B944F4F58EFD}">
      <text>
        <t>[Threaded comment]
Your version of Excel allows you to read this threaded comment; however, any edits to it will get removed if the file is opened in a newer version of Excel. Learn more: https://go.microsoft.com/fwlink/?linkid=870924
Comment:
    analisis
improvement tidak menjawab semua masalah yang ada
benefit
benefit tidak dijelaskan
perbandingan dengan data before tidak ada (jumlah palet, selisih stock)</t>
      </text>
    </comment>
    <comment ref="D39" authorId="38" shapeId="0" xr:uid="{12447FA4-486C-4318-A7E1-CAA491DFDEB0}">
      <text>
        <t>[Threaded comment]
Your version of Excel allows you to read this threaded comment; however, any edits to it will get removed if the file is opened in a newer version of Excel. Learn more: https://go.microsoft.com/fwlink/?linkid=870924
Comment:
    Analisys:
Why analisis tidak dilanjutkan hingga root cause
improvement kurang jelas
benefit
benefit tidak ada
data after tidak dijelaskan itu sekarang dikerjakan berapa orang</t>
      </text>
    </comment>
    <comment ref="H39" authorId="39" shapeId="0" xr:uid="{A410DA3A-3D78-4846-9E57-8F67556A27D3}">
      <text>
        <t>[Threaded comment]
Your version of Excel allows you to read this threaded comment; however, any edits to it will get removed if the file is opened in a newer version of Excel. Learn more: https://go.microsoft.com/fwlink/?linkid=870924
Comment:
    based on presentation with Ops Mgr</t>
      </text>
    </comment>
    <comment ref="D40" authorId="40" shapeId="0" xr:uid="{DE0B5723-603E-4DE9-879D-C7314A94DC44}">
      <text>
        <t xml:space="preserve">[Threaded comment]
Your version of Excel allows you to read this threaded comment; however, any edits to it will get removed if the file is opened in a newer version of Excel. Learn more: https://go.microsoft.com/fwlink/?linkid=870924
Comment:
    TA:
sudah memperhitungkan berapa banyak orang dan berapa lama untuk memproses barang claim di tiap warehouse?
Reply:
    QB:
Need to check akurasi saving, karena penggunaan SiCepat tidak 100% (hanya sebagian besar, ini juga tidak di state berapa kontribusinya)
</t>
      </text>
    </comment>
    <comment ref="D41" authorId="41" shapeId="0" xr:uid="{A98E966F-C2D7-4905-A301-CDD20B836056}">
      <text>
        <t>[Threaded comment]
Your version of Excel allows you to read this threaded comment; however, any edits to it will get removed if the file is opened in a newer version of Excel. Learn more: https://go.microsoft.com/fwlink/?linkid=870924
Comment:
    TA:
Apakah jika picking menggunakan tablet ada benefit lain (e.g.: time saving atau dokumentasi)?
Reply:
    Tidak ada FPC-&gt; tidak dijelaskan ada atau tidak perubahan proses
Reply:
    Before:
Tidak jelas 14rb dari mana
Benefit
perhitungan jumlah kertas kenapa bisa turun jadi 4</t>
      </text>
    </comment>
    <comment ref="D43" authorId="42" shapeId="0" xr:uid="{CBBA1D1F-EB6B-4CB9-B5F1-D64E5F71F6CC}">
      <text>
        <t>[Threaded comment]
Your version of Excel allows you to read this threaded comment; however, any edits to it will get removed if the file is opened in a newer version of Excel. Learn more: https://go.microsoft.com/fwlink/?linkid=870924
Comment:
    TA: berapa container per trolley? kalau containernya tidak butuh sebanyak yang di trolley lalu bagaimana?
Reply:
    Benefit tidak ada cost saving karena memindahkan proses</t>
      </text>
    </comment>
    <comment ref="D45" authorId="43" shapeId="0" xr:uid="{84AE43A4-374B-411B-B3A2-62A58A9A0743}">
      <text>
        <t>[Threaded comment]
Your version of Excel allows you to read this threaded comment; however, any edits to it will get removed if the file is opened in a newer version of Excel. Learn more: https://go.microsoft.com/fwlink/?linkid=870924
Comment:
    TA:
Content form checklist perlu direview:
1. Apakah masa berlaku dokumen per karyawan bisa dilookup dari database terpisah? (perubahannya tidak dalam jangka waktu dekat &amp; bisa menambah time saving)
2. Pertanyaan dan jawaban perlu dicek (e.g. form mobil tidak cek spion; form spion motor pilihannya menyala/tidak; tas operasional ada/tidak - kalau ada tapi rusak bagaimana?)
Reply:
    Benefit tidak di rupiahkan semua</t>
      </text>
    </comment>
    <comment ref="D47" authorId="44" shapeId="0" xr:uid="{D09D0EA4-8876-4426-A92E-4CA5F6FAA687}">
      <text>
        <t>[Threaded comment]
Your version of Excel allows you to read this threaded comment; however, any edits to it will get removed if the file is opened in a newer version of Excel. Learn more: https://go.microsoft.com/fwlink/?linkid=870924
Comment:
    QB:
Need to recheck dafa after (time saving: 11,07 menit = 664 detik --&gt; 4x coaching &amp; avg 7 orang: per bulan 310 jam)
Reply:
    benefit calc to rp?
Reply:
    Data Before:
tidak jelas kenapa proses coaching ada 2 x di FPC
Benefit 
calculation ke IDR ga ada</t>
      </text>
    </comment>
    <comment ref="D50" authorId="45" shapeId="0" xr:uid="{58D7B1D0-DC75-498E-946D-5A361790EEA9}">
      <text>
        <t>[Threaded comment]
Your version of Excel allows you to read this threaded comment; however, any edits to it will get removed if the file is opened in a newer version of Excel. Learn more: https://go.microsoft.com/fwlink/?linkid=870924
Comment:
    Ranggi Maharani:
1. Barang tercampur bagaimana dipisahkannya?
2. Ini merupakan contoh menanggulangi kekurangan container namun tidak cocok untuk jangka panjang
Reply:
    Sangat beresiko packing tercampur dengan container lainnya
Reply:
    Waktu Proses Before dan After tidak dihitung</t>
      </text>
    </comment>
    <comment ref="D51" authorId="46" shapeId="0" xr:uid="{B0267B56-79EA-4C22-BCCE-A444200F669F}">
      <text>
        <t xml:space="preserve">[Threaded comment]
Your version of Excel allows you to read this threaded comment; however, any edits to it will get removed if the file is opened in a newer version of Excel. Learn more: https://go.microsoft.com/fwlink/?linkid=870924
Comment:
    1. ada perubahan proses tpi fpc ga ada, tidak tau apakah sudah mempertimbangkan perubahan proses paa benefit
Reply:
    Resiko apabila PIC inbound salah jumlah, maka qty yang di commit juga salah karena tidak ada pengecekan lebih lanjut
Reply:
    FPC tidak ada, 
</t>
      </text>
    </comment>
    <comment ref="D54" authorId="47" shapeId="0" xr:uid="{81A0C1A5-39AC-4D12-9D5C-C63696902BA6}">
      <text>
        <t xml:space="preserve">[Threaded comment]
Your version of Excel allows you to read this threaded comment; however, any edits to it will get removed if the file is opened in a newer version of Excel. Learn more: https://go.microsoft.com/fwlink/?linkid=870924
Comment:
    Apakah ada kebutuhan untuk tambah space? kalau tidak ada maka tidak berguna
</t>
      </text>
    </comment>
    <comment ref="D55" authorId="48" shapeId="0" xr:uid="{EED148FC-D2BD-4D88-B451-71E074DE5184}">
      <text>
        <t>[Threaded comment]
Your version of Excel allows you to read this threaded comment; however, any edits to it will get removed if the file is opened in a newer version of Excel. Learn more: https://go.microsoft.com/fwlink/?linkid=870924
Comment:
    apa ada efek terhadap finlost setelah improvement?</t>
      </text>
    </comment>
    <comment ref="D56" authorId="49" shapeId="0" xr:uid="{943F99B2-66CB-40FE-9D89-3F60FE84127F}">
      <text>
        <t>[Threaded comment]
Your version of Excel allows you to read this threaded comment; however, any edits to it will get removed if the file is opened in a newer version of Excel. Learn more: https://go.microsoft.com/fwlink/?linkid=870924
Comment:
    TA: Apakah faktor costing di WH Decentralize sudah di consider? seperti space, manusia dll
Reply:
    FPC tidak ada waktunya, padahal bisa save waktu untuk memproses barang
Reply:
    apa ada saving waktu transportation?</t>
      </text>
    </comment>
    <comment ref="D57" authorId="50" shapeId="0" xr:uid="{FE910FD4-C7F8-4952-A736-F49819094024}">
      <text>
        <t>[Threaded comment]
Your version of Excel allows you to read this threaded comment; however, any edits to it will get removed if the file is opened in a newer version of Excel. Learn more: https://go.microsoft.com/fwlink/?linkid=870924
Comment:
    Deskripsi problem tidak jelas
Analisa masalah kurang detail
Reply:
    Apakah ada dispute nanti apabila dibukakan akses TMS?
Reply:
    perhitungan benefit untuk first cust+champion order. screening awb to first cust apa terus akan dilakukan? jika tidak awb yang di screening hny untuk champion (lebih sedikit drpada perhitungan)</t>
      </text>
    </comment>
    <comment ref="D59" authorId="51" shapeId="0" xr:uid="{7932B504-65B9-4702-9D59-57737F628CD1}">
      <text>
        <t>[Threaded comment]
Your version of Excel allows you to read this threaded comment; however, any edits to it will get removed if the file is opened in a newer version of Excel. Learn more: https://go.microsoft.com/fwlink/?linkid=870924
Comment:
    Data Before : perubahan proses putaway tidak ada.</t>
      </text>
    </comment>
    <comment ref="D60" authorId="52" shapeId="0" xr:uid="{F8E58C53-6E78-4E96-81EC-21A01204A6A9}">
      <text>
        <t>[Threaded comment]
Your version of Excel allows you to read this threaded comment; however, any edits to it will get removed if the file is opened in a newer version of Excel. Learn more: https://go.microsoft.com/fwlink/?linkid=870924
Comment:
    QB: bagaimana menentukan berapa banyak kurir yg dibutuhkan sehari? bagaimana kalau kekurangan / kelebihan? apakah resiko nya secara angka sudah diperhitungkan?
Reply:
    Improvement berfokus pada penambahan kurir harian pada bisnis proses. kurang penjelasan pd risk/problem arise dengan penggunaan kurir harian.
Reply:
    Benefit:
perhitungan benefit tidak apple to apple, 
biaya jml kurir harian saat itu 64 kurir dibandingkan dengan 64 kurir reguler, padahal belum tentu setiap hari ada 64 kurir reguler selama 1 bulan
Analysis:
IMprovement dan root cause tidak detail, kenapa penentuan harga 6500
kenapa ditentukan 64 kurir</t>
      </text>
    </comment>
    <comment ref="H60" authorId="53" shapeId="0" xr:uid="{A1E4EC2C-1A72-45D9-97B9-2B3812A14314}">
      <text>
        <t>[Threaded comment]
Your version of Excel allows you to read this threaded comment; however, any edits to it will get removed if the file is opened in a newer version of Excel. Learn more: https://go.microsoft.com/fwlink/?linkid=870924
Comment:
    based on ppt</t>
      </text>
    </comment>
    <comment ref="D62" authorId="54" shapeId="0" xr:uid="{F88362AA-D188-4C3D-91AF-C0F1A3DAF80E}">
      <text>
        <t>[Threaded comment]
Your version of Excel allows you to read this threaded comment; however, any edits to it will get removed if the file is opened in a newer version of Excel. Learn more: https://go.microsoft.com/fwlink/?linkid=870924
Comment:
    perhitungan benefoit shifting berkurang 30 hari dari mana, pengali 60rb?
Reply:
    Data Before &amp; After kurang menjelaskan shifting dan penggunaan avaya untuk apa saja
Analisa dan Improvement kurang detail</t>
      </text>
    </comment>
    <comment ref="H62" authorId="55" shapeId="0" xr:uid="{AFF32A05-9F71-4496-97DC-D971EC15CD23}">
      <text>
        <t>[Threaded comment]
Your version of Excel allows you to read this threaded comment; however, any edits to it will get removed if the file is opened in a newer version of Excel. Learn more: https://go.microsoft.com/fwlink/?linkid=870924
Comment:
    based on ppt ops meeting</t>
      </text>
    </comment>
    <comment ref="D64" authorId="56" shapeId="0" xr:uid="{9500CEAD-63C9-4CCD-ABEF-20D0FE9436BE}">
      <text>
        <t xml:space="preserve">[Threaded comment]
Your version of Excel allows you to read this threaded comment; however, any edits to it will get removed if the file is opened in a newer version of Excel. Learn more: https://go.microsoft.com/fwlink/?linkid=870924
Comment:
    TA: sudah diperhitungkan resiko pengantaran oleh AntarAja? apakah ada kemungkinan fraud dari customer dengan AntarAja dan merchant karena kita sudah tidak ada touch pointnya di process ini?
</t>
      </text>
    </comment>
    <comment ref="D65" authorId="57" shapeId="0" xr:uid="{18AEC73E-9E51-4180-B38E-FCF5E7C9D6A6}">
      <text>
        <t>[Threaded comment]
Your version of Excel allows you to read this threaded comment; however, any edits to it will get removed if the file is opened in a newer version of Excel. Learn more: https://go.microsoft.com/fwlink/?linkid=870924
Comment:
    Saving tidak hanya dari kertas, tetapi dari waktu print, tinta
tetapi akan ada waktu tambahan untuk ganti2 kertas HVS dan kertas buram</t>
      </text>
    </comment>
    <comment ref="H70" authorId="58" shapeId="0" xr:uid="{AABB2C47-1E4C-4EC5-8B20-12AB1365F473}">
      <text>
        <t>[Threaded comment]
Your version of Excel allows you to read this threaded comment; however, any edits to it will get removed if the file is opened in a newer version of Excel. Learn more: https://go.microsoft.com/fwlink/?linkid=870924
Comment:
    Saving from presentation</t>
      </text>
    </comment>
    <comment ref="D71" authorId="59" shapeId="0" xr:uid="{0742EB19-D849-44F5-94E0-DF41227227A4}">
      <text>
        <t>[Threaded comment]
Your version of Excel allows you to read this threaded comment; however, any edits to it will get removed if the file is opened in a newer version of Excel. Learn more: https://go.microsoft.com/fwlink/?linkid=870924
Comment:
    TA: bagaimana memastikan bahwa semua agent sudah mendengar briefing? apa yang terjadi apabila mereka tidak mendengarkan briefing?
Reply:
    Durasi penyampaian briefing kok hilang di data after? apakah berarti materi briefing tidak didengarkan?
Benefit kurang lengkap seharusnya dihitung semua waktu proses yang dibutuhkan dari trainer dan agent.
waktu proses trainer berkurang krna tidak perlu briefing berkali2, waktu proses agent harusnya bertambah karena mengisi quiziz</t>
      </text>
    </comment>
    <comment ref="H71" authorId="60" shapeId="0" xr:uid="{03708B03-07AA-497E-90BE-B34FB913EBA6}">
      <text>
        <t>[Threaded comment]
Your version of Excel allows you to read this threaded comment; however, any edits to it will get removed if the file is opened in a newer version of Excel. Learn more: https://go.microsoft.com/fwlink/?linkid=870924
Comment:
    Saving berdasar presentasi</t>
      </text>
    </comment>
    <comment ref="D72" authorId="61" shapeId="0" xr:uid="{DE033179-F0ED-48FC-88D3-DFCD2C180D03}">
      <text>
        <t>[Threaded comment]
Your version of Excel allows you to read this threaded comment; however, any edits to it will get removed if the file is opened in a newer version of Excel. Learn more: https://go.microsoft.com/fwlink/?linkid=870924
Comment:
    FPC tidak ada, padahal itu oasti terdapat perubahan proses</t>
      </text>
    </comment>
    <comment ref="D73" authorId="62" shapeId="0" xr:uid="{66726C0D-2827-4F90-8179-670EAF177F46}">
      <text>
        <t>[Threaded comment]
Your version of Excel allows you to read this threaded comment; however, any edits to it will get removed if the file is opened in a newer version of Excel. Learn more: https://go.microsoft.com/fwlink/?linkid=870924
Comment:
    FPC tidak ada, padahal itu oasti terdapat perubahan proses</t>
      </text>
    </comment>
    <comment ref="D74" authorId="63" shapeId="0" xr:uid="{6BF368EE-5862-4790-8FC6-5111721B8642}">
      <text>
        <t>[Threaded comment]
Your version of Excel allows you to read this threaded comment; however, any edits to it will get removed if the file is opened in a newer version of Excel. Learn more: https://go.microsoft.com/fwlink/?linkid=870924
Comment:
    Aktual hanya dapat dilakukan di WH itu, belum approved juga untuk all warehouse membeli Beam</t>
      </text>
    </comment>
    <comment ref="D84" authorId="64" shapeId="0" xr:uid="{C6E490BE-B2CA-42B9-B41D-45AF4FF4F80B}">
      <text>
        <t>[Threaded comment]
Your version of Excel allows you to read this threaded comment; however, any edits to it will get removed if the file is opened in a newer version of Excel. Learn more: https://go.microsoft.com/fwlink/?linkid=870924
Comment:
    Benefit aneh, pemakaian kertas buat form checklist 100lembar per hari, bolpen dan stabilo 20 per bulan?
proses chart before after tidak jelas
Reply:
    FPC untuk proses tidak jelas, tapi penjelasan penggunaan tablet jelas. 
Bolpen dan stabilo 20 per bulan? karena habis atau tardiness hilang dkk?</t>
      </text>
    </comment>
    <comment ref="D85" authorId="65" shapeId="0" xr:uid="{70FB6F4D-1420-40C0-9C98-8486EA64E0CC}">
      <text>
        <t>[Threaded comment]
Your version of Excel allows you to read this threaded comment; however, any edits to it will get removed if the file is opened in a newer version of Excel. Learn more: https://go.microsoft.com/fwlink/?linkid=870924
Comment:
    berarti perlu ada proses updating guide untuk klasifikasi/atleast pengecekannya nanti</t>
      </text>
    </comment>
    <comment ref="D87" authorId="66" shapeId="0" xr:uid="{A562DCCD-0045-4F7A-9DFF-03E391EBCC88}">
      <text>
        <t>[Threaded comment]
Your version of Excel allows you to read this threaded comment; however, any edits to it will get removed if the file is opened in a newer version of Excel. Learn more: https://go.microsoft.com/fwlink/?linkid=870924
Comment:
    Jumlah order item tidak make sense,
waktu untuk identify proses pengecekan order yg butuh gimmick tidak di consider</t>
      </text>
    </comment>
    <comment ref="D88" authorId="67" shapeId="0" xr:uid="{78C31161-DB5B-4ED6-B0F1-697480D03377}">
      <text>
        <t>[Threaded comment]
Your version of Excel allows you to read this threaded comment; however, any edits to it will get removed if the file is opened in a newer version of Excel. Learn more: https://go.microsoft.com/fwlink/?linkid=870924
Comment:
    TA: Apakah mengganti tipe storage sudah disetujui manajemen? takutnya ada consideration yang sudah ditentukan sebelumnya sehingga menggunakan bin dan bukan sekat</t>
      </text>
    </comment>
    <comment ref="D89" authorId="68" shapeId="0" xr:uid="{B2845EEA-4DB3-49A5-A13D-DE19887220E0}">
      <text>
        <t>[Threaded comment]
Your version of Excel allows you to read this threaded comment; however, any edits to it will get removed if the file is opened in a newer version of Excel. Learn more: https://go.microsoft.com/fwlink/?linkid=870924
Comment:
    tidak ada keterangan apakah tinggi tumpukan memperhatikan ketentuan maksimum tumpukan dari manufaktur</t>
      </text>
    </comment>
    <comment ref="D90" authorId="69" shapeId="0" xr:uid="{C5B5142D-A73E-4028-8EB3-40215B025C72}">
      <text>
        <t>[Threaded comment]
Your version of Excel allows you to read this threaded comment; however, any edits to it will get removed if the file is opened in a newer version of Excel. Learn more: https://go.microsoft.com/fwlink/?linkid=870924
Comment:
    Proses driver untuk melakukan routing tidak diconsider</t>
      </text>
    </comment>
    <comment ref="D92" authorId="70" shapeId="0" xr:uid="{47A91E05-D2E1-42CE-9270-9D619DDD61A5}">
      <text>
        <t>[Threaded comment]
Your version of Excel allows you to read this threaded comment; however, any edits to it will get removed if the file is opened in a newer version of Excel. Learn more: https://go.microsoft.com/fwlink/?linkid=870924
Comment:
    Proses update di confluence kenapa bisa hilang</t>
      </text>
    </comment>
    <comment ref="D93" authorId="71" shapeId="0" xr:uid="{642A69B1-117E-46AF-AE06-62576ED061DF}">
      <text>
        <t>[Threaded comment]
Your version of Excel allows you to read this threaded comment; however, any edits to it will get removed if the file is opened in a newer version of Excel. Learn more: https://go.microsoft.com/fwlink/?linkid=870924
Comment:
    excel report tidak menjelaskan story improvement dengan jelas, analisa masalah kurang.
Reply:
    improvement yg dilakukan dengan TMS maksudnya bagaimana? screening apa yg dilakukan? tidak ada penjelasan.
FPC juga tidak ada perubahan</t>
      </text>
    </comment>
    <comment ref="H93" authorId="72" shapeId="0" xr:uid="{2821F2FD-169F-4AA7-ABA3-694EBD122884}">
      <text>
        <t>[Threaded comment]
Your version of Excel allows you to read this threaded comment; however, any edits to it will get removed if the file is opened in a newer version of Excel. Learn more: https://go.microsoft.com/fwlink/?linkid=870924
Comment:
    saving waktu visit + gimmick</t>
      </text>
    </comment>
    <comment ref="H94" authorId="73" shapeId="0" xr:uid="{427400B1-3507-4414-9F4E-72230D12BFBA}">
      <text>
        <t>[Threaded comment]
Your version of Excel allows you to read this threaded comment; however, any edits to it will get removed if the file is opened in a newer version of Excel. Learn more: https://go.microsoft.com/fwlink/?linkid=870924
Comment:
    saving waktu visit + gimmick</t>
      </text>
    </comment>
    <comment ref="D109" authorId="74" shapeId="0" xr:uid="{3C8CD787-3E08-433B-83D4-FD32C999FFEB}">
      <text>
        <t>[Threaded comment]
Your version of Excel allows you to read this threaded comment; however, any edits to it will get removed if the file is opened in a newer version of Excel. Learn more: https://go.microsoft.com/fwlink/?linkid=870924
Comment:
    kelebihan device dikasih ke WH mana, kalau ga ada yang butuh ya ga saving, kan itu equipment milik gdn, dipakai atau ga ya tetep sudah ada cost</t>
      </text>
    </comment>
    <comment ref="D110" authorId="75" shapeId="0" xr:uid="{EA66D7AB-F1E9-423E-8B56-7EF2F8ECC6F3}">
      <text>
        <t>[Threaded comment]
Your version of Excel allows you to read this threaded comment; however, any edits to it will get removed if the file is opened in a newer version of Excel. Learn more: https://go.microsoft.com/fwlink/?linkid=870924
Comment:
    flow proses tidak disebutkan dengan jelas</t>
      </text>
    </comment>
    <comment ref="D113" authorId="76" shapeId="0" xr:uid="{CB457950-8B76-41EA-A4DB-4E50A00F7687}">
      <text>
        <t>[Threaded comment]
Your version of Excel allows you to read this threaded comment; however, any edits to it will get removed if the file is opened in a newer version of Excel. Learn more: https://go.microsoft.com/fwlink/?linkid=870924
Comment:
    Afternya cm berubah dilakukan oleh TL kenapa waktu bisa berkurang?</t>
      </text>
    </comment>
    <comment ref="D124" authorId="77" shapeId="0" xr:uid="{2BD67A1C-720B-4FA3-9196-A11F97D45787}">
      <text>
        <t>[Threaded comment]
Your version of Excel allows you to read this threaded comment; however, any edits to it will get removed if the file is opened in a newer version of Excel. Learn more: https://go.microsoft.com/fwlink/?linkid=870924
Comment:
    Apakah ada jenis barang yg lebih risky jika terlihat jenis barang yang diantarkan karena plastik PE bening?
Dari segi branding? (ok ttp pakai lakban blibli)</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tc={0C9664FB-A081-435E-8C90-D89E23F25F5F}</author>
    <author>tc={981E37BC-A9CF-4631-AD69-2831AD199150}</author>
    <author>tc={CB012F96-899A-4A55-BF9D-60070662DA8B}</author>
    <author>tc={DA884F8F-8372-4ED4-8FA9-E971F5E10F07}</author>
    <author>tc={003C340B-9CB0-4ED6-BCDA-B7F120123C31}</author>
    <author>tc={035ADA38-5FEE-466E-823A-49056FFE8CD9}</author>
    <author>tc={3D5BDC2F-087B-4CB8-9645-0D999DC27D74}</author>
    <author>tc={98EA0DB5-F31C-4C31-810A-AF63BFE59635}</author>
  </authors>
  <commentList>
    <comment ref="K43" authorId="0" shapeId="0" xr:uid="{0C9664FB-A081-435E-8C90-D89E23F25F5F}">
      <text>
        <t>[Threaded comment]
Your version of Excel allows you to read this threaded comment; however, any edits to it will get removed if the file is opened in a newer version of Excel. Learn more: https://go.microsoft.com/fwlink/?linkid=870924
Comment:
    Nilai Jual di mematikan PC, jumlah banyak, dan bagus untuk PC karena direstart bisa mengurangi error</t>
      </text>
    </comment>
    <comment ref="K44" authorId="1" shapeId="0" xr:uid="{981E37BC-A9CF-4631-AD69-2831AD199150}">
      <text>
        <t>[Threaded comment]
Your version of Excel allows you to read this threaded comment; however, any edits to it will get removed if the file is opened in a newer version of Excel. Learn more: https://go.microsoft.com/fwlink/?linkid=870924
Comment:
    Ternyata bisa di Stockholm juga</t>
      </text>
    </comment>
    <comment ref="E47" authorId="2" shapeId="0" xr:uid="{CB012F96-899A-4A55-BF9D-60070662DA8B}">
      <text>
        <t>[Threaded comment]
Your version of Excel allows you to read this threaded comment; however, any edits to it will get removed if the file is opened in a newer version of Excel. Learn more: https://go.microsoft.com/fwlink/?linkid=870924
Comment:
    Baru pertama kali submit Kaizen</t>
      </text>
    </comment>
    <comment ref="K48" authorId="3" shapeId="0" xr:uid="{DA884F8F-8372-4ED4-8FA9-E971F5E10F07}">
      <text>
        <t>[Threaded comment]
Your version of Excel allows you to read this threaded comment; however, any edits to it will get removed if the file is opened in a newer version of Excel. Learn more: https://go.microsoft.com/fwlink/?linkid=870924
Comment:
    ini tidak ada saving karena percepat SLA saja, secara proses hanya pindah yang menjalankan macro k tim XOR</t>
      </text>
    </comment>
    <comment ref="K55" authorId="4" shapeId="0" xr:uid="{003C340B-9CB0-4ED6-BCDA-B7F120123C31}">
      <text>
        <t>[Threaded comment]
Your version of Excel allows you to read this threaded comment; however, any edits to it will get removed if the file is opened in a newer version of Excel. Learn more: https://go.microsoft.com/fwlink/?linkid=870924
Comment:
    Bagaiman untuk atasi keamanan data customer?</t>
      </text>
    </comment>
    <comment ref="V75" authorId="5" shapeId="0" xr:uid="{035ADA38-5FEE-466E-823A-49056FFE8CD9}">
      <text>
        <t>[Threaded comment]
Your version of Excel allows you to read this threaded comment; however, any edits to it will get removed if the file is opened in a newer version of Excel. Learn more: https://go.microsoft.com/fwlink/?linkid=870924
Comment:
    konfirm 510rb by yohanes</t>
      </text>
    </comment>
    <comment ref="Q84" authorId="6" shapeId="0" xr:uid="{3D5BDC2F-087B-4CB8-9645-0D999DC27D74}">
      <text>
        <t>[Threaded comment]
Your version of Excel allows you to read this threaded comment; however, any edits to it will get removed if the file is opened in a newer version of Excel. Learn more: https://go.microsoft.com/fwlink/?linkid=870924
Comment:
    konfirm pak iman</t>
      </text>
    </comment>
    <comment ref="Q99" authorId="7" shapeId="0" xr:uid="{98EA0DB5-F31C-4C31-810A-AF63BFE59635}">
      <text>
        <t>[Threaded comment]
Your version of Excel allows you to read this threaded comment; however, any edits to it will get removed if the file is opened in a newer version of Excel. Learn more: https://go.microsoft.com/fwlink/?linkid=870924
Comment:
    confirm by clarissa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Ranggi Maharani</author>
    <author>tc={B3F47120-DF37-490B-BECF-1DFA125307A0}</author>
    <author>tc={C692FFDB-C2F9-4E82-9F50-35CEF8AE02B1}</author>
  </authors>
  <commentList>
    <comment ref="AG6" authorId="0" shapeId="0" xr:uid="{99D0B73D-B470-4BC7-82E6-6F73E54929D0}">
      <text>
        <r>
          <rPr>
            <b/>
            <sz val="9"/>
            <color indexed="81"/>
            <rFont val="Tahoma"/>
            <family val="2"/>
          </rPr>
          <t>Ranggi Maharani:</t>
        </r>
        <r>
          <rPr>
            <sz val="9"/>
            <color indexed="81"/>
            <rFont val="Tahoma"/>
            <family val="2"/>
          </rPr>
          <t xml:space="preserve">
Excel online dimonitornya gmna? Cutoff nya gmna?
Pembgian ke agennya gmna?</t>
        </r>
      </text>
    </comment>
    <comment ref="AG7" authorId="0" shapeId="0" xr:uid="{B356AF5D-33C1-4CBB-B489-FA8BEDCE75C2}">
      <text>
        <r>
          <rPr>
            <b/>
            <sz val="9"/>
            <color indexed="81"/>
            <rFont val="Tahoma"/>
            <family val="2"/>
          </rPr>
          <t>Ranggi Maharani:</t>
        </r>
        <r>
          <rPr>
            <sz val="9"/>
            <color indexed="81"/>
            <rFont val="Tahoma"/>
            <family val="2"/>
          </rPr>
          <t xml:space="preserve">
Apakah ada follow up benar-benar dilakukan aktivasi ? Sebelom kelas?
</t>
        </r>
      </text>
    </comment>
    <comment ref="V8" authorId="1" shapeId="0" xr:uid="{B3F47120-DF37-490B-BECF-1DFA125307A0}">
      <text>
        <t xml:space="preserve">[Threaded comment]
Your version of Excel allows you to read this threaded comment; however, any edits to it will get removed if the file is opened in a newer version of Excel. Learn more: https://go.microsoft.com/fwlink/?linkid=870924
Comment:
    Ini juga terlihat salah itungannya
</t>
      </text>
    </comment>
    <comment ref="AF8" authorId="0" shapeId="0" xr:uid="{73B76D16-F41A-4319-8733-9783B7B6395F}">
      <text>
        <r>
          <rPr>
            <b/>
            <sz val="9"/>
            <color indexed="81"/>
            <rFont val="Tahoma"/>
            <family val="2"/>
          </rPr>
          <t>Ranggi Maharani:</t>
        </r>
        <r>
          <rPr>
            <sz val="9"/>
            <color indexed="81"/>
            <rFont val="Tahoma"/>
            <family val="2"/>
          </rPr>
          <t xml:space="preserve">
Data before tidak jelas 20.100 dapat darimana, di process chart jika ditotal kali 67 juga ga 20.100. cmn 8040</t>
        </r>
      </text>
    </comment>
    <comment ref="AG8" authorId="0" shapeId="0" xr:uid="{130153F6-D5C9-414D-92FA-505AEA51412E}">
      <text>
        <r>
          <rPr>
            <b/>
            <sz val="9"/>
            <color indexed="81"/>
            <rFont val="Tahoma"/>
            <family val="2"/>
          </rPr>
          <t>Ranggi Maharani:</t>
        </r>
        <r>
          <rPr>
            <sz val="9"/>
            <color indexed="81"/>
            <rFont val="Tahoma"/>
            <family val="2"/>
          </rPr>
          <t xml:space="preserve">
</t>
        </r>
      </text>
    </comment>
    <comment ref="AG9" authorId="0" shapeId="0" xr:uid="{FA66A90E-5FE3-49D4-8D61-6D0ED76A201A}">
      <text>
        <r>
          <rPr>
            <b/>
            <sz val="9"/>
            <color indexed="81"/>
            <rFont val="Tahoma"/>
            <family val="2"/>
          </rPr>
          <t>Ranggi Maharani:
Bagaimana kubikasi ditentukan? Apakah ada efek ke pengiriman? Siang hari jam berapa? Belum jelas bagaimana membantu</t>
        </r>
      </text>
    </comment>
    <comment ref="V12" authorId="2" shapeId="0" xr:uid="{C692FFDB-C2F9-4E82-9F50-35CEF8AE02B1}">
      <text>
        <t>[Threaded comment]
Your version of Excel allows you to read this threaded comment; however, any edits to it will get removed if the file is opened in a newer version of Excel. Learn more: https://go.microsoft.com/fwlink/?linkid=870924
Comment:
    Cara saving ga gini itungannya</t>
      </text>
    </comment>
    <comment ref="AF15" authorId="0" shapeId="0" xr:uid="{DF785FCF-1AF8-465A-95A9-E30BA9DD9776}">
      <text>
        <r>
          <rPr>
            <b/>
            <sz val="9"/>
            <color indexed="81"/>
            <rFont val="Tahoma"/>
            <family val="2"/>
          </rPr>
          <t>Ranggi Maharani:</t>
        </r>
        <r>
          <rPr>
            <sz val="9"/>
            <color indexed="81"/>
            <rFont val="Tahoma"/>
            <family val="2"/>
          </rPr>
          <t xml:space="preserve">
Nilai tidak full karena ga ada dokumen di submit</t>
        </r>
      </text>
    </comment>
    <comment ref="AF16" authorId="0" shapeId="0" xr:uid="{7D429B86-B6B0-4F11-B854-EDD40C4DC9A7}">
      <text>
        <r>
          <rPr>
            <b/>
            <sz val="9"/>
            <color indexed="81"/>
            <rFont val="Tahoma"/>
            <family val="2"/>
          </rPr>
          <t>Ranggi Maharani:</t>
        </r>
        <r>
          <rPr>
            <sz val="9"/>
            <color indexed="81"/>
            <rFont val="Tahoma"/>
            <family val="2"/>
          </rPr>
          <t xml:space="preserve">
bisa lebih lengkap lagi, dari data beforenya, ke jumlah kurir vs pakai mobil?</t>
        </r>
      </text>
    </comment>
    <comment ref="AG16" authorId="0" shapeId="0" xr:uid="{26E1F85F-81B7-449F-84BA-7A85CDEC4B6A}">
      <text>
        <r>
          <rPr>
            <b/>
            <sz val="9"/>
            <color indexed="81"/>
            <rFont val="Tahoma"/>
            <family val="2"/>
          </rPr>
          <t>Ranggi Maharani:</t>
        </r>
        <r>
          <rPr>
            <sz val="9"/>
            <color indexed="81"/>
            <rFont val="Tahoma"/>
            <family val="2"/>
          </rPr>
          <t xml:space="preserve">
Ranggi Maharani:
bisa lebih lengkap lagi, dari data beforenya, ke jumlah kurir vs pakai mobil?</t>
        </r>
      </text>
    </comment>
    <comment ref="AG41" authorId="0" shapeId="0" xr:uid="{24B50F73-0A83-4E18-9010-549394F71DE3}">
      <text>
        <r>
          <rPr>
            <b/>
            <sz val="9"/>
            <color indexed="81"/>
            <rFont val="Tahoma"/>
            <family val="2"/>
          </rPr>
          <t>Ranggi Maharani:</t>
        </r>
        <r>
          <rPr>
            <sz val="9"/>
            <color indexed="81"/>
            <rFont val="Tahoma"/>
            <family val="2"/>
          </rPr>
          <t xml:space="preserve">
apakah bsa format jaspernya yg diubah saja jdi tidak perlu makro? Penagihan</t>
        </r>
      </text>
    </comment>
    <comment ref="AF42" authorId="0" shapeId="0" xr:uid="{71707B3F-80FD-44C7-BE93-E4A278F66574}">
      <text>
        <r>
          <rPr>
            <b/>
            <sz val="9"/>
            <color indexed="81"/>
            <rFont val="Tahoma"/>
            <family val="2"/>
          </rPr>
          <t>Ranggi Maharani:</t>
        </r>
        <r>
          <rPr>
            <sz val="9"/>
            <color indexed="81"/>
            <rFont val="Tahoma"/>
            <family val="2"/>
          </rPr>
          <t xml:space="preserve">
Data kurang jelas prosesnya</t>
        </r>
      </text>
    </comment>
    <comment ref="AG43" authorId="0" shapeId="0" xr:uid="{B5A20411-F4A2-4460-8592-41B424EB4A46}">
      <text>
        <r>
          <rPr>
            <b/>
            <sz val="9"/>
            <color indexed="81"/>
            <rFont val="Tahoma"/>
            <family val="2"/>
          </rPr>
          <t>Ranggi Maharani:</t>
        </r>
        <r>
          <rPr>
            <sz val="9"/>
            <color indexed="81"/>
            <rFont val="Tahoma"/>
            <family val="2"/>
          </rPr>
          <t xml:space="preserve">
Lakbannya tidak semuanya jdi benefit , karena masih pakai lakban. Kurang jelas perhitungannya dari mana</t>
        </r>
      </text>
    </comment>
    <comment ref="AG45" authorId="0" shapeId="0" xr:uid="{08FC2C58-2685-4BBD-9948-7241727A05E8}">
      <text>
        <r>
          <rPr>
            <b/>
            <sz val="9"/>
            <color indexed="81"/>
            <rFont val="Tahoma"/>
            <family val="2"/>
          </rPr>
          <t>Ranggi Maharani:</t>
        </r>
        <r>
          <rPr>
            <sz val="9"/>
            <color indexed="81"/>
            <rFont val="Tahoma"/>
            <family val="2"/>
          </rPr>
          <t xml:space="preserve">
Angka 3000 dan 7000 kurang jelas darimana mananya. Apakah exclude cost sms? Karena klo cost sms dari pribadi sebaiknya ga masuk sini</t>
        </r>
      </text>
    </comment>
    <comment ref="AH45" authorId="0" shapeId="0" xr:uid="{A71DFBEC-E0DF-49BA-8390-6794C61D0F47}">
      <text>
        <r>
          <rPr>
            <b/>
            <sz val="9"/>
            <color indexed="81"/>
            <rFont val="Tahoma"/>
            <family val="2"/>
          </rPr>
          <t>Ranggi Maharani:</t>
        </r>
        <r>
          <rPr>
            <sz val="9"/>
            <color indexed="81"/>
            <rFont val="Tahoma"/>
            <family val="2"/>
          </rPr>
          <t xml:space="preserve">
Bisa dipakai untuk tim warehouse, tim BES yg butuh recruitment new hirer juga</t>
        </r>
      </text>
    </comment>
    <comment ref="AG49" authorId="0" shapeId="0" xr:uid="{AB9EAD71-7E1C-4D40-BA01-8B6EDEAEBE8D}">
      <text>
        <r>
          <rPr>
            <b/>
            <sz val="9"/>
            <color indexed="81"/>
            <rFont val="Tahoma"/>
            <family val="2"/>
          </rPr>
          <t>Ranggi Maharani:</t>
        </r>
        <r>
          <rPr>
            <sz val="9"/>
            <color indexed="81"/>
            <rFont val="Tahoma"/>
            <family val="2"/>
          </rPr>
          <t xml:space="preserve">
Ini sebenarnya kurang digambarkan tapi ini berarti secara tidak langsung adalah zonasi berdasarkan class order (mungkin mapan memang yang ramai)</t>
        </r>
      </text>
    </comment>
    <comment ref="AG50" authorId="0" shapeId="0" xr:uid="{042053E9-BBC2-4E6E-B8E3-391E3203EBE6}">
      <text>
        <r>
          <rPr>
            <b/>
            <sz val="9"/>
            <color indexed="81"/>
            <rFont val="Tahoma"/>
            <family val="2"/>
          </rPr>
          <t>Ranggi Maharani:</t>
        </r>
        <r>
          <rPr>
            <sz val="9"/>
            <color indexed="81"/>
            <rFont val="Tahoma"/>
            <family val="2"/>
          </rPr>
          <t xml:space="preserve">
Perhitungan benefit, barang dipindahkan jadi 1 zona, tidak serta merta bsa menjadi benefit imo karena transportasi yang dimaksud bergantung pada picklist.</t>
        </r>
      </text>
    </comment>
    <comment ref="AG51" authorId="0" shapeId="0" xr:uid="{5406452E-816D-4597-972E-7E7F60DB2EAE}">
      <text>
        <r>
          <rPr>
            <b/>
            <sz val="9"/>
            <color indexed="81"/>
            <rFont val="Tahoma"/>
            <family val="2"/>
          </rPr>
          <t>Ranggi Maharani:</t>
        </r>
        <r>
          <rPr>
            <sz val="9"/>
            <color indexed="81"/>
            <rFont val="Tahoma"/>
            <family val="2"/>
          </rPr>
          <t xml:space="preserve">
Sebelum initiated benarkah tidak bsa liat? Apa ada cara lain?</t>
        </r>
      </text>
    </comment>
    <comment ref="AF52" authorId="0" shapeId="0" xr:uid="{AE5D79DE-BC5B-42E8-9664-5F791FD3D74F}">
      <text>
        <r>
          <rPr>
            <b/>
            <sz val="9"/>
            <color indexed="81"/>
            <rFont val="Tahoma"/>
            <family val="2"/>
          </rPr>
          <t>Ranggi Maharani:</t>
        </r>
        <r>
          <rPr>
            <sz val="9"/>
            <color indexed="81"/>
            <rFont val="Tahoma"/>
            <family val="2"/>
          </rPr>
          <t xml:space="preserve">
Not implemented yet can't be in kaizen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Ranggi Maharani</author>
    <author>tc={FFD2D536-DAF6-4DE3-A9A1-9C3057ADB169}</author>
    <author>tc={5756B96A-0984-47C0-B329-188E70314154}</author>
    <author>tc={77AF4173-C6F3-40B5-8A7F-A3DD28445943}</author>
    <author>tc={0EF6A168-0124-4EA2-95B2-EDAADBFBD6A4}</author>
    <author>tc={BB8CA160-3172-4BD6-8DAB-15F984B62B44}</author>
    <author>tc={0CA1D60C-6D6A-4BC2-8DC7-1FE62C012F10}</author>
    <author>tc={1047B21A-E82D-4E8E-B50E-F502C7B0887A}</author>
    <author>tc={081A5D02-BF40-4ADD-8BFF-2CE65FA78C3F}</author>
    <author>tc={C12A9CD3-42DC-486F-B6FB-9D2157654012}</author>
    <author>tc={8FF57676-2FA0-4E6F-A2CF-A17950AAD38A}</author>
    <author>tc={FD0AAD15-23DD-4071-A4C8-56AF4715D1EB}</author>
  </authors>
  <commentList>
    <comment ref="AN6" authorId="0" shapeId="0" xr:uid="{AE6F3234-68A7-4E03-92EB-483EF1949C74}">
      <text>
        <r>
          <rPr>
            <b/>
            <sz val="9"/>
            <color indexed="81"/>
            <rFont val="Tahoma"/>
            <family val="2"/>
          </rPr>
          <t>Ranggi Maharani:</t>
        </r>
        <r>
          <rPr>
            <sz val="9"/>
            <color indexed="81"/>
            <rFont val="Tahoma"/>
            <family val="2"/>
          </rPr>
          <t xml:space="preserve">
Ini mirip dengan kaizen yg dlu</t>
        </r>
      </text>
    </comment>
    <comment ref="AO39" authorId="1" shapeId="0" xr:uid="{FFD2D536-DAF6-4DE3-A9A1-9C3057ADB169}">
      <text>
        <t>[Threaded comment]
Your version of Excel allows you to read this threaded comment; however, any edits to it will get removed if the file is opened in a newer version of Excel. Learn more: https://go.microsoft.com/fwlink/?linkid=870924
Comment:
    Ini apakah sudah ok secara financial?</t>
      </text>
    </comment>
    <comment ref="AO42" authorId="0" shapeId="0" xr:uid="{535198DA-F7EE-4A1A-A854-0444A6D7BE2E}">
      <text>
        <r>
          <rPr>
            <b/>
            <sz val="9"/>
            <color indexed="81"/>
            <rFont val="Tahoma"/>
            <family val="2"/>
          </rPr>
          <t>Ranggi Maharani:</t>
        </r>
        <r>
          <rPr>
            <sz val="9"/>
            <color indexed="81"/>
            <rFont val="Tahoma"/>
            <family val="2"/>
          </rPr>
          <t xml:space="preserve">
Apakah traning ada impact yg bagus atau buruk atau bsa menjaga efek yg sama dengan before?</t>
        </r>
      </text>
    </comment>
    <comment ref="V45" authorId="2" shapeId="0" xr:uid="{5756B96A-0984-47C0-B329-188E70314154}">
      <text>
        <t>[Threaded comment]
Your version of Excel allows you to read this threaded comment; however, any edits to it will get removed if the file is opened in a newer version of Excel. Learn more: https://go.microsoft.com/fwlink/?linkid=870924
Comment:
    Transisi A5 jadi A6</t>
      </text>
    </comment>
    <comment ref="AO49" authorId="0" shapeId="0" xr:uid="{809ACE74-046F-4BDF-9F58-178C4827F92C}">
      <text>
        <r>
          <rPr>
            <b/>
            <sz val="9"/>
            <color indexed="81"/>
            <rFont val="Tahoma"/>
            <family val="2"/>
          </rPr>
          <t>Ranggi Maharani:</t>
        </r>
        <r>
          <rPr>
            <sz val="9"/>
            <color indexed="81"/>
            <rFont val="Tahoma"/>
            <family val="2"/>
          </rPr>
          <t xml:space="preserve">
Penjelasan yang dihilangkan grup asignee nya tidak jelas apa saja dan apakah memang bsa langsung digabung</t>
        </r>
      </text>
    </comment>
    <comment ref="AN51" authorId="3" shapeId="0" xr:uid="{77AF4173-C6F3-40B5-8A7F-A3DD28445943}">
      <text>
        <t>[Threaded comment]
Your version of Excel allows you to read this threaded comment; however, any edits to it will get removed if the file is opened in a newer version of Excel. Learn more: https://go.microsoft.com/fwlink/?linkid=870924
Comment:
    Ini GDSnya sama? Pada periode 8 jga ada dari tim return buat GDS untuk lokasi produk</t>
      </text>
    </comment>
    <comment ref="AO57" authorId="0" shapeId="0" xr:uid="{A6EFD784-AAE5-49D3-B210-60003101277B}">
      <text>
        <r>
          <rPr>
            <b/>
            <sz val="9"/>
            <color indexed="81"/>
            <rFont val="Tahoma"/>
            <family val="2"/>
          </rPr>
          <t>Ranggi Maharani:</t>
        </r>
        <r>
          <rPr>
            <sz val="9"/>
            <color indexed="81"/>
            <rFont val="Tahoma"/>
            <family val="2"/>
          </rPr>
          <t xml:space="preserve">
gmn monitor dikerjakannya?</t>
        </r>
      </text>
    </comment>
    <comment ref="V58" authorId="4" shapeId="0" xr:uid="{0EF6A168-0124-4EA2-95B2-EDAADBFBD6A4}">
      <text>
        <t>[Threaded comment]
Your version of Excel allows you to read this threaded comment; however, any edits to it will get removed if the file is opened in a newer version of Excel. Learn more: https://go.microsoft.com/fwlink/?linkid=870924
Comment:
    Transisi a5 jadi a6</t>
      </text>
    </comment>
    <comment ref="AO58" authorId="5" shapeId="0" xr:uid="{BB8CA160-3172-4BD6-8DAB-15F984B62B44}">
      <text>
        <t>[Threaded comment]
Your version of Excel allows you to read this threaded comment; however, any edits to it will get removed if the file is opened in a newer version of Excel. Learn more: https://go.microsoft.com/fwlink/?linkid=870924
Comment:
    Susah ga identifikasi saat GR di WH Tujuan?</t>
      </text>
    </comment>
    <comment ref="AO65" authorId="6" shapeId="0" xr:uid="{0CA1D60C-6D6A-4BC2-8DC7-1FE62C012F10}">
      <text>
        <t>[Threaded comment]
Your version of Excel allows you to read this threaded comment; however, any edits to it will get removed if the file is opened in a newer version of Excel. Learn more: https://go.microsoft.com/fwlink/?linkid=870924
Comment:
    Tidak ada waktu yang jelas dari prosesnya di flow chart dan trollyenya bagaimana</t>
      </text>
    </comment>
    <comment ref="AQ70" authorId="7" shapeId="0" xr:uid="{1047B21A-E82D-4E8E-B50E-F502C7B0887A}">
      <text>
        <t>[Threaded comment]
Your version of Excel allows you to read this threaded comment; however, any edits to it will get removed if the file is opened in a newer version of Excel. Learn more: https://go.microsoft.com/fwlink/?linkid=870924
Comment:
    Pakai bolivia? Apakah ini improvement system? Timelinenya apakah cocok?</t>
      </text>
    </comment>
    <comment ref="AO79" authorId="8" shapeId="0" xr:uid="{081A5D02-BF40-4ADD-8BFF-2CE65FA78C3F}">
      <text>
        <t xml:space="preserve">[Threaded comment]
Your version of Excel allows you to read this threaded comment; however, any edits to it will get removed if the file is opened in a newer version of Excel. Learn more: https://go.microsoft.com/fwlink/?linkid=870924
Comment:
    Bagaimana requester tau rak tidak dijelaskan apakah mudah atau tidak? Apakah ada kemungkinan perubahan dari rak saat request dan saat perintah ke wh? </t>
      </text>
    </comment>
    <comment ref="AO83" authorId="9" shapeId="0" xr:uid="{C12A9CD3-42DC-486F-B6FB-9D2157654012}">
      <text>
        <t>[Threaded comment]
Your version of Excel allows you to read this threaded comment; however, any edits to it will get removed if the file is opened in a newer version of Excel. Learn more: https://go.microsoft.com/fwlink/?linkid=870924
Comment:
    CS harus buka excel jika butuh</t>
      </text>
    </comment>
    <comment ref="Q106" authorId="10" shapeId="0" xr:uid="{8FF57676-2FA0-4E6F-A2CF-A17950AAD38A}">
      <text>
        <t>[Threaded comment]
Your version of Excel allows you to read this threaded comment; however, any edits to it will get removed if the file is opened in a newer version of Excel. Learn more: https://go.microsoft.com/fwlink/?linkid=870924
Comment:
    Paper belum include</t>
      </text>
    </comment>
    <comment ref="AN112" authorId="11" shapeId="0" xr:uid="{FD0AAD15-23DD-4071-A4C8-56AF4715D1EB}">
      <text>
        <t>[Threaded comment]
Your version of Excel allows you to read this threaded comment; however, any edits to it will get removed if the file is opened in a newer version of Excel. Learn more: https://go.microsoft.com/fwlink/?linkid=870924
Comment:
    Membuat box dilakukan jika MPP tersedia</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<sst xmlns="http://schemas.openxmlformats.org/spreadsheetml/2006/main" count="8520" uniqueCount="5499">
  <si>
    <t>Unit</t>
  </si>
  <si>
    <t>Team</t>
  </si>
  <si>
    <t>Tema</t>
  </si>
  <si>
    <t>PLAN</t>
  </si>
  <si>
    <t>DO</t>
  </si>
  <si>
    <t>CHECK</t>
  </si>
  <si>
    <t>ACT</t>
  </si>
  <si>
    <t>Member</t>
  </si>
  <si>
    <t>Kaizen</t>
  </si>
  <si>
    <t>Problem</t>
  </si>
  <si>
    <t>Data</t>
  </si>
  <si>
    <t>Goal</t>
  </si>
  <si>
    <t>Analisa</t>
  </si>
  <si>
    <t>Improvement</t>
  </si>
  <si>
    <t>Periode</t>
  </si>
  <si>
    <t>Statement</t>
  </si>
  <si>
    <t>Before</t>
  </si>
  <si>
    <t>Sebab</t>
  </si>
  <si>
    <t>After</t>
  </si>
  <si>
    <t>Benefit</t>
  </si>
  <si>
    <t>CS-Cust Care</t>
  </si>
  <si>
    <t>Lottar Matheus, Unknown User (kamal.adhiwira), Erich Evander Da Costa Budi Arianto, Irwan Istiyawan</t>
  </si>
  <si>
    <t>Peningkatan Produktivitas agent email</t>
  </si>
  <si>
    <t>Produktivitas agent email kurang maksimal</t>
  </si>
  <si>
    <t>Reply email rata-rata 50-70/hari</t>
  </si>
  <si>
    <t>SLA &lt; 4 jam</t>
  </si>
  <si>
    <t>Kurang meratanya skill agent baik knowledge maupun teknikal</t>
  </si>
  <si>
    <t>Sosialiasi keseluruh agent untuk pencarian dengan fulltext</t>
  </si>
  <si>
    <t>Reply email Inquiry (OOS) hanya membutuhkan waktu 65 detik, sebelumnya dalam reply email kategori Inquiry membutuhkan wkatu 360 detik</t>
  </si>
  <si>
    <t>Sosialisasi Kaizen email (penggunaan short cut key, penggunaan template) untuk semua agent</t>
  </si>
  <si>
    <t>1 email membutuh waktu 4-11 menit</t>
  </si>
  <si>
    <t>agent email lebih produktif dengan target 80 email/day</t>
  </si>
  <si>
    <t>adanya kesalahan pemilihan queue</t>
  </si>
  <si>
    <t>Sosialisasi agent Chemail penggunaan klik kanan new tab dengan cara klik tengah  </t>
  </si>
  <si>
    <t>SLA &gt; 4 jam</t>
  </si>
  <si>
    <t>Agent email lebih fokus dalam reply email</t>
  </si>
  <si>
    <t>Reply email tidak terstrukstur</t>
  </si>
  <si>
    <t>Sosialisai cara Ambil owner dengan cara pilih empty answer bukan pilih queue</t>
  </si>
  <si>
    <t>Kendala system OTRS lambat</t>
  </si>
  <si>
    <t>Sosialisasi penggunaan shortcut key</t>
  </si>
  <si>
    <t>Penempatan agent khusus untuk reply email (new tickets agent/esclated email agent/blast email agent)</t>
  </si>
  <si>
    <t>Tidak adanya pengukuran produktivitas agent</t>
  </si>
  <si>
    <t>Cantya Ma'Mun, Hafiz Faturrahman, Yoserizal Yoserizal, Eka Sriningsih, Lita Adhitia, Mei Fitria Handayani</t>
  </si>
  <si>
    <t>Reduce paper</t>
  </si>
  <si>
    <t>Penggunaan form kertas yang terlalu banyak</t>
  </si>
  <si>
    <t>Penggunaan kertas minimal 12 lembar (ukuran A4) per hari, total 264 lembar kertas per bulan (estimasi 22 hari kerja)</t>
  </si>
  <si>
    <t>Mengurangi penggunaan kertas hingga 100% jumlah awal</t>
  </si>
  <si>
    <t>Penggunaan form kertas digunakan karena penilaian dilakukan dengan sistem side by side, reviewer akan langsung memberikan penilaian pada saat tandem dilakukan di floor.</t>
  </si>
  <si>
    <t>Form kertas ditiadakan dan membuat form penilaian dan komentar langsung di form excel.</t>
  </si>
  <si>
    <t>penggunaan form kertas 0 lembar/hari</t>
  </si>
  <si>
    <t>Sosialisasi pengisian nilai dan komentar kepada seluruh reviewer</t>
  </si>
  <si>
    <t>Nilai, komentar, finding dan saran improvement yang sudah ditulis oleh reviewer akan di share by email ke tim CS (Manager, supervisor, TL dan tim SQM), proses ini mengharuskan PIC untuk mengulang pengetikan</t>
  </si>
  <si>
    <t>Training cara pengisian dan SOP penulisan di excel</t>
  </si>
  <si>
    <t>Repetition process yang membutuhkan waktu karena hasil dari form kertas harus di input ulang ke excel sebelum di submit ke operasional CS</t>
  </si>
  <si>
    <t>Sosialisasi kepada TL dan supervisor CS mengenai proses penilaian di excel</t>
  </si>
  <si>
    <t>PIC melakukan compile data dan mengetik ulang komentar dan nilai yang sudah ditulis di form kertas dengan waktu rata-rata 1 jam</t>
  </si>
  <si>
    <t>Compile data di excel bisa langsung dipindahkan oleh PIC dengan sistem copy and paste dalam waktu 15 menit</t>
  </si>
  <si>
    <t>Compile data dilakukan dengan sistem copy data dari form excel yang sudah diisi oleh reviewer</t>
  </si>
  <si>
    <t>Proses compile data (tanpa pengetikan ulang) berlangsung selama 30 menit</t>
  </si>
  <si>
    <t>CS-CXA</t>
  </si>
  <si>
    <t>Gusti Intan, Unknown User (livia.karwita), Unknown User (santiasih) &amp; Vina Vibrianti Kusuma</t>
  </si>
  <si>
    <t>Efektifitas Pembuatan Report Payment</t>
  </si>
  <si>
    <t>Pembuatan report yang cukup memakan waktu karena harus dicek case per case dan kurang efektif dalam penyampaiannya ke user (data update yang diberikan sebenarnya sudah user cek langsung di JIRA)</t>
  </si>
  <si>
    <t>Total waktu pembuatan report 1 jam 7 menit (dengan total 27 case) dan hasil report berupa update per case dan summary chart terkait progress complaint</t>
  </si>
  <si>
    <t>Waktu pembuatan berkurang 25%, dari yang awalnya bersifat report operasional (case by case) menjadi lebih high level.</t>
  </si>
  <si>
    <t>PIC harus mengecek case customer satu per satu dan melengkapinya dengan data payment method yang harus di cek dan copy paste dari tab Pembayaran di IDV</t>
  </si>
  <si>
    <t>1. Memperbaiki format report menjadi lebih strategis dan memberikan gambaran perbandingannya dengan periode sebelum serta YTD agar bisa terlihat pergerakan dan trennya</t>
  </si>
  <si>
    <t>Waktu pengerjaan untuk 27 case menjadi = 38.3 menit (lebih efektif 57%) dibanding metode sebelumnya.</t>
  </si>
  <si>
    <t>Merubah formating report menjadi yang baru</t>
  </si>
  <si>
    <t>2. Menggunakan geneva untuk penarikan data YTD</t>
  </si>
  <si>
    <t>Membuat template format report yang baru agar bisa langsung digunakan setiap pembuatan reportnya</t>
  </si>
  <si>
    <t>3. Mengeliminasi update status akhir yang dilakukan secara manual</t>
  </si>
  <si>
    <t>Menginformasikan tim terkait mengenai perubahannya</t>
  </si>
  <si>
    <t>4. Menggabungkan report terlebih dahulu agar tidak melakukan 2x formating</t>
  </si>
  <si>
    <t>Menambahkan informasi pada body email terkait dengan progress komplain pada periode YTD dan WTD</t>
  </si>
  <si>
    <t>5. Save list FIRC agar tidak perlu mendownload ulang</t>
  </si>
  <si>
    <t>Dokumentasi SOP</t>
  </si>
  <si>
    <t>6. Ke WC sebelum mengerjakan report agar konsentrasi tidak terpecah di tengah pengerjaan</t>
  </si>
  <si>
    <t>OPM-Promo</t>
  </si>
  <si>
    <t>Unknown User (wulan.utami) Lois Amilia Santoso Unknown User (intan.p.hartono) Charles Charles</t>
  </si>
  <si>
    <t>Dokumentasi Promo</t>
  </si>
  <si>
    <t>Diperlukan waktu yang lama untuk mencari result dan issue2 terkait yang terjadi selama suatu promo besar berlangsung.</t>
  </si>
  <si>
    <t>Untuk menjawab issue yang muncul dalam suatu promo atau melakukan evaluasi, diperlukan beberapa langkah :</t>
  </si>
  <si>
    <t>Mempercepat Waktu untuk mencari result dan issue terkait yang terjadi selama suatu promo besar berlangsung di Blibli.com</t>
  </si>
  <si>
    <t>Setiap promo memiliki folder sendiri berupa seluruh dokumen yang berhubungan dengan promo itu sehingga kita harus mencari terlebih dahulu</t>
  </si>
  <si>
    <t>Membuat Database yang bertujuan untuk :</t>
  </si>
  <si>
    <t>Untuk menjawab issue yang muncul dalam suatu promo atau melakukan evaluasi, yang perlu dilakukan hanya membuka satu file.</t>
  </si>
  <si>
    <t>pembuatan sharing folder khusus dokumentas promo sehingga Tim ops yang terkait dapat meangakses seluruh informasi</t>
  </si>
  <si>
    <t>membuka folder promo terkait, mencari rekapan (result) untuk promo itu, membuka email atau mencari case di JIRA yang terkait promo tersebut</t>
  </si>
  <si>
    <t>JIka ada case yang muncul setelah promo, diperlukan waktu untuk mengumpulkan informasi dengan membuka email dan JIra.</t>
  </si>
  <si>
    <t>pembuatan database prmo besar sebagai data pendukung ketika ada issue yang muncul dan dapat digunakan untuk tambahan informasi dalam mengevaluasi suatu promo.</t>
  </si>
  <si>
    <t>Supporting data OPM maupun team OPS lain yang bisa digunakan sebagai evaluasi kesuksesan suatu Program</t>
  </si>
  <si>
    <t>Mempermudah koordinasi agar setiap orang bisa dengan mudah mengakses data sewaktu-waktu diperlukan</t>
  </si>
  <si>
    <t>Merangkum result dr promo-promo besar yang di jalankan di Blibli.com.</t>
  </si>
  <si>
    <t>RM</t>
  </si>
  <si>
    <t>Thomas Jumanjaya, Vilia Sylvia, Dwina M. Christy</t>
  </si>
  <si>
    <t>Improve Pembuatan List Priority Customer</t>
  </si>
  <si>
    <t>Pengisian database priority customer saat ini lama dan kurang akurat.</t>
  </si>
  <si>
    <t>Total waktu input database priority customer 40 menit per minggu (dengan total 3 customer profile dari Trusted Company, 7 dari Facebook dan 10 dari Twitter). Sehingga rata-rata setiap profile memerlukan 2 menit.</t>
  </si>
  <si>
    <t>1) Meningkatkan efektifitas (keakuratan customer profile) dan efisiensi (waktu) dalam penginputan data.</t>
  </si>
  <si>
    <t>1) Karena harus search customer profile 1 per 1 di IDV dan menginputnya juga 1 per 1.</t>
  </si>
  <si>
    <t>Menggunakan JIRA untuk penarikan data complaint customer, dimana setiap complaint masuk, akan di create JIRA dan di follow up oleh tim Customer Care. Sehingga tim RM cukup menarik data complaint customer via JIRA, tanpa perlu membaca setiap complaint.</t>
  </si>
  <si>
    <t>Total waktu input database priority customer menjadi 20 menit per minggu (dengan total 3 customer profile dari Trusted Company, 7 dari Facebook dan 10 dari Twitter). Sehingga rata-rata setiap profile memerlukan waktu 1 menit.</t>
  </si>
  <si>
    <t>Pembuatan instruksi kerja untuk input database (SOP).</t>
  </si>
  <si>
    <t>2) Waktu pembuatan berkurang 30% dari saat ini.</t>
  </si>
  <si>
    <t>2) Tidak tercantumnya Order ID dan customer email menyebabkan kesulitan dalam mendapatkan customer profile. (source: Trusted Company).</t>
  </si>
  <si>
    <t>SCM-CR</t>
  </si>
  <si>
    <t>Steven, Yuli Astutik,Ari Kurniawan, Uning Tiani</t>
  </si>
  <si>
    <t>Mempermudah memisahkan berkas-berkas</t>
  </si>
  <si>
    <t>1. Adanya kendala dalam menyimpan berkas-berkas penjadwalan dan bukti serah terima dari beberapa logistik yang berbeda</t>
  </si>
  <si>
    <t>1. Kendala Penyimpanan:</t>
  </si>
  <si>
    <t>Membuat tempat penyimpanan berkas yang terstruktur untuk mengurangi resiko kehilangan</t>
  </si>
  <si>
    <t>Tidak terdapat panduan untuk PIC terkait dalam melakukan penyusunan berkas-berkas penjadwalan dan bukti serah terima logistik.</t>
  </si>
  <si>
    <t>Penataan ulang berkas-berkas penjadwalan dan bukti serah terima berdasarkan jenis dan tanggal</t>
  </si>
  <si>
    <t>Total waktu yang digunakan dalam proses pencarian dan penyusunan berkas berkurang sebanyak 50%</t>
  </si>
  <si>
    <t>Membuat panduan kerja untuk proses penyimpanan berkas-berkas penjadwalan</t>
  </si>
  <si>
    <t>2. Adanya kendala dalam pencarian berkas-berkas dan bukti serah terima ketika dibutuhkan</t>
  </si>
  <si>
    <t>Mempermudah dalam proses pencarian berkas-berkas logistik</t>
  </si>
  <si>
    <t>Tidak terdapat alat atau perangkat untuk menyimpan berkas-berkas secara terstruktur</t>
  </si>
  <si>
    <t>Membuat tempat penyimpanan berkas yang memiliki diferensiasi warna dan angka (genap/ ganjil)</t>
  </si>
  <si>
    <t>berdasarkan jenisnya</t>
  </si>
  <si>
    <t>3. Proses penyusunan dokumen yang membutuhkan waktu terlalu lama</t>
  </si>
  <si>
    <t>Tempat penyimpanan berkas tidak tersusun sesuai dengan jenis logistik dan tipe berkas</t>
  </si>
  <si>
    <t>Mempercepat proses penyusunan dokumen (list, bukti serah terima) berdasarkan jenis logistik dan tanggal penyimpanan dokumen</t>
  </si>
  <si>
    <t>PIC terkait kesulitan untuk mengingat letak berkas-berkas yang berbeda jenis karena tidak ada diferensiasi </t>
  </si>
  <si>
    <t>Melakukan pengarahan kepada PIC terkait untuk implementasi prosedur penyusunan berkas</t>
  </si>
  <si>
    <t>2. Kendala Pencarian:</t>
  </si>
  <si>
    <t>waktu yang dibutuhkan untuk pencarian berkas menjadi ± 3 menit</t>
  </si>
  <si>
    <t>PIC terkait membuka file softcopy excel</t>
  </si>
  <si>
    <t>waktu yang dibutuhkan untuk penyusunan berkas menjadi ± 5 menit</t>
  </si>
  <si>
    <t>PIC terkait mencari berkas sesuai dengan jenis logistik dan tipe berkas yang tidak tersusun dengan rapi</t>
  </si>
  <si>
    <t>PIC membutuhkan waktu ± 5 menit</t>
  </si>
  <si>
    <t>3. Kendala Penyusunan:</t>
  </si>
  <si>
    <t>PIC terkait membagi berkas berdasarkan jenis logistik</t>
  </si>
  <si>
    <t>Kemudian PIC menyusun kembali berkas tersebut berdasarkan tipe berkas</t>
  </si>
  <si>
    <t>Membutuhkan waktu ± 10 menit untuk memisahkan dokumen berdasarkan jenis logistik dan tipe berkas</t>
  </si>
  <si>
    <t>Gabriela K, Riano A, Dandy A. Putra, Bony R.</t>
  </si>
  <si>
    <t>Pengelompokkan Material Packaging dan Peralatan Packer CR</t>
  </si>
  <si>
    <t>1. Peralatan packing tercecer sehingga ketika mau digunakan sulit ditemukan</t>
  </si>
  <si>
    <t>1. Peralatan packing diletakkan saja di meja packer / di laci</t>
  </si>
  <si>
    <t>1. Mempermudah packer dalam mencari tools yang akan digunakan</t>
  </si>
  <si>
    <t>1. Kurangnya informasi mengenai penggunaan meja yang kosong di area packer</t>
  </si>
  <si>
    <t>1. ATK seperti gunting, cutter, pulpen, spidol disimpan di 1 wadah dari dus bekas yang berukuran kecil, diberi label "ATK"</t>
  </si>
  <si>
    <t>1. Penggunaan 5R untuk area packer</t>
  </si>
  <si>
    <t>Pembuatan instruksi kerja untuk packer supaya area kerja tetap rapi</t>
  </si>
  <si>
    <t>2. Material packaging tercampur menjadi satu dan diletakkan seadanya di dalam dus bekas sehingga menutupi jalan</t>
  </si>
  <si>
    <t>2. Material packaging yang sisa dimasukkan jadi 1 di dalam dus dan diletakkan di lorong diantara meja sehingga menutupi jalan</t>
  </si>
  <si>
    <t>2. Mempermudah packer dalam mengambil / mencari material packaging yang tersedia</t>
  </si>
  <si>
    <t>2. Tidak ada tempat penyimpanan yang jelas untuk material packaging di luar gudang</t>
  </si>
  <si>
    <t>2. Material packaging seperti lakban, label fragile, label pengiriman, selotip disimpan di 1 wadah dus sendiri dan diberi label "LABEL + LAKBAN"</t>
  </si>
  <si>
    <t>3. Packer kehabisan material packaging dan harus menunggu PIC gudang untuk restock</t>
  </si>
  <si>
    <t>3. Karena PIC gudang tidak tahu jumlah material packaging yang sisa, packer harus request dulu kalau habis dan menunggu diambilkan</t>
  </si>
  <si>
    <t>3. PIC gudang dapat restock material packaging tanpa diminta dulu oleh packer</t>
  </si>
  <si>
    <t>3. Penyimpanan peralatan packing yang sembarangan karena tidak ada tempat penyimpanan khusus</t>
  </si>
  <si>
    <t>3. Material packaging seperti dus dan kertas kado dikelompokkan jadi 1 di dalam bin yang tidak terpakai dan diberi label "MATERIAL PACKAGING"</t>
  </si>
  <si>
    <t>4. Jika packaging habis, packer harus request dulu ke PIC gudang, sedangkan PIC gudang tidak terus-menerus stand by di tempat untuk mengambilkan material packaging</t>
  </si>
  <si>
    <t>4. Semua wadah di atas ditambah material yang tidak dapat masuk ke bin ataupun dus ditata di atas meja kosong yang tidak terpakai sehingga PIC gudang dapat melihat stok material packaging yang tersisa</t>
  </si>
  <si>
    <t>Yesica P, Ihsanudin, Nurmayani Nenden,</t>
  </si>
  <si>
    <t>Mengkoordinir makan siang agar para karyawan tidak kesulitan mendapatkan makan siang</t>
  </si>
  <si>
    <t>1. Kesulitan dalam mencari makan siang sehingga waktu yang dibutuhkan untuk mencari makan siang sangat lama</t>
  </si>
  <si>
    <t>1. Waktu yang diperlukan untuk melakukan proses membeli makanan bisa mencapai 12 - 15 menit</t>
  </si>
  <si>
    <t>1. Mempersingkat waktu untuk makan siang sebesar 50%</t>
  </si>
  <si>
    <t>1. Antrian saat membeli makan panjang (5 Menit ) dan Jarak tempat membeli yang relatif jauh (4 menit perjalanan) </t>
  </si>
  <si>
    <t>1. Pembelian makanan bisa dilakukan ke tim internal, dengan pesan 1 hari sebelumnya</t>
  </si>
  <si>
    <t>1. Waktu pembelian makan berkurang menjadi 1 menit</t>
  </si>
  <si>
    <t>1. PIC koordinir untuk makanan saat ini Yuni dan bisa berganti</t>
  </si>
  <si>
    <t>2. Makan siang yang tidak bervariasi</t>
  </si>
  <si>
    <t>2. Total waktu yang dibutuhkan untuk 1x makan siang mencapai 24 menit</t>
  </si>
  <si>
    <t>2. Peningkatan variasi makanan sebanyak 2x lipat</t>
  </si>
  <si>
    <t>2. Area yang terjangkau untuk membeli makan terbatas (dalam range 250m)</t>
  </si>
  <si>
    <t>2. Menu makanan bisa sesuai menu yang ada / bisa request menu baru</t>
  </si>
  <si>
    <t>2. Total waktu yang dibutuhkan untuk 1x makan siang mencapai 12 menit</t>
  </si>
  <si>
    <t>2. Pembuatan menu mingguan agar mempermudah koordinasi</t>
  </si>
  <si>
    <t>Dicky D.</t>
  </si>
  <si>
    <t>3. Harga makanan yang tinggi</t>
  </si>
  <si>
    <t>3. Terdapat 12 menu makanan disekitar kantor (dalam range 250m)</t>
  </si>
  <si>
    <t>3. Mencari makanan dengan harga lebih murah</t>
  </si>
  <si>
    <t>3. Menu yang disediakan berkisar 18 menu</t>
  </si>
  <si>
    <t>4. Harga makanan sekitar Rp 12.000 - 42.000</t>
  </si>
  <si>
    <t>4. Harga makanan sekitar Rp 6.000 - 12.000</t>
  </si>
  <si>
    <t>SCM Dev</t>
  </si>
  <si>
    <t>Bryant, Adam, Lindo</t>
  </si>
  <si>
    <t>Penerapan 5R di Rak Offline &amp; Improvement GRN Process</t>
  </si>
  <si>
    <t>1. Space yang tersedia untuk gudang offline kurang luas</t>
  </si>
  <si>
    <t>1. Sulit untuk mengalokasikan posisi dan penataan barang sehingga banyak barang yang tercampur dirak offline yang belum terdokumentasi dan tertata dengan jelas. Sebelumnya luas area offline adalah 11.92 sqm dengan 4 rak</t>
  </si>
  <si>
    <t>1. Penambahan space di area offline dapat mempermudah dalam penataan rak sehingga rak offline menjadi terstruktur dengan peruntukan yang jelas.</t>
  </si>
  <si>
    <t>1. Dengan semakin bertambahnya order offline, space gudang yang ada sebelumnya kurang memadai. Sehingga beberapa barang dengan volume besar tidak dapat diletakkan di satu lokasi yang sudah tersedia.</t>
  </si>
  <si>
    <t>1. Penataan ulang untuk rak dalam gudang untuk memaksimalkan space penyimpanan yang ada.</t>
  </si>
  <si>
    <t>1. Pembesaran area gudang dari 11.92 sqm dengan 4 rak menjadi 17.08 sqm dengan 6 rak.</t>
  </si>
  <si>
    <t>1. SOP yang baru dimana barang inbound untuk offline akan diserahterimakan oleh team inbound tubun kepada SCM Dev. Pihak SCM Dev yang akan memasukkan barang nya ke dalam gudang dan melakukan GRN secara system.</t>
  </si>
  <si>
    <t>2. Flow Inbound gudang offline belum terkoordinasi dengan baik.</t>
  </si>
  <si>
    <t>2. Setiap barang datang dengan PO/CF diterima dan di GRN oleh pihak inbound WH Tubun, dengan demikian sering terjadi miss dalam informasi ke team SCM Dev</t>
  </si>
  <si>
    <t>2. Setiap kedatangan barang untuk team offline tetap di cek dan diterima oleh pihak inbound WH Tubun dan barang diserah terimakan ke team SCM Dev untuk dimasukkan ke area inbound offline dan untuk proses secara sistem dilakukan oleh team SCM Dev</t>
  </si>
  <si>
    <t>2. Barang untuk offline yang masuk ke dalam gudang di GRN oleh pihak inbound WH Tubun sehingga sering ada miss komunikasi, dengan adanya perbaikan ini, semua team SCM Dev lebih mudah mengetahui semua barang yang ada dalam gudang offline dan diperuntukan untuk apa.</t>
  </si>
  <si>
    <t>2. Semua barang offline akan dimasukkan oleh pihak SCM Dev ke dalam gudang, termasuk GRN di system.</t>
  </si>
  <si>
    <t>SCM-Distribusi</t>
  </si>
  <si>
    <t>Matias, Johan, Firsty, Dona</t>
  </si>
  <si>
    <t>Mengurangi sticky note atau label 107 untuk penomoran barang retur</t>
  </si>
  <si>
    <t>1. Barang retur yang datang harus di berikan nomor untuk mempermudah dalam pencarian barang</t>
  </si>
  <si>
    <t>1. 1 lembar label Tom &amp; Jerry bisa digunakan untuk memberi nomor 30 barang</t>
  </si>
  <si>
    <t>1. Tidak membutuhkan label Tom &amp; jerry</t>
  </si>
  <si>
    <t>1. Biaya yang dibutuhkan untuk membeli label Tom &amp; Jerry</t>
  </si>
  <si>
    <t>1. Proses penomoran tidak menggunakan label Tom &amp; Jerry</t>
  </si>
  <si>
    <t>1. Tidak menggunakan label Tom &amp; Jerry sehingga menghemat biaya hingga Rp 7000 / 300 barang</t>
  </si>
  <si>
    <t>1. Proses serah terima barang retur dengan packer</t>
  </si>
  <si>
    <t>2. Penomoran dilakukan dengan menempelkan label / sticky note di barang, nomornya sering lepas dari barang.</t>
  </si>
  <si>
    <t>2. Proses penomoran untuk 50 barang retur membutuhkan waktu 25 menit</t>
  </si>
  <si>
    <t>2. Proses penomoran bisa lebih cepat hingga 15 detik / barang</t>
  </si>
  <si>
    <t>2. Proses penomoran yang banyak sehingga membutuhkan waktu yang lama</t>
  </si>
  <si>
    <t>2. Nomor barangnya langsung ditulis di packaging barangnya</t>
  </si>
  <si>
    <t>2. Proses penomoran hanya membutuhkan waktu 5 detik / barang</t>
  </si>
  <si>
    <t>2. scan barcode untuk merekap nomor airwaybill dan package ID</t>
  </si>
  <si>
    <t>3. Proses penomoran memakan waktu lebih lama</t>
  </si>
  <si>
    <t>3. Barang retur yang cukup banyak setiap harinya yaitu 100 - 200 barang per hari.</t>
  </si>
  <si>
    <t>3. Penomoran ini menggunakan spidol permanent agar nomor tersebut tidak mudah hilang</t>
  </si>
  <si>
    <t>3. penomoran barang sesuai dengan nomor yang ada di rekapan</t>
  </si>
  <si>
    <t>4. penomorannya langsung ditulis di packaging paket tersebut</t>
  </si>
  <si>
    <t>5. barang diletakkan di dalam gudang</t>
  </si>
  <si>
    <t>Yordy Yordy</t>
  </si>
  <si>
    <t>Mempercepat Proses Respon JIRA Late Pick Up</t>
  </si>
  <si>
    <t>Kemampuang handling JIRA masih kurang</t>
  </si>
  <si>
    <t>1. Untuk eksekusi 1 JIRA dibutuhkan waktu sekitar 4 menit.</t>
  </si>
  <si>
    <t>1. Meningkatkan kemampuan handling JIRA</t>
  </si>
  <si>
    <t>1. Pengecekkan satu persatu memakan waktu yang lama karena harus dicek secara detail setiap JIRA untuk status dan reportnya.</t>
  </si>
  <si>
    <t>Pengecekkan JIRA late pickup dilakukan dengan cara mengcompare data hasil export JIRA late pickup dengan data macro (number of attemp 3PL)</t>
  </si>
  <si>
    <t>Untuk ekseskusi 1 JIRA membutuhkan waktu sekitar 1 menit</t>
  </si>
  <si>
    <t>1. Menarik semua data JIRA late pickup dari dashboard distribution (export to excel).</t>
  </si>
  <si>
    <t>2. Sistem yang kurang mendukung pengecekan karena loading yang sering lama ataupun eror.</t>
  </si>
  <si>
    <t>2. Memisahkan case berdasarkan bulan order (karena macro per bulan).</t>
  </si>
  <si>
    <t>Unknown User (michelle.gunawan)</t>
  </si>
  <si>
    <t>3. Adanya case lain yang lebih urgent untuk difollow up di waktu yang bersamaan.</t>
  </si>
  <si>
    <t>3. Vlookup data yang sudah ditarik dan dipisah per bulan ke data number of attemp 3PL pada macro sesuai bulannya.</t>
  </si>
  <si>
    <t>4. Report logistik yang terkadang kurang lengkap.</t>
  </si>
  <si>
    <t>4. Vlookup lagi data tarikan tersebut ke data status terakhir pada macro sesuai bulannya.</t>
  </si>
  <si>
    <t>Unknown User (irene.k.d.saputro)</t>
  </si>
  <si>
    <t>5. Untuk status PU  yang number of attemp = 0, direschedule pickup ke 3PL besoknya. Untuk yang number of attemp &gt; 0 difollow up ke team Asmer untuk dikonfirmasi ke merchant.</t>
  </si>
  <si>
    <t>6. Untuk status terakhir yang sudah CX atau D difollow up ke team CS untuk dikonfirmasi ke customer (case closed).</t>
  </si>
  <si>
    <t>Arif Riyanto</t>
  </si>
  <si>
    <t>SCM-Fleet Mgmt</t>
  </si>
  <si>
    <t>Agus Tryono</t>
  </si>
  <si>
    <t>Standarisasi proses serah terima barang distribusi antar hub BES</t>
  </si>
  <si>
    <t>1. Setiap gudang mempunyai proses administrasi form serah terima barang yang berbeda-beda khususnya untuk barang non-order serperti pengiriman barang IR atau titipan.</t>
  </si>
  <si>
    <t>1. Form serah terima yang disiapkan oleh tim outbound gudang pengirim memerlukan hingga 6 tanda tangan: oubound gudang pengirim, acting coordinator BES pengirim, driver BES pengirim, acting coordinator BES penerima, inbound gudang penerima, dan penerima terakhir.</t>
  </si>
  <si>
    <t>BES mempunyai dokumentasi proses serah terima barang titipan yang mudah untuk dilakukan pelacakan bila dibutuhkan sewaktu-waktu dalam kurang dari 15 menit untuk pencariannya.</t>
  </si>
  <si>
    <t>Saat ini setiap tim outbound gudang memberikan data yang tidak seragam.</t>
  </si>
  <si>
    <t>1. Membuat format yang sama untuk setiap barang titipan dari gudang yang hendak diserah terimakan kepada BES </t>
  </si>
  <si>
    <t>1. Serah terima barang titipan dari gudang sudah terformat dengan isian yang lebih informatif dan jelas: Excel (Document / Jenis barang/ NO. IR, JUMLAH, UOM, Berat (KG), Titipan, Penerima, Keterangan) dan email</t>
  </si>
  <si>
    <t>1. Mensosialisasikan ke tim gudang dan BES terhadap aplikasi - aplikasi serta proses yang dilakukan untuk proses serah terima barang titipan</t>
  </si>
  <si>
    <t>2. Dokumentasi surat jalan untuk diserahkan kembali ke gudang pengirim memerlukan waktu yang lama karena harus sampai mendapat tanda tangan penerima barang terakhir.</t>
  </si>
  <si>
    <t>2. BES tidak mempunya rangkap surat serah terima karena terbatasnya rangkap form serah terima sehingga tidak dapat melakukan pelacakan.</t>
  </si>
  <si>
    <t>BES gudang pengirim tidak membuat surat jalan.</t>
  </si>
  <si>
    <t>2. Setiap barang yang akan dititpkan kepada BES harus dibuat surat jalannya</t>
  </si>
  <si>
    <t>2. Flow process chart serah terima barang titipan </t>
  </si>
  <si>
    <t>2. Reminder terhadap proses administrasi serah terima yang sudah disepakati</t>
  </si>
  <si>
    <t>Wahyudi1 Wahyudi1</t>
  </si>
  <si>
    <t>Kurangnya monitoring untuk surat jalan antar hub,                                                           </t>
  </si>
  <si>
    <t>3. Flow process chart tracking tanda terima barang titipan</t>
  </si>
  <si>
    <t>Muhammad Sudibjo</t>
  </si>
  <si>
    <t>Arliandi Arifin</t>
  </si>
  <si>
    <t>SCM-Recon</t>
  </si>
  <si>
    <t>Verencia Permatasari</t>
  </si>
  <si>
    <t>Simplify Filling</t>
  </si>
  <si>
    <t>1. Penyimpanan dokumen dari semua 3PL membutuhkan ruang banyak, sedangkan data detail invoice bisa di akses langsung dalam bentuk softcopy di komputer.</t>
  </si>
  <si>
    <t>1. Hardcopy Detail Invoice dan Bukti Pengiriman (Resi) yang dikirimkan oleh 3PL dengan kuota pengiriman terbanyak yaitu JNE ± 500-1.000 lembar perbulan. Hardcopy Detail Invoice dan Bukti Pengiriman (Resi) yang dikirimkan oleh semua 3PL perlu disimpan dan dirapikan di dalam dua  (2) buah lemari yang masing-masing berukuran 115x45x90 cm.</t>
  </si>
  <si>
    <t>1. Tidak perlu menyimpan Bukti Pengiriman (Resi) dan Hardcopy Detail Invoice dari 3PL bisa diakses dalam bentuk softcopy sehingga lemari bisa digunakan untuk menyimpan dokumen yang lebih penting</t>
  </si>
  <si>
    <r>
      <t>1.</t>
    </r>
    <r>
      <rPr>
        <sz val="7"/>
        <color theme="1"/>
        <rFont val="Times New Roman"/>
        <family val="1"/>
      </rPr>
      <t xml:space="preserve">     </t>
    </r>
    <r>
      <rPr>
        <sz val="12"/>
        <color theme="1"/>
        <rFont val="Times New Roman"/>
        <family val="1"/>
      </rPr>
      <t>Penyimpanan dokumen fisik terkait tagihan dan pengiriman yang dicetak oleh 3PL membutuhkan ruang penyimpanan yang banyak.</t>
    </r>
  </si>
  <si>
    <t>1. Penyimpanan Detail Invoice hanya dalam bentuk softcopy yang dapat diakses di komputer, sehingga ruang penyimpanan dapat digunakan untuk menyimpan dokumen yang lain.menyimpan dokumen yang lain.</t>
  </si>
  <si>
    <t>1. Detail Invoice hanya disimpan dalam bentuk softcopy, dan tim recon hanya membutuhkan satu (1) lemari untuk menyimpan foler yang berisi lembar hardcopy yang bermaterai.</t>
  </si>
  <si>
    <t>1. Mensosialisasikan dan menerapkan ke 3PL lainnya untuk tidak mengirimkan Detail Hardcopy Invoice dan Bukti Pengiriman (Resi).</t>
  </si>
  <si>
    <t>2. Waktu yang diperlukan 3PL untuk mengirimkan dokumen tersebut menjadi lebih lama.</t>
  </si>
  <si>
    <t>2. Waktu yang dibutuhkan oleh 3PL untuk mencetak Hardcopy Detail Invoice dan mengumpulkan Bukti Pengiriman (Resi) periode 1 bulan invoice 3PL  ± 7 hari kerja</t>
  </si>
  <si>
    <t>2. Pihak 3PL tidak perlu mencetak Hardcopy Detail Invoice sehingga waktu yang diperlukan 3PL untuk mengirimkan Hardcopy Invoice menjadi lebih singkat.</t>
  </si>
  <si>
    <t>2. Waktu yang dibutuhkan 3PL untuk mengirimkan Hardcopy Invoice menjadi lebih singkat.</t>
  </si>
  <si>
    <t>2. Waktu yang diperlukan oleh 3PL untuk mencetak Hardcopy Invoice periode 1 bulan invoice 3PL  ± 5 hari kerja</t>
  </si>
  <si>
    <t>2. Tidak ada penambahan aktivitas untuk menyimpan dan merapikan dokumen Hardcopy Detail Invoice dan Bukti Pengiriman (Resi) dalam jumlah yang banyak.</t>
  </si>
  <si>
    <t>Sherly Setiawan</t>
  </si>
  <si>
    <t>3. Penambahan aktivitas dalam menyimpan dan merapikan dokumen Hardcopy Detail Invoice dan Bukti Pengiriman (Resi) ke lemari.</t>
  </si>
  <si>
    <t>3. Waktu yang diperlukan untuk memproses Hardcopy Detail Invoice dan Bukti Pengiriman (Resi) dari awal di terima hingga menyimpan dokumen ke lemari adalah 372.46 detik.</t>
  </si>
  <si>
    <t>3. Aktivitas Tim Recon menjadi lebih efisien karena tidak perlu merapikan dan menyimpan Hardcopy Detail Invoice dan Bukti Pengiriman (Resi) ke lemari.                                                        </t>
  </si>
  <si>
    <t>2. Waktu yang dibutuhkan 3PL untuk mengirimkan dokumen hardcopy invoice menjadi lebih lama.</t>
  </si>
  <si>
    <r>
      <t>3.</t>
    </r>
    <r>
      <rPr>
        <sz val="7"/>
        <color theme="1"/>
        <rFont val="Times New Roman"/>
        <family val="1"/>
      </rPr>
      <t xml:space="preserve">     </t>
    </r>
    <r>
      <rPr>
        <sz val="12"/>
        <color theme="1"/>
        <rFont val="Times New Roman"/>
        <family val="1"/>
      </rPr>
      <t>Waktu yang diperlukan untuk memproses Hardcopy Invoice dan Bukti Pengiriman (Resi) dari awal di terima hingga menyimpan dokumen ke lemari adalah 330.67 detik</t>
    </r>
  </si>
  <si>
    <t>Titis Ekky Krisnanda</t>
  </si>
  <si>
    <t>SCM-WH Batuceper</t>
  </si>
  <si>
    <t>Adi Surya Indra Kharisma</t>
  </si>
  <si>
    <t>Maintain Akurasi Stock Material Packaging</t>
  </si>
  <si>
    <t>1.  Lambatnya pemberian report stock material packaging</t>
  </si>
  <si>
    <t>1. total waktu yang dibutuhkan untuk memberikan report material packaging sebesar 3 Jam, 05 Menit</t>
  </si>
  <si>
    <t>1. Reduce time untuk reporting material packaging menjadi  dibawah 1 jam (decrease 30% off)</t>
  </si>
  <si>
    <t>1. Harus melakuan penghitungan keseluruhan material setiap akan memberikan report</t>
  </si>
  <si>
    <t>1. Pembuatan lokasi khusus pick slot material packaging</t>
  </si>
  <si>
    <t>1. Total waktu yang dibutuhkan untuk memberikan report material packaging sebesar 55 menit dengan komposisi : a.  Penarikan dan pengolahan data sytem  40 Menit b. Penghitungan fisik material di rak pick slot 15 menit</t>
  </si>
  <si>
    <t>1. # Disiapkan lokasi racking untuk material packaging dibelakang QC, dimana disiapkan buffer material konsumsi warehouse untuk seminggu operational. Packer hanya bisa mengambil material di lokasi tersebut.</t>
  </si>
  <si>
    <t>2. Penempatan material packaging yang tidak rapi</t>
  </si>
  <si>
    <t>2. 35% space warehouse (108 PP dari total 311 PP) digunakan sebagai lokasi material packaging - data per Juli 216</t>
  </si>
  <si>
    <t>2. Reduce space untuk penempatan material packaging</t>
  </si>
  <si>
    <t>Satrio Wibiseno</t>
  </si>
  <si>
    <t>3. Akurasi stock material packaging rendah</t>
  </si>
  <si>
    <t>3. Akurasi stock material packaging masih dibawah 95%</t>
  </si>
  <si>
    <t>3. Increase stock akurasi material packaging</t>
  </si>
  <si>
    <t>2. Memisahkan penempatan material packaging untuk Merchant dan Konsumsi Warehouse</t>
  </si>
  <si>
    <t>2. 21% space warehouse (68PP dari total 311 PP) digunakan sebagai lokasi material packaging - data per 11 Agustus 2016</t>
  </si>
  <si>
    <t># Proses penghitungan material tinggal menghitung pergerakan di lokasi pick slot ini.</t>
  </si>
  <si>
    <t>Unknown User (yosep.andi)</t>
  </si>
  <si>
    <t>2. Tidak ada koordinasi antar divisi (Inbound, Outbound dan SC)  proses handling material packaging sejak inbound hinggga putaway</t>
  </si>
  <si>
    <t> 3. Hanya menghitung material packaging konsumsi warehouse (material packaging untuk merchant dimantain secara system melalu Sales Order)</t>
  </si>
  <si>
    <t>2. Pada saat proses putaway, material packaging dipisahkan menjadi 2 kategori :</t>
  </si>
  <si>
    <t>Raimi Noor</t>
  </si>
  <si>
    <t>3. Akurasi stock material packaging diatas 97 % (compare system dan actual)</t>
  </si>
  <si>
    <t>a. Material Packaging untuk Merchant</t>
  </si>
  <si>
    <t>3. Penempatan material packaging yang tidak rapi menghambat proses penghitungan dan memunginkan terjadinya double counting</t>
  </si>
  <si>
    <t>b. Material Packaging untuk Konsumsi Warehouse</t>
  </si>
  <si>
    <t>Lokasi kedua katagori tersebut dipisahkan dan diberi marking/tanda, jika material packaging di pick slot tinggal sedikit, PIC dapat melakukan fulfillment dari loasi material packaging warehouse fulfillment</t>
  </si>
  <si>
    <t>3. Akurasi diatas 97% dikarenakan stok yang dihitung hanya material packaging yang ada di pick slot, Stock Material packaging untuk Merchant dan Warehouse Konsumsi sudah di maintain di dalam system</t>
  </si>
  <si>
    <t>SCM-WH Cakung</t>
  </si>
  <si>
    <t>Bayu Brahmanto, Edwin Irawan, Sugeng Priyono,</t>
  </si>
  <si>
    <t>Meningkatkan Kedisiplinan Penempatan Peralatan Kerja</t>
  </si>
  <si>
    <t>1. Kurangnya disiplin karyawan untuk penempatan alat kerja</t>
  </si>
  <si>
    <t>1. Data permintaan alat kerja cukup tinggi</t>
  </si>
  <si>
    <t>1. meningkatan kecepatan kerja</t>
  </si>
  <si>
    <t>1. Waktu pengambilan alat kerja lama karena perpindahan tempat</t>
  </si>
  <si>
    <t>1. lakukan training kepada operator/user tentang pentingnya 5 R</t>
  </si>
  <si>
    <t>1. penurunan permintaan ATK sebesar 30 %</t>
  </si>
  <si>
    <t>1. pembuatan work instruction untuk penempatan alat kerja di shadow board</t>
  </si>
  <si>
    <t>2. penempatan alat kerja yang tidak teratur</t>
  </si>
  <si>
    <t>2. berdasarkan data pembelian barang dapat di lihat untuk pengadaan peralatan kerja cukup tinggi</t>
  </si>
  <si>
    <t>2. menurunkan biaya operational dari segi pembelian alat kerja</t>
  </si>
  <si>
    <t>2. pemahaman Operator / User tentang WI dan 5R kurang maksimal</t>
  </si>
  <si>
    <t>untuk menjaga kebersihan dan kerapihan area kerja                    ( Pic:Supervisor dan foreman )</t>
  </si>
  <si>
    <t>2. mengagendakan untuk memberikan coaching pada setiap awal dan akhir briefing</t>
  </si>
  <si>
    <t>Didik Supriyanto</t>
  </si>
  <si>
    <t>3. alat kerja saat di butuhkan tidak ada</t>
  </si>
  <si>
    <t>3. 40% mengatakan kurang disiplin untuk meletakan alat kerja</t>
  </si>
  <si>
    <t>3. operator / User mampu untuk di siplin</t>
  </si>
  <si>
    <t>3. Kegiatan monitoring oleh leader kurang maksimal</t>
  </si>
  <si>
    <t>3. penyedian beberapa shadow di area inbound ,outbound,dan inventory control</t>
  </si>
  <si>
    <t>4. alat kerja tidak memiliki tempat khusus</t>
  </si>
  <si>
    <t>4. 60% belum ada tempat khusus untuk penempatan alat kerja </t>
  </si>
  <si>
    <t>4. Operator mampu merapihkan alat kerja dan konsistem</t>
  </si>
  <si>
    <t>4. Tempat khusus untuk penempatan alat kerja belum ada                                 </t>
  </si>
  <si>
    <t>2. pemberian coaching sebelum mulai kerja ( awal shift ) dan akhir kerja ( akhir shift )</t>
  </si>
  <si>
    <t>4. pengaturan dan pengecekan yang di lakukan secara berkelanjutan</t>
  </si>
  <si>
    <t>3. penggunaan shadow board untuk penempatan alat kerja yg tepat                                           </t>
  </si>
  <si>
    <t>SCM-WH Cawang</t>
  </si>
  <si>
    <t>Danny Kurnia; Arya Wahyu Adi Bhaskara; user-9e15b; Unknown User (yudi.haryanto)</t>
  </si>
  <si>
    <t>Replenishment Material Packaging ke Packer dengan Metode Kanban</t>
  </si>
  <si>
    <t xml:space="preserve">Stock di area material siap supply packer </t>
  </si>
  <si>
    <t>Cara Kerja Supply M. Packaging :</t>
  </si>
  <si>
    <t>Goal yang ingin dicapai adalah</t>
  </si>
  <si>
    <t>Kendala yang harus dihadapi adalah penentuan jumlah kebutuhan perbulan, mendata pengeluaran April, Mei, Juni, Juli dan Agustus. Karena April dan Agustus tidak full bulan, kami ambil data Mei, Juni dan Juli.</t>
  </si>
  <si>
    <t>Ringkas material apa saja yang ada di Area Packing. termasuk material yang tidak lagi dipakai. (R1)</t>
  </si>
  <si>
    <r>
      <t xml:space="preserve">Untuk pengambilan material tetap ada bila dirata-rata  </t>
    </r>
    <r>
      <rPr>
        <u/>
        <sz val="12"/>
        <color theme="1"/>
        <rFont val="Times New Roman"/>
        <family val="1"/>
      </rPr>
      <t>+</t>
    </r>
    <r>
      <rPr>
        <sz val="12"/>
        <color theme="1"/>
        <rFont val="Times New Roman"/>
        <family val="1"/>
      </rPr>
      <t xml:space="preserve"> 10menit/ hari untuk ambil material meski sudah disiapkan namun manpower tidak ada yg spesial antar material packaging ke area replenishment. (pelaksanaan sekitar 1 minggu sekali 60 menit)</t>
    </r>
  </si>
  <si>
    <t>Sosialisas 1 : 15/8</t>
  </si>
  <si>
    <t>over</t>
  </si>
  <si>
    <t>Harus di schedule kan Stock opname material 1 bulan sekali untuk awal. Bila sudah terbiasa, bisa dikurangi menjadi 2 bulan sekali sampai dengan 6 bulan sekali</t>
  </si>
  <si>
    <t>List material yang akan di stock di Area replenishment. keluarkan material yang tidak dibutuhkan di area (R1).</t>
  </si>
  <si>
    <t>Untuk menghitung stock ternyata masih perlu pengecekan di area replenishment karena pengambilannya terus berlangsung. sekitar 10 menit tentative saat diperlukan saja.</t>
  </si>
  <si>
    <t>minimum dan maksimum stock</t>
  </si>
  <si>
    <r>
      <t>§</t>
    </r>
    <r>
      <rPr>
        <sz val="7"/>
        <color theme="1"/>
        <rFont val="Times New Roman"/>
        <family val="1"/>
      </rPr>
      <t xml:space="preserve">  </t>
    </r>
    <r>
      <rPr>
        <sz val="12"/>
        <color theme="1"/>
        <rFont val="Times New Roman"/>
        <family val="1"/>
      </rPr>
      <t> </t>
    </r>
  </si>
  <si>
    <t>H-1 akhir shift All Packer mencatat kekurangan material 5 -10 menit</t>
  </si>
  <si>
    <t>meminimalkan penghitungan berkali-kali. Sehingga proses replenishment menjadi zero minute pencatatan.</t>
  </si>
  <si>
    <t>Kedisiplinan Packer dalam memotong dan memasukan label Kanban ke terminal menjadi kunci.</t>
  </si>
  <si>
    <t>Rapikan pada pallet sesuai kebutuhan, proses isi 2 lokasi, sesuai metoda kanban 2 lokasi. 1 lokasi penggunaan, 1 lokasi pengisian. (R2)</t>
  </si>
  <si>
    <t>Kepada Admin untuk memahami proses kanban</t>
  </si>
  <si>
    <t>titik pesan kembali</t>
  </si>
  <si>
    <t>Hari H pagi koordinator Packer akan merekap data kekurangan material sekitar 10 - 15 menit</t>
  </si>
  <si>
    <t>Cepatnya mendapatkan data stock dari kombine proses kanban dengan input di excell.</t>
  </si>
  <si>
    <t>Pembuatan Cara kerja / Work Instruksi Replenishment Material Packaging ke Packer dengan metode Kanban (R2)</t>
  </si>
  <si>
    <t>stock optimum pemesanan             </t>
  </si>
  <si>
    <t>Tidak tertata rapi</t>
  </si>
  <si>
    <t>Hari H pagi packer akan ambil material di lokasi replenishment material di lantai 2 sekitar 10 menit. Bila stock tidak ada disitu atau kurang, maka packer akan ambil material packaging dari storage nya di lantai 1 gedung depan sekitar 20 - 30 menit</t>
  </si>
  <si>
    <t>Pengiriman material ke packer otomatis tanpa harus packer rekap, serahkan dan input.</t>
  </si>
  <si>
    <t>Cara Kerja Replenishment M. Packaging ke Packer dengan metode kanban.</t>
  </si>
  <si>
    <t>Menjaga kebersihan area (R3)</t>
  </si>
  <si>
    <t>Sosialisasi 2 : 18/8</t>
  </si>
  <si>
    <t>Tidak tahu kapan harus diisi kembali</t>
  </si>
  <si>
    <t>Total waktu tidak produktiv dari merekap dan replenishment 45 menit sampai dengan 1 jam 5 menit</t>
  </si>
  <si>
    <t>Ada perubahan penggunaan material di packer seperti plastic blibli, menjadi karton bookwrap. Dsb. Artinya analisa harus di sesuaikan. (R4)</t>
  </si>
  <si>
    <t>Harus extra analisa total kebutuhan untuk menemukan nilai pemesanan kembali                       </t>
  </si>
  <si>
    <t>Sering kehabisan material packaging baru terdeteksi / dipesan</t>
  </si>
  <si>
    <t xml:space="preserve">1.Pada proses penerimaan di Lokasi replenishment material (lantai 2 Warehouse Cawang). Setiap pallet diberikan label khas kanban. Pada label tersebut bukan hanya terdiri dari informasi barang, tapi juga lembar jumlah. </t>
  </si>
  <si>
    <t>Stock di Area replenishment per item bisa saja berubah dalam hitungan minggu / bulan. Tergantung kebutuhan akan material. (R4)</t>
  </si>
  <si>
    <t>Kepada Packer untuk disiplin melaksanakannya.</t>
  </si>
  <si>
    <t>Bila bermaksud mengorder perlu hitung all stock yang ada lagi sekalian memesan semua dan memastikan stock current berapa. Range rata-rata pengecekan material 2 jam sampai dengan 3 jam.</t>
  </si>
  <si>
    <t xml:space="preserve">2.Satu lembar jumlah dapat di set misalnya 50 ikat. setiap ikat pada lembar jumlah diberikan kode item. </t>
  </si>
  <si>
    <t>Kanban ini keberhasilannya bergantung pada kedisiplinan packer dalam pengambilan plus penyobekan label ke terminal. Menjadi terbiasa (R5)</t>
  </si>
  <si>
    <t>                                                                </t>
  </si>
  <si>
    <t xml:space="preserve">3.Sediakan terminal order (terbuat dari kardus / container). </t>
  </si>
  <si>
    <t>Pembuatan Box terminal label kanban</t>
  </si>
  <si>
    <t xml:space="preserve">4.Pada prosesnya, Packer ketika mengambil material, mereka menyobek 1 kode item dan memasukannya ke terminal. </t>
  </si>
  <si>
    <t xml:space="preserve">5.Setiap akhir shift, koordinator packer menyerahkan terminal kepada admin untuk di hitung jumlah kode item nya dan input ke komputer jumlahnya (sebagai jumlah pemakaian material). Selesai untuk admin </t>
  </si>
  <si>
    <t xml:space="preserve">6.H+1 / Besok paginya, semua kode item oleh admin diserahkan kepada petugas stock material sementara terminal di kembalikan ke posisi aslinya di area replenishment. </t>
  </si>
  <si>
    <t xml:space="preserve">7.Petugas stock material mempersiapkan material dan kemudian mengantarkannya ke area replenishment. </t>
  </si>
  <si>
    <t xml:space="preserve">8.Packer tidak perlu lagi melakukan hal rekap apapun dan bisa fokus ke pekerjaannya serta tidak kehilangan waktu tidak produktif pekerjaannya </t>
  </si>
  <si>
    <t>SCM-WH Tubun</t>
  </si>
  <si>
    <t>Seteven, Udi, Ferdhi, Romayudin</t>
  </si>
  <si>
    <t>Pemisahan Barang IR dengan Peta Aliran Proses</t>
  </si>
  <si>
    <t>Proses penerimaan, penyimpanan dan serah terima barang IR ke asmer membutuhkan waktu yang lama</t>
  </si>
  <si>
    <t>Membutuhkan waktu 5,56 menit/IR/koli dengan Metode Westinghouse (Perfomance &amp; Allowance)</t>
  </si>
  <si>
    <t xml:space="preserve">Penerimaan, penyimpanan dan serah terima barang IR yang lebih efektif dan efisien dengan Peta Aliran Proses                                                         </t>
  </si>
  <si>
    <t>Waktu pengambilan barang IR oleh Asmer tak tentu</t>
  </si>
  <si>
    <t>Melakukan pemisahan barang IR dengan cara memberi tanda(sticky note warna) pada barang tersebut</t>
  </si>
  <si>
    <t>Membutuhkan waktu 4,85 menit/IR/koli dengan Metode Westinghouse (Perfomance &amp; Allowance)</t>
  </si>
  <si>
    <t>Mendokumentasikan cara pemisahan dan penandaan barang IR ke dalam SOP Inbound Tubun</t>
  </si>
  <si>
    <t>Harus mencari barang IR yang diminta di dalam tumpukan barang IR yang lain             </t>
  </si>
  <si>
    <t>Mengelompokkan barang IR sejenis</t>
  </si>
  <si>
    <t>TQM-IQM</t>
  </si>
  <si>
    <t>Handoko, Chiara, Andri, &amp; Olivia</t>
  </si>
  <si>
    <t>Peninjauan dan Pendisiplinan Penggunaan Format Teamlead Report</t>
  </si>
  <si>
    <t>Pembuatan slide presentasi Teamlead meeting setiap hari selasa memakan waktu yang lama untuk mengumpulkan update, penghitungan data dan informasi terkait setiap tim di departemen Operation.</t>
  </si>
  <si>
    <t>Pengerjaan file membutuhkan waktu +-90 menit untuk merapihkan, memindahkan, dan menerjemahkan update dari tim lain.</t>
  </si>
  <si>
    <t>Waktu pengerjaan menjadi tidak lebih dari 45 menit untuk file yang disubmit.</t>
  </si>
  <si>
    <t>Setiap file yang di-submit menggunakan format yang berbeda dan penggunaan bahasa yang masih perlu banyak diperbaiki.                                                                     </t>
  </si>
  <si>
    <t>File yang di-submit menggunakan template file yang sama dengan format yang sudah dibuat sebelumnya. Penetapan dilakukan pada Font type, Font size, Bullet numbering, Titling and subtitling.</t>
  </si>
  <si>
    <t>Update disubmit memakai format yang sudah dibagikan dengan waktu pengerjaan 40 menit.</t>
  </si>
  <si>
    <t>Format disertakan dalam setiap email reminder yang dikirimkan. Further actions : Deadline submittance with consequences.</t>
  </si>
  <si>
    <t>Terdapat 9 tim yang mengumpulkan file update.</t>
  </si>
  <si>
    <t>TQM-PIR</t>
  </si>
  <si>
    <t>Dominik, Danang, Ian &amp; Jessica</t>
  </si>
  <si>
    <t>Efisiensi Proses Audit SOP</t>
  </si>
  <si>
    <t xml:space="preserve">1. Proses pencarian dokumentasi audit yang lama </t>
  </si>
  <si>
    <t>1. Memerlukan waktu 749 seconds untuk mencari dokumen audit</t>
  </si>
  <si>
    <t>1. Mengurangi waktu proses pencarian hasil audit sampai ~50%</t>
  </si>
  <si>
    <t>1. Dokumentasi audit yang tidak lengkap (hilang) &amp; filing dokumentasi audit yang tidak rapi dan tidak di back up    </t>
  </si>
  <si>
    <t>1. Dokumentasi secara digital</t>
  </si>
  <si>
    <t>1. Mengurangi waktu pencarian dokumen menjadi 146 seconds</t>
  </si>
  <si>
    <t>1. Pembuatan SOP untuk pelaksanaan audit</t>
  </si>
  <si>
    <t xml:space="preserve">2. Proses penentuan improvement kurang efficient </t>
  </si>
  <si>
    <t>2. Adanya kegiatan repetitif yaitu pengambilan data untuk menentukan improvement</t>
  </si>
  <si>
    <t>2. Mengeliminasi kegiatan repetitive pada proses penentuan improvement</t>
  </si>
  <si>
    <t>2. Butuh mengambil waktu dua kali untuk proses yang sama (untuk audit pengambilan waktu)                                        </t>
  </si>
  <si>
    <t>2. Merevisi form audit checklist disertai dengan penambahan kolom (SLA &amp; Proses time)</t>
  </si>
  <si>
    <t>2. Menghilangkan kegiatan repetitif yaitu pengambilan data waktu proses</t>
  </si>
  <si>
    <t>2. Meeting internal sesama PIR untuk sharing cara audit dan dokumentasi</t>
  </si>
  <si>
    <t>1. Dearni Dearni</t>
  </si>
  <si>
    <t>Efisiensi Waktu untuk Analisa Permintaan Percepatan Pengiriman area Jakarta</t>
  </si>
  <si>
    <t>Proses eksekusi percepatan pengiriman membutuhkan tahapan yang panjang dan waktu yang lama</t>
  </si>
  <si>
    <t>Dalam proses eksekusi 1 case dari budi rata - rata 16 menit dari data diterima sampai pengarahan ke messenger, dengan sample 32 case dalam 1 minggu, maka total pengerjaan semua case adalah 8,5 jam</t>
  </si>
  <si>
    <t>Proses percepatan pengiriman dapat direalisasikan dalam 1 hari kerja</t>
  </si>
  <si>
    <t xml:space="preserve">Proses analisa dan eksekusi percepatan pengiriman membutuhkan waktu yang lama dikarenakan jumlah permintaan yang cukup banyak </t>
  </si>
  <si>
    <t>Membuat standar summary pada setiap casemgmt percepatan pengiriman</t>
  </si>
  <si>
    <t>Dalam proses percepatan pengiriman yang masuk dapat direalisasikan rata - rata dalam 1 hari 17 jam sejak open case sampai case closed setelah adanya kaizen proses percepatan pengiriman yang masuk dapat direalisasikan rata - rata dalam 1 hari 2 jam sejak open case sampai case closed</t>
  </si>
  <si>
    <t>Sosialisasi ketentuan pembuatan summary pada JIRA ke semua channel CS</t>
  </si>
  <si>
    <t>2. Unknown User (kamal.adhiwira)</t>
  </si>
  <si>
    <t xml:space="preserve">Laporan yang diterima oleh team BEM belum melewati proses analisa dan pengisian summary belum represent isi laporan </t>
  </si>
  <si>
    <t>Waktu analisa case di BEM lebih efisien melalui summary casemgmt yang sudah distandarkan</t>
  </si>
  <si>
    <t>Data yang masuk ke dashboard percepatan pengiriman masih data mentah dan belum terformat</t>
  </si>
  <si>
    <t>Membuat list priority untuk 2 alasan permintaan dari customer yaitu untuk ulang tahun dan keluar negeri/kota</t>
  </si>
  <si>
    <t>Dalam proses eksekusi case yang diterima oleh budi rata - rata 11 menit dari data diterima sampai pengarahan ke messenger, waktu yang di hemat per 1 case adalah 5 menit.</t>
  </si>
  <si>
    <t>3. Jaka Cawanda</t>
  </si>
  <si>
    <t>Dari 24 proses yang dijalankan untuk percepatan pengiriman, dengan adanya standar summary dapat mengurangi 8 waste menjadi 16 proses.</t>
  </si>
  <si>
    <t>Sosialisasi ketentuan probing/analisa yang baru ke semua channel CS</t>
  </si>
  <si>
    <t>4. Unknown User (daniel.lumbatoruan)</t>
  </si>
  <si>
    <t>Area origin dari MP dan customer masih banyak yang dari luar jakarta</t>
  </si>
  <si>
    <t>FPC Before CS Team.xlsx</t>
  </si>
  <si>
    <t>File FPC After</t>
  </si>
  <si>
    <t>FPC CS Team.xlsx</t>
  </si>
  <si>
    <t>CS-SQM</t>
  </si>
  <si>
    <t>Shanty Cantya Ma'Mun, Yoserizal Yoserizal, Hafiz Faturrahman, Eka Sriningsih, Lita Adhitia, Mei Fitria Handayani</t>
  </si>
  <si>
    <t>Efektifitas metode kuis untuk CS</t>
  </si>
  <si>
    <t>Pelaksanaan kuis dengan sistem verbal (tanya jawab langsung) membutuhkan waktu yang cukup lama</t>
  </si>
  <si>
    <t>Setiap reviewer bertanggung jawab melaksanakan kuis untuk 15 CS dengan mekanisme: CS dipanggil ke meja reviewer secara bergantian atau reviewer mendatangi CS untuk menanyakan pertanyaan kuis, 1 orang CS membutuhkan waktu total 14,5 menit dalam proses kuis. Total 1 reviewer membutuhkan waktu 218 menit untuk melaksanakan kuis kepada 15 CS.</t>
  </si>
  <si>
    <t>Kuis dilaksanakan dengan sistem kolektif, dilaksanakan dengan sistem bacth, waktu pengawasan oleh reviewer berkurang hingga 50%</t>
  </si>
  <si>
    <t>Reviewer harus konfirmasi kepada CS melalui spark internal atau mendatangi langsung ke meja CS yang akan mengikuti kuis, kemudian reviewer menunggu CS di meja reviewer, secara bergantian per masing-masing CS akan di tes secara langsung di meja reviewer dengan system tanya jawab, atau reviewer mendatangi meja CS untuk melaksanakan kuis, hal ini tidak efektif karena alokasi waktu reviewer terlalu besar untuk melaksanakan kuis.</t>
  </si>
  <si>
    <r>
      <t>·</t>
    </r>
    <r>
      <rPr>
        <sz val="7"/>
        <color theme="1"/>
        <rFont val="Times New Roman"/>
        <family val="1"/>
      </rPr>
      <t xml:space="preserve">       </t>
    </r>
    <r>
      <rPr>
        <sz val="12"/>
        <color theme="1"/>
        <rFont val="Times New Roman"/>
        <family val="1"/>
      </rPr>
      <t>Kuis dilaksanakan dengan sistem kolektif per 10 CS yang akan diawasi oleh 1 orang reviewer, CS dibagi dalam 10 kelompok kuis, masing-masing kelompok menjawab soal kuis dalam waktu 10 menit.</t>
    </r>
  </si>
  <si>
    <t>Kuis dilaksanakan dengan sistem batch, setiap batch membutuhkan 1 orang reviewer dalam melakukan pengawasan dan pemeriksaan hasil kuis, total waktu 24 menit dalam 1 batch kuis</t>
  </si>
  <si>
    <t>Sosialisasi dan penjelasan mekanisme kuis kepada seluruh reviewer</t>
  </si>
  <si>
    <t>Massing-masing reviewer (saat ini 5 orang) melakukan 2x pengawasan (total waktu untuk 2x pengawasan dan pemeriksaan nilai 48 menit per masing-masing reviewer)</t>
  </si>
  <si>
    <t>Sosialisasi dan menjelaskan SOP kuis terbaru kepada CS</t>
  </si>
  <si>
    <t>Terdapat pengurangan waktu sebesar 78% per masing-masing reviewer dari sistem sebelumnya</t>
  </si>
  <si>
    <t>Penghitungan waktu pengerjaan soal kuis dengan lebih teliti pada saat kuis berlangsung</t>
  </si>
  <si>
    <t>File:</t>
  </si>
  <si>
    <r>
      <t>·</t>
    </r>
    <r>
      <rPr>
        <sz val="7"/>
        <color theme="1"/>
        <rFont val="Times New Roman"/>
        <family val="1"/>
      </rPr>
      <t xml:space="preserve">       </t>
    </r>
    <r>
      <rPr>
        <sz val="12"/>
        <color theme="1"/>
        <rFont val="Times New Roman"/>
        <family val="1"/>
      </rPr>
      <t>1 orang reviewer akan mengawas 2 kelompok kuis dalam waktu yang berbeda. 1 reviewer membutuhkan waktu 48 menit (total waktu untuk 1x kuis adalah 24 menit) dalam melakukan pengawasan pelaksanaan kuis (masing-masing mengawas 2x kuis).</t>
    </r>
  </si>
  <si>
    <t>FPC before (SQM) KAIZEN II.xlsx</t>
  </si>
  <si>
    <r>
      <t>·</t>
    </r>
    <r>
      <rPr>
        <sz val="7"/>
        <color theme="1"/>
        <rFont val="Times New Roman"/>
        <family val="1"/>
      </rPr>
      <t xml:space="preserve">       </t>
    </r>
    <r>
      <rPr>
        <sz val="12"/>
        <color theme="1"/>
        <rFont val="Times New Roman"/>
        <family val="1"/>
      </rPr>
      <t>Soal kuis di-share via WA personal kepada setiap CS sebelum kuis dimulai dan CS menjawab soal kemudian reply dari WA secara langsung.</t>
    </r>
  </si>
  <si>
    <t>File : FPC After</t>
  </si>
  <si>
    <r>
      <t>·</t>
    </r>
    <r>
      <rPr>
        <sz val="7"/>
        <color theme="1"/>
        <rFont val="Times New Roman"/>
        <family val="1"/>
      </rPr>
      <t xml:space="preserve">       </t>
    </r>
    <r>
      <rPr>
        <sz val="12"/>
        <color theme="1"/>
        <rFont val="Times New Roman"/>
        <family val="1"/>
      </rPr>
      <t>CS dikumpulkan secara kolektif di ruangan meeting untuk pelaksanaan kuis.</t>
    </r>
  </si>
  <si>
    <t>FPC After (SQM) KAIZEN II.xlsx</t>
  </si>
  <si>
    <t>Gusti Intan</t>
  </si>
  <si>
    <t>Efisiensi Pelaksanaan Ops Training</t>
  </si>
  <si>
    <t>Waktu pelaksanaan ops training yang membutuhkan 3 x 0.5 hari menjadi kurang efektif.</t>
  </si>
  <si>
    <t>Pelaksanaan ops training selama 3 hari membutuhkan waktu 12 jam, dan terkadang bisa lebih dari schedule awal. Selain itu juga membutuhkan 2 manpower.</t>
  </si>
  <si>
    <t>Menciptakan training yang lebih efektif, efisien, dan menarik</t>
  </si>
  <si>
    <t>Karena training dibagi dalam 3 sesi (introduction -&gt; 1 hari &amp; details -&gt; 2 hari), terdapat materi pengulangan yang dibawakan dari sesi introduction dengan detail.</t>
  </si>
  <si>
    <t>Memberikan penanda dengan papan setiap mendekati akhir materi mengenai batas waktu yang tersisa.</t>
  </si>
  <si>
    <t>Waktu pelaksanaan ops training selama 2 hari, dengan total waktu 435 menit (7.25 jam). Sehingga waktu pelaksanaan berkurang 40.3%.</t>
  </si>
  <si>
    <t>Pemberian penanda waktu (20 menit, 10 menit, 5 menit, dan 1 menit) dengan kertas setiap mendekati akhir materi di setiap sesi Ops Training.</t>
  </si>
  <si>
    <t>Dari segi performance tim CXA juga menjadi kurang efektif karena membutuhkan 2 orang (setengah tim) dari CXA untuk mendampingi training selama 3 hari tersebut.</t>
  </si>
  <si>
    <t>FPC Before_CXA.xlsx</t>
  </si>
  <si>
    <t>Waktu pelaksanaan training berkurang 25%</t>
  </si>
  <si>
    <t>Durasi per materi lebih dari yang seharusnya, karena trainer membawakan materi lebih dari durasi dan juga sesi tanya jawab peserta training tidak dibatasi,</t>
  </si>
  <si>
    <t>Briefing para trainer sebelum ops training dimulai, agar trainer familiar dengan materi dan durasi masing2. Dan akan dibuat group whatsapp sebagai sarana komunikasi mengenai training.</t>
  </si>
  <si>
    <t>Manpower dari CXA yang diperlukan untuk mendampingi training menjadi 1 orang (berkurang 50%), karena untuk mengganti slide, para trainer dapat menggunakan wireless mouse dan untuk pemanggilan speaker selanjutnya menggunakan group whatsapp.</t>
  </si>
  <si>
    <t>Penggunaan wireless mouse untuk para trainer lebih leluasa mengganti slide.</t>
  </si>
  <si>
    <t>Unknown User (livia.karwita)</t>
  </si>
  <si>
    <t>Total manpower berkurang 50%</t>
  </si>
  <si>
    <t>2 manpower yang diperlukan, satu di depan untuk membantu trainer, satu untuk mengontrol ruangan</t>
  </si>
  <si>
    <t>Menggunakan wireless mouse untuk para trainer lebih leluasa mengganti slidenya.</t>
  </si>
  <si>
    <t>FPC After_CXA.xlsx</t>
  </si>
  <si>
    <t>Melakukan briefing &amp; penggunaan whatsapp group setiap sebelum ops training dimulai, sehingga memudahkan koordinasi pergantian speaker.</t>
  </si>
  <si>
    <t>Merevisi content materi training &amp; menjadikan satu yang redundant.</t>
  </si>
  <si>
    <t>Pelaksanaan ops training selama 2 hari.</t>
  </si>
  <si>
    <t>Unknown User (santiasih)</t>
  </si>
  <si>
    <t>Vina Vibrianti Kusuma</t>
  </si>
  <si>
    <t>OPM-Partner</t>
  </si>
  <si>
    <t>Randy Hazemi</t>
  </si>
  <si>
    <t>Efektifitas pengolahan shipping table</t>
  </si>
  <si>
    <t>data shipping table dari logistik yang tidak mengikuti template yang diberikan</t>
  </si>
  <si>
    <t>Waktu yang dibutuhkan untuk memisahkan kodepos yang ranges adalah 2 menit per ranges. Dibutuhkan waktu rata-rata 25 Jam per Shipping Table (Asumsi shipping table memiliki 1000 ranges).</t>
  </si>
  <si>
    <t>Mengurangi waktu pengerjaan Shipping Table (dibawah 10 menit) dan Meminimalisir pekerjaan manual</t>
  </si>
  <si>
    <t>Shipping Table memiliki banyak Ranges</t>
  </si>
  <si>
    <t>Mengurangi waktu pengerjaan shipping table</t>
  </si>
  <si>
    <t>Waktu yang dibutuhkan setelah menggunakan macro adalah 9-10 menit. </t>
  </si>
  <si>
    <t>Membuat petunjuk langkah-langkah penggunaan Macro "Open Zip Code Ranges"</t>
  </si>
  <si>
    <t>zipcode start dan end yang ranges (bukan satuan)</t>
  </si>
  <si>
    <t>Format Data Raw dari Logistik tidak sesuai template Blibli</t>
  </si>
  <si>
    <t>Meminimalisir pekerjaan manual</t>
  </si>
  <si>
    <t>Penghematan waktu berkurang mencapai 99.22%</t>
  </si>
  <si>
    <t>Ridha Ghassini</t>
  </si>
  <si>
    <t>Pengolahan Shipping Table memaka waktu yang lama</t>
  </si>
  <si>
    <t>Banyaknya proses manual dalam pengolahan Shipping Table</t>
  </si>
  <si>
    <t>Vania Hadisurya</t>
  </si>
  <si>
    <t>FPC After.xlsx</t>
  </si>
  <si>
    <t>FPC Before.xlsx</t>
  </si>
  <si>
    <t>PPT :</t>
  </si>
  <si>
    <t>PPT Kaizen Partner Relation.ppt</t>
  </si>
  <si>
    <t>Unknown User (andi.kusniawan)</t>
  </si>
  <si>
    <t>Efisiensi proses pembuatan database installment report dan cancel installment</t>
  </si>
  <si>
    <t>proses pembuatan database installment report dan cancel installment membutuhkan waktu yang lama.</t>
  </si>
  <si>
    <t>Waktu penginputan data cicilan ke database installment (14 bank - 60 email per hari) membutuhkan waktu rata - rata 90 menit.</t>
  </si>
  <si>
    <t>update database installment hanya butuh membuka satu file induk, dan waktu pengerjaan berkurang menjadi dibawah 60 menit.</t>
  </si>
  <si>
    <t>untuk menginput data cicilan ke database harus membuka satu per satu file database setiap bank yang bekerja sama cicilan 0% dengan Blibli (total 14 bank) setiap hari </t>
  </si>
  <si>
    <r>
      <t xml:space="preserve">data </t>
    </r>
    <r>
      <rPr>
        <b/>
        <sz val="12"/>
        <color theme="1"/>
        <rFont val="Times New Roman"/>
        <family val="1"/>
      </rPr>
      <t>cicilan</t>
    </r>
    <r>
      <rPr>
        <sz val="12"/>
        <color theme="1"/>
        <rFont val="Times New Roman"/>
        <family val="1"/>
      </rPr>
      <t xml:space="preserve"> diupdate di 1 file induk dan menggunakan query table untuk update data cicilan ke masing - masing file cicilan per bank (14 bank).</t>
    </r>
  </si>
  <si>
    <t>Penghematan waktu penginputan data cicilan ke database installment (14 bank - 60 email per hari) sebesar 44,44%</t>
  </si>
  <si>
    <t>Membuat langkah - langkah proses pembuatan database installment report dan cancel installment.</t>
  </si>
  <si>
    <t>Waktu pengerjaan kurang efisien karena banyak time delay saat membuka dan save file.</t>
  </si>
  <si>
    <t>Sosialisasi proses pembuatan report yang baru ke seluruh anggota tim RM.</t>
  </si>
  <si>
    <t>Unknown User (peter.m.leonardy)</t>
  </si>
  <si>
    <t>Proses pembuatan report dan pengiriman pembatalan cicilan ke bank (14 bank) membutuhkan waktu rata - rata 103 menit.</t>
  </si>
  <si>
    <t>Penghematan waktu proses pembuatan report dan pengiriman pembatalan cicilan ke bank (14 bank) sebesar 51,46 %.</t>
  </si>
  <si>
    <t>Unknown User (stevie.prayudi)</t>
  </si>
  <si>
    <r>
      <t xml:space="preserve">data </t>
    </r>
    <r>
      <rPr>
        <b/>
        <sz val="12"/>
        <color theme="1"/>
        <rFont val="Times New Roman"/>
        <family val="1"/>
      </rPr>
      <t>pembatalan cicilan juga</t>
    </r>
    <r>
      <rPr>
        <sz val="12"/>
        <color theme="1"/>
        <rFont val="Times New Roman"/>
        <family val="1"/>
      </rPr>
      <t xml:space="preserve"> cukup diupdate di 1 file induk dan menggunakan query table untuk update data cicilan ke masing - masing file cicilan per bank (14 bank).</t>
    </r>
  </si>
  <si>
    <t>FPC After Kaizen Periode 2.xlsx</t>
  </si>
  <si>
    <t>File</t>
  </si>
  <si>
    <t>FPC Before Kaizen Periode 2_RM.xlsx</t>
  </si>
  <si>
    <t>FPC After Kaizen Periode 2_RM.xlsx</t>
  </si>
  <si>
    <t>Unknown User (endang.cendaningrum)</t>
  </si>
  <si>
    <t>Efisiensi proses inbound dan Eliminasi waste pada proses admin QC</t>
  </si>
  <si>
    <t>1. Beberapa proses Inbound CR (serah terima, listing, distribute dan QC barang) memakan waktu yang cukup lama.</t>
  </si>
  <si>
    <t>1. Proses serah terima barang dengan logistik memakan waktu sekitar 15-30 menit setiap logisticnya. Rata-rata admin QC melakukan proses serah terima sebanyak 10-15 kali dalam sehari.</t>
  </si>
  <si>
    <t>Mempercepat proses inbound dan menghilangkan proses tambahan yang dilakukan admin QC sehingga proses serah terima barang masuk, listing, distribute dan QC barang menjadi teratur, efisien dan tepat waktu</t>
  </si>
  <si>
    <r>
      <t>1.</t>
    </r>
    <r>
      <rPr>
        <sz val="7"/>
        <color theme="1"/>
        <rFont val="Times New Roman"/>
        <family val="1"/>
      </rPr>
      <t xml:space="preserve">     </t>
    </r>
    <r>
      <rPr>
        <sz val="12"/>
        <color theme="1"/>
        <rFont val="Times New Roman"/>
        <family val="1"/>
      </rPr>
      <t>Saat proses serah terima, admin QC harus menandatangani resi secara manual, ditambah membuka lembaran baru dan membaca alamat tujuan barang untuk memastikan produk yang diterima sudah sesuai alamatnya. Selain itu, admin juga menemui customer, dan waktu yang dihabiskan tidak menentu, rata-rata 15-30 menit per customer.</t>
    </r>
  </si>
  <si>
    <r>
      <t>Proses Inbound:</t>
    </r>
    <r>
      <rPr>
        <sz val="12"/>
        <color theme="1"/>
        <rFont val="Times New Roman"/>
        <family val="1"/>
      </rPr>
      <t xml:space="preserve"> Tandatangan e-connote bukti serah terima barang satu-persatu, akan diganti dengan:dengan Cap untuk mempercepat</t>
    </r>
  </si>
  <si>
    <t>Proses Outbound</t>
  </si>
  <si>
    <t>1. Sosialisasi mengenai adanya perubahan proses serah terima barang : mengubah proses tanda tangan manual menjadi stempel cap "Inbound CR".</t>
  </si>
  <si>
    <t>2. Proses tersebut juga terhambat karena adanya "proses tambahan" yang dilakukan admin QC</t>
  </si>
  <si>
    <t>2. Proses listing barang terhambat karena informasi data customer pada produk yang diterima tidak lengkap. Pengerjaan listing adalah 30 detik per barang, dan rata-rata produk yang dilisting sebanyak 70-100 barang dalam sehari.</t>
  </si>
  <si>
    <r>
      <t>Proses Listing:</t>
    </r>
    <r>
      <rPr>
        <sz val="12"/>
        <color theme="1"/>
        <rFont val="Times New Roman"/>
        <family val="1"/>
      </rPr>
      <t xml:space="preserve"> </t>
    </r>
  </si>
  <si>
    <t>2. Meningkatkan sosialisasi (via email dan saat stand up meeting) mengenai :</t>
  </si>
  <si>
    <t>Joudy Arifin</t>
  </si>
  <si>
    <t>3. Admin QC mengerjakan pekerjaan di luar proses inbound yaitu serah terima produk ke logistic ADX, J&amp;T dan JNE, dimana produk tersebut akan dikirim ke Merchant atau customer (proses outbond).</t>
  </si>
  <si>
    <t>Efisiensi pada saat login JIRA dengan cara: Bookmark link web dan save password</t>
  </si>
  <si>
    <t>- SOP caller, yaitu untuk selalu menginformasikan kepada customer supaya menempelkan sticker pengembalian produk saat mengirimkan produk ke blibli.</t>
  </si>
  <si>
    <t>Aktivitas yang dilakukan admin QC hanya membantu membawa produk dan mengawasi berjalannya proses serah terima antara Admin outbond dengan logistic.</t>
  </si>
  <si>
    <r>
      <t>2.</t>
    </r>
    <r>
      <rPr>
        <sz val="7"/>
        <color theme="1"/>
        <rFont val="Times New Roman"/>
        <family val="1"/>
      </rPr>
      <t xml:space="preserve">     </t>
    </r>
    <r>
      <rPr>
        <sz val="12"/>
        <color theme="1"/>
        <rFont val="Times New Roman"/>
        <family val="1"/>
      </rPr>
      <t>Saat proses listing, admin harus mencari informasi data customer, dan jika datanya tidak valid atau tidak ditemukan, admin harus mencarinya di JIRA dan IDV</t>
    </r>
  </si>
  <si>
    <t>Efisiensi pada proses pembukaan file excel: buat shortcut pada desktop</t>
  </si>
  <si>
    <t>- SOP follow up team, yaitu untuk selalu menuliskan nama, jumlah dan jenis produk saat menjadwalkan pengiriman ke customer</t>
  </si>
  <si>
    <t>Dina Anggraini</t>
  </si>
  <si>
    <t>Rata-rata waktu yang dibutuhkan adalah 20-30 menit untuk setiap logistic</t>
  </si>
  <si>
    <t>Efisiensi penulisan tanggal pada list excel:</t>
  </si>
  <si>
    <t>3. Sosialisasi mengenai Proses serah terima akan dilimpahkan sepenuhnya kepada admin penjadwalan</t>
  </si>
  <si>
    <t>.</t>
  </si>
  <si>
    <t>Copy/paste dari awal sampai barang terakhir yang datang (jika sama)</t>
  </si>
  <si>
    <t>Yuni Widiasih</t>
  </si>
  <si>
    <t>4. Proses yang dilakukan admin QC saat mencari produk untuk diserahterimakan ke logistic dapat berjalan lama jika informasi list dari admin outbond tidak lengkap.</t>
  </si>
  <si>
    <t>Membuka IDV untuk mencari informasi order id, jika nomor order tidak ditemukan pada produk</t>
  </si>
  <si>
    <r>
      <t>3.</t>
    </r>
    <r>
      <rPr>
        <sz val="7"/>
        <color theme="1"/>
        <rFont val="Times New Roman"/>
        <family val="1"/>
      </rPr>
      <t xml:space="preserve">     </t>
    </r>
    <r>
      <rPr>
        <sz val="12"/>
        <color theme="1"/>
        <rFont val="Times New Roman"/>
        <family val="1"/>
      </rPr>
      <t>Admin QC tidak hanya mengerjakan main jobnya, namun mengerjakan proses tambahan yaitu mencari dan menyiapkan barang untuk diserahterimakan ke logistik ADX, J&amp;T dan JNE.</t>
    </r>
  </si>
  <si>
    <t>Membuka report J&amp;T untuk mencari informasi AWB dan nomor order</t>
  </si>
  <si>
    <t>Mencari nama produk di Jira jika benar-benar tidak ada keterangan nama barang</t>
  </si>
  <si>
    <r>
      <t>4.</t>
    </r>
    <r>
      <rPr>
        <sz val="7"/>
        <color theme="1"/>
        <rFont val="Times New Roman"/>
        <family val="1"/>
      </rPr>
      <t xml:space="preserve">     </t>
    </r>
    <r>
      <rPr>
        <sz val="12"/>
        <color theme="1"/>
        <rFont val="Times New Roman"/>
        <family val="1"/>
      </rPr>
      <t>Admin QC harus mencari di beberapa rak untuk mendapatkan list produk yang akan dikirimkan ke customer.</t>
    </r>
  </si>
  <si>
    <t xml:space="preserve">Proses Outbound: </t>
  </si>
  <si>
    <t>Hal ini membuat proses listing, distribute dan QC barang menjadi terhambat.</t>
  </si>
  <si>
    <t>Proses serah terima akan dilimpahkan sepenuhnya kepada admin penjadwalan</t>
  </si>
  <si>
    <t>Annissa Meuthia Kasih Daulay</t>
  </si>
  <si>
    <t>Penerapan 5R Pada Meja Kerja Tim CR.</t>
  </si>
  <si>
    <t>1. Sulit menemukan barang karena tempat penyimpanan yang tidak jelas dan tidak rapi.</t>
  </si>
  <si>
    <t>1. Mencari buku/kertas/pulpen 1-3 menit. Terutama pulpen, tidak jarang akhirnya meminjam pulpen milik teman terdekat.</t>
  </si>
  <si>
    <t>1. Tidak ada lagi kegiatan mencari-cari barang yang tidak diketahui keberadaannya karena meja yang penuh dan berantakan.</t>
  </si>
  <si>
    <t>1. Kondisi meja yang berantakan dan kurang mendukung mood dalam bekerja</t>
  </si>
  <si>
    <t>1. Memindahkan barang yang ada di atas meja ke dalam laci.</t>
  </si>
  <si>
    <t>Data After Improvement</t>
  </si>
  <si>
    <t>Menetapkan aturan mengenai barang-barang yang boleh dan tidak boleh ditaruh di atas meja. </t>
  </si>
  <si>
    <t>2. Meja menjadi penuh dan tidak jarang ada sisa makanan yang mengundang serangga.</t>
  </si>
  <si>
    <t>2. Rata-rata ada 20 barang di atas meja.</t>
  </si>
  <si>
    <t>2. Meja kerja yang rapi dan bersih.</t>
  </si>
  <si>
    <t>2. sampah yang dikumpulkan dahulu hingga menumpuk di meja</t>
  </si>
  <si>
    <t>2. Merapikan laci.</t>
  </si>
  <si>
    <t>Sosialisasi aturan tersebut ke anggota tim CR.</t>
  </si>
  <si>
    <t>Unknown User (linda.rachmawati)</t>
  </si>
  <si>
    <t>3. Sampah menumpuk karena tempat sampah jauh.</t>
  </si>
  <si>
    <t>3. Tidak ada tempat sampah di setiap meja. Ke tempat sampah terdekat memerlukan 20-30 langkah (sekitar 30s, bolak balik menjadi 60s).</t>
  </si>
  <si>
    <t>3. Tidak ada lagi sampah berserakan.</t>
  </si>
  <si>
    <t>3. makanan yang berserakan di meja mengundang serangga</t>
  </si>
  <si>
    <t xml:space="preserve">3. Meletakkan tempat sampah. </t>
  </si>
  <si>
    <t>PROSES</t>
  </si>
  <si>
    <t>BEFORE</t>
  </si>
  <si>
    <t>AFTER</t>
  </si>
  <si>
    <t>DIFFERENCE</t>
  </si>
  <si>
    <t>Menyediakan media pembuangan dan media penyimpanan (seperti bantex &amp; pemisah kertas untuk menyimpan dokumen), serta tempat sampah yang bisa dijangkau tanpa melakukan perpindahan tempat.</t>
  </si>
  <si>
    <t>4. letak tempat minum yang berantakan sehingga ketika teledor akan mengotori peralatan kerja</t>
  </si>
  <si>
    <t>4. Membuat aturan peletakkan barang-barang di laci dan meja. </t>
  </si>
  <si>
    <t>Operation</t>
  </si>
  <si>
    <t>Ruliansyah Maradona</t>
  </si>
  <si>
    <t>Inspection</t>
  </si>
  <si>
    <t>Delay</t>
  </si>
  <si>
    <t>Dewi Sukmawati</t>
  </si>
  <si>
    <t>Saras Kartika Dewi</t>
  </si>
  <si>
    <t>Standard Operating Procedure (SOP) Filing Customer Resolution</t>
  </si>
  <si>
    <t>1. Pencarian dokumen serah terima lama karena tempat penyimpan masih terpisah dibeberapa tempat</t>
  </si>
  <si>
    <t>1. Pada bantex belum dipisahkan berdasarkan tanggal sehingga dalam pencarian suatu berkas serah terima memakan waktu yang agak lama</t>
  </si>
  <si>
    <t>1. Berkas serah terima dan penjadwalan menjadi lebih rapi dan tersusun</t>
  </si>
  <si>
    <t>Mengumpulkan seluruh berkas dan merapikannya ke dalam Bantex serta dipisahkan berdasarkan tanggal</t>
  </si>
  <si>
    <t>Jarak antara lemari penyimpanan dan meja admin pada awalnya 20 langkah saat ini menjadi 6 langkah</t>
  </si>
  <si>
    <t>1. Membuat SOP terkait filing document yang ada pada TIM CR</t>
  </si>
  <si>
    <t>Memindahkan lemari penyimpanan bantex ke posisi terdekat dengan lokasi Admin</t>
  </si>
  <si>
    <t>Penyimpanan form service menggunakan 2 bantex khusus yang akan dipisah per nama merk produk</t>
  </si>
  <si>
    <t>2. Meningkatkan awareness Admin penjadwalan terhadap filing semua berkas penjadwalan TIM CR (mengingatkan Admin agar selalu menempatkan dokumen / form pada tempat yang sesuai)</t>
  </si>
  <si>
    <t>Arifiana Oktavia</t>
  </si>
  <si>
    <t>2. Filing form product service memakan banyak space, yaitu menggunakan 4 laci sekaligus padahal from tidak terlalu banyak</t>
  </si>
  <si>
    <t>2. Penggunaan space untuk menyimpan form product service saat ini 4 laci (1 laci terdiri dari 3 tingkat)</t>
  </si>
  <si>
    <t>2. Pencarian berkas penjadwalan menjadi lebih cepat</t>
  </si>
  <si>
    <t>1. Waktu yang diperlukan untuk mencari sebuah berkas serah terima masih lama karena admin harus melihat/membuka satu persatu kertas yang ada pada bantex, penempatan berkas yang masih tidak dalam 1 tempat juga membuka waktu dalam mencari berkas menjadi lebih lama dan letak tempat penyimpanan juga agak jauh dari tempat duduk admin</t>
  </si>
  <si>
    <t>3. Menyediakan media penyimpanan seperti bantex dan pemisah kertas untuk menjadikan proses filing lebih rapi dan tertata</t>
  </si>
  <si>
    <t>2. Saat ada berkas serah terima baru tidak langsung ditempatkan didalam bantex sehingga masih banyak kertas yang berada di atas meja</t>
  </si>
  <si>
    <r>
      <t>§</t>
    </r>
    <r>
      <rPr>
        <sz val="7"/>
        <color theme="1"/>
        <rFont val="Times New Roman"/>
        <family val="1"/>
      </rPr>
      <t xml:space="preserve">  </t>
    </r>
    <r>
      <rPr>
        <sz val="12"/>
        <color theme="1"/>
        <rFont val="Times New Roman"/>
        <family val="1"/>
      </rPr>
      <t>Menentukan batas waktu penyimpanan berkas lama yaitu selama 1 Tahun</t>
    </r>
  </si>
  <si>
    <t>File After</t>
  </si>
  <si>
    <t>Ridwan Handoko</t>
  </si>
  <si>
    <t>3. Filing resi penjadwalan JNE tidak efisien space nya (ada di 2 lokasi)</t>
  </si>
  <si>
    <t>3. Saat ini jarak antara lemari penyimpanan bantex dengan tempat duduk admin sekitar 18 langkah</t>
  </si>
  <si>
    <t>3. Penggunaan banyak laci dan meja untuk menyimpan kertas dapat diminimalisir</t>
  </si>
  <si>
    <r>
      <t>§</t>
    </r>
    <r>
      <rPr>
        <sz val="7"/>
        <color theme="1"/>
        <rFont val="Times New Roman"/>
        <family val="1"/>
      </rPr>
      <t xml:space="preserve">  </t>
    </r>
    <r>
      <rPr>
        <sz val="12"/>
        <color theme="1"/>
        <rFont val="Times New Roman"/>
        <family val="1"/>
      </rPr>
      <t>Tidak ada lagi penggunaan meja dan laci kerja untuk menaruh berkas dan bantex</t>
    </r>
  </si>
  <si>
    <t>PDCA Report (A4)-II CR.xlsx</t>
  </si>
  <si>
    <t>Mahpudin Mahpudin</t>
  </si>
  <si>
    <t>4. Rak/Lemari penyimpanan bantex jaraknya agak jauh dari tempat duduk Admin</t>
  </si>
  <si>
    <t>4. Saat ini dokumen penjadwalan terlama yang masih disimpan berkisar antara 1 tahun kebelakang</t>
  </si>
  <si>
    <t>4. Tidak ada laci bantex yang berada diatas meja karena lemari penyimpanan sudah dekat dengan tempat admin sehingga semua bantex dapat dimasukkan kedalam lemari dan menjadi lebih rapi</t>
  </si>
  <si>
    <t>Unknown User (deniza.anggia)</t>
  </si>
  <si>
    <t>5. Jangka waktu penyimpanan berkas serah terima/penjadwalan belum ada ketentuan waktu penyimpanannya</t>
  </si>
  <si>
    <t>Bryant Mandrawa</t>
  </si>
  <si>
    <t>Offline database system changes</t>
  </si>
  <si>
    <t>1. Pencatatan database offline sales selama ini menggunakan excel, dan kesulitan untuk 2 user / lebih untuk meng-update file excel yang sama.</t>
  </si>
  <si>
    <t>1. Durasi SCM Dev membuat DO manual ialah 86 detik untuk 1 SKU, dan 133 detik untuk 5 SKU</t>
  </si>
  <si>
    <t>1. Dengan dialihkannya admisistrasi offline proses dari Mc.Excel ke Ms.Access, diharapkan dapat memangkas proses loading yang terjadi di Ms.Excel yg terlampau lama. Waktu kerja-pun akan jauh lebih efisien.</t>
  </si>
  <si>
    <t>1. Saat ini untuk semua laporan masih menggunakan Ms. Excel dan belum terinstall Ms. Acces untuk pembuatan progam ini, dan harus mempelajari proses pembuatannya, agar program bisa berjalan sempurna.</t>
  </si>
  <si>
    <t>1. Membuat 1 database dengan menggabungkan semua file pencatatan order offline, database ini dibuat menggunakan Ms. Access.</t>
  </si>
  <si>
    <t>1. Setelah dilakukannya Kaizen, penghematan waktu print DO mencapai  113 detik atau 39%.</t>
  </si>
  <si>
    <t> 1. Berpindah dari Ms.Excel ke Ms.Access dan membuat 1 database dengan menggabungkan semua file pencatatan order offline dari team Merchant(MCT) dan BusDev(B2B).</t>
  </si>
  <si>
    <t>2. Delivery Order manual biasa dibuat dengan file excel, yang memakan waktu cukup lama dalam pembuatannya.</t>
  </si>
  <si>
    <t>2. Pembuatan Do Manual menggunakan Ms. Excel memakan waktu 86 detik untuk 1 SKU dan 133 detik untuk 5 SKU, dengan dibuatnya program dengan Ms. Access waktu yang digunakan jauh lebih cepat.</t>
  </si>
  <si>
    <t>Adam Kris</t>
  </si>
  <si>
    <t>Unknown User (lindo.h.sandi)</t>
  </si>
  <si>
    <t>Nova Permatasari</t>
  </si>
  <si>
    <t>Efisiensi proses pembuatan report order warehouse &amp; merchant belum pilih PU</t>
  </si>
  <si>
    <t>Pembuatan report warehouse &amp; merchant belum pilih PU membutuhkan waktu yang lama dan berulang</t>
  </si>
  <si>
    <t>Rata-rata pembuatan report order whs belum pilih PU adalah 50 menit 3 detik /hari</t>
  </si>
  <si>
    <t>Mempercepat rata-rata pembuatan report order whs &amp; merchant belum pilih PU adalah 45 menit/hari</t>
  </si>
  <si>
    <t>Pembuatan report warehouse &amp; merchant belum pilih PU membutuhkan waktu yang lama dan berulang :</t>
  </si>
  <si>
    <t>Menggabungkan report warehouse &amp; merchant belum pilih PU</t>
  </si>
  <si>
    <t>Penghematan waktu (before vs after) sebesar 58,9% (konsumsi waktu turun dari 4,681 detik menjadi 2,756 detik</t>
  </si>
  <si>
    <t>Pengerjaan report warehouse dan merchant belum pilih PU dilakukan hanya 1 kali oleh 1 operator saja</t>
  </si>
  <si>
    <t>Format dan informasi yg ada di report belum seluruhnya sesuai dengan kebutuhan tim Asmer dan BR</t>
  </si>
  <si>
    <t>Rata-rata pembuatan report order merchant belum pilih PU adalah 27 menit 58 detik/hari</t>
  </si>
  <si>
    <t>Meningkatkan kepuasan Asmer dan BR dimana format report lebih sesuai dengan kebutuhan</t>
  </si>
  <si>
    <t>&gt; Proses pengerjaan kedua  </t>
  </si>
  <si>
    <t>Membuat macro untuk mempercepat proses pengolahan data</t>
  </si>
  <si>
    <t>Pencapaian target vs after sebesar 98% (2,700 detik vs 2,756 detik)</t>
  </si>
  <si>
    <t>Proses pengolahan data lebih cepat dengan bantuan excel macro</t>
  </si>
  <si>
    <t>Leonardus Andrean</t>
  </si>
  <si>
    <t>Informasi dan format report belum sesuai dengan kebutuhan Asmer dan BR</t>
  </si>
  <si>
    <t>report tsb dilakukan secara</t>
  </si>
  <si>
    <t>Menyesuaikan informasi yang terdapat di dalam report sesuai kebutuhan Asmer &amp; BR</t>
  </si>
  <si>
    <t>Informasi dan format report lebih sesuai dengan kebutuhan user (Asmer &amp; BR)</t>
  </si>
  <si>
    <t>terpisah walaupun memiliki</t>
  </si>
  <si>
    <t>Komunikasi yang dilakukan (via surel) lebih efisien (tidak terlalu banyak email yg dikirim ke user)</t>
  </si>
  <si>
    <t>Susanti Agustina Marpaung</t>
  </si>
  <si>
    <t>proses pengerjaan dan kebutuhan</t>
  </si>
  <si>
    <t>data yg sebagian besar sama</t>
  </si>
  <si>
    <t>Mahfira Amalia</t>
  </si>
  <si>
    <t>Format dan informasi yg ada di report belum seluruhnya sesuai dengan kebutuhan tim Asmer dan BR :</t>
  </si>
  <si>
    <t>&gt; Format report belum di update</t>
  </si>
  <si>
    <t>sesuai dengan perkembangan</t>
  </si>
  <si>
    <t>kebutuhan yang ada saat ini</t>
  </si>
  <si>
    <t>(belum ada koordinasi kembali</t>
  </si>
  <si>
    <t>antara tim Whs, tim Trade, dengan</t>
  </si>
  <si>
    <t>tim Distribusi)</t>
  </si>
  <si>
    <t>Dhamaswara</t>
  </si>
  <si>
    <t>JIRA response time</t>
  </si>
  <si>
    <t>Response time JIRA fleet management sangat bervariasi, beberapa ditanggapi dengan cepat namun beberapa lainnya lambat</t>
  </si>
  <si>
    <r>
      <t>·</t>
    </r>
    <r>
      <rPr>
        <sz val="7"/>
        <color theme="1"/>
        <rFont val="Times New Roman"/>
        <family val="1"/>
      </rPr>
      <t xml:space="preserve">       </t>
    </r>
    <r>
      <rPr>
        <sz val="12"/>
        <color theme="1"/>
        <rFont val="Times New Roman"/>
        <family val="1"/>
      </rPr>
      <t> </t>
    </r>
  </si>
  <si>
    <t>Membuat Max Response Time menjadi 10 jam 30 menit. </t>
  </si>
  <si>
    <t>Admin BES akan memeriksa JIRA setiap 2 jam</t>
  </si>
  <si>
    <t>Rata-rata Response Time JIRA adalah 3 jam 40 menit</t>
  </si>
  <si>
    <t>Melanjutkan proses implementasi yang telah dilakukan untuk memeriksa JIRA setidaknya tiap 2 jam</t>
  </si>
  <si>
    <t>Beberapa JIRA tidak direspon sama sekali</t>
  </si>
  <si>
    <t>Rata-rata response time menjadi 4 jam</t>
  </si>
  <si>
    <t>Admin BES akan memeriksa case yang baru ter-assigned dan juga case yang perlu konfirmasi dari pihak lain</t>
  </si>
  <si>
    <t>Max Response Time JIRA adalah 47 jam 9 menit</t>
  </si>
  <si>
    <t>Menekankan kedisiplinan untuk memeriksa JIRA ketika alarm reminder berbunyi</t>
  </si>
  <si>
    <t>Refa Siregar</t>
  </si>
  <si>
    <t>improvement</t>
  </si>
  <si>
    <t>Rata-rata Response Time JIRA adalah 7 jam 58 menit</t>
  </si>
  <si>
    <t>1.  </t>
  </si>
  <si>
    <t>Penurunan waktu yang dibutuhkan sebesar 54 %</t>
  </si>
  <si>
    <t>Max Response Time JIRA adalah 249 jam 4 menit</t>
  </si>
  <si>
    <t>1. Faktor awarenes dari personal team</t>
  </si>
  <si>
    <t>Waktu respon 15.445 detik lebih cepat</t>
  </si>
  <si>
    <t>Unknown User (anton.basri)</t>
  </si>
  <si>
    <t>Data Flowchart :Kaizen 2 PDCA Report.xlsx</t>
  </si>
  <si>
    <t>Kaizen 1 PDCA Report as 19 Sept 2016.xlsx</t>
  </si>
  <si>
    <r>
      <t>2.</t>
    </r>
    <r>
      <rPr>
        <sz val="7"/>
        <color theme="1"/>
        <rFont val="Times New Roman"/>
        <family val="1"/>
      </rPr>
      <t xml:space="preserve">     </t>
    </r>
    <r>
      <rPr>
        <sz val="12"/>
        <color theme="1"/>
        <rFont val="Times New Roman"/>
        <family val="1"/>
      </rPr>
      <t>Faktor sense of taking charge</t>
    </r>
  </si>
  <si>
    <t>Intan Debora Sihombing</t>
  </si>
  <si>
    <t>3. Frekuensi pengecekan jira tidak baku</t>
  </si>
  <si>
    <t>4. Distraksi oleh pekerjaan lain</t>
  </si>
  <si>
    <t>1. Respon dilakukan hanya setelah mendapatkan informasi dari pihak yang berkaitan</t>
  </si>
  <si>
    <t>2. Kasus sudah terclose sebelum di tindalnjuti oleh team bes</t>
  </si>
  <si>
    <t>Own Cloud Reconciliation</t>
  </si>
  <si>
    <t>Data invoice memiliki ukuran file yang besar sehingga perlu dibagi ke dalam beberapa part.</t>
  </si>
  <si>
    <t>Durasi Proses download, Merapikan &amp; Menggabungkan File untuk Pengecekan Invoice membutuhkan waktu 213.27 detik atau 3.5 Menit</t>
  </si>
  <si>
    <t>Mempercepat proses download, Merapikan &amp; Menggabungkan File untuk Pengecekan Invoice hingga 50%.</t>
  </si>
  <si>
    <t>Aplikasi Email tidak mendukung untuk menerima dan mengirimkan data invoice dalam ukuran besar.</t>
  </si>
  <si>
    <t>Penggunaan Own Cloud sehingga proses rekonsiliasi menjadi lebih efisien dan efektif</t>
  </si>
  <si>
    <t>Durasi Proses download dan Merapikan File untuk Pengecekan Invoice menghemat waktu 78% dimana proses menggabungkan tidak lagi dilakukan.</t>
  </si>
  <si>
    <t>Dengan improvement ini, baru kami implementasikan ke 3PL : JNE, Primatama, dan NEX Logistik. Action selanjutnya adalah kami akan mengimplementasikan improvement ini ke semua 3PL.</t>
  </si>
  <si>
    <t>Quota email tiap anggota recon menjadi penuh karena masing-masing anggota menyimpan Data Invoice yang sama dengan ukuran yang besar.</t>
  </si>
  <si>
    <t>Ukuran file yang di back up oleh masing-masing Tim Recon untuk Invoice JNE Reg adalah 5MB, sehingga Total Kapasitas yang dibutuhkan oleh tim Recon untuk menyimpan 1 File adalah 25Mb</t>
  </si>
  <si>
    <t>Menghemat penggunaan drive D Tim Recon hingga 80%.</t>
  </si>
  <si>
    <t>Setiap Tim Recon harus menyimpan Attachment file dalam ukuran besar.</t>
  </si>
  <si>
    <t>Durasi Pemisahan File untuk feedback ke 3PL adalah 11.76 Menit</t>
  </si>
  <si>
    <t>Menghilangkan Proses Pemisahan File Hasil Pengecekan Invoice.</t>
  </si>
  <si>
    <t>Durasi Pengiriman Hasil Pengecekan Invoice ke JNE adalah 340.75 detik atau 5.6 Menit dan dalam 6 Part</t>
  </si>
  <si>
    <t>Mempercepat Proses Pengiriman Hasil Pengecekan Invoice ke 3PL hingga 90%.</t>
  </si>
  <si>
    <t>Lusyana Wijaya</t>
  </si>
  <si>
    <t>Proses</t>
  </si>
  <si>
    <t>Durasi (detik)</t>
  </si>
  <si>
    <t>Membuka email</t>
  </si>
  <si>
    <t>Membuka Data</t>
  </si>
  <si>
    <t>Merapikan Data</t>
  </si>
  <si>
    <t>Tim Recon hanya mem-back up email ukuran kecil karena file softcopy invoicenya berada di Own Cloud sehingga dapat menghemat 25 Mb</t>
  </si>
  <si>
    <t>Proses Pemisahan File tidak lagi dilakukan sehingga bisa menghemat 11.76 menit.</t>
  </si>
  <si>
    <t>Pengiriman Hasil Pengecekan Invoice ke JNE menghemat waktu 96.1%.</t>
  </si>
  <si>
    <t>Membuka Email Baru</t>
  </si>
  <si>
    <t>Mengetik Email untuk 3Pl</t>
  </si>
  <si>
    <t>Mengirim Data Hasil Pengecekan Softcopy Invoice ke 3PL</t>
  </si>
  <si>
    <t>Team I :</t>
  </si>
  <si>
    <t>Arrange Inbound supplier schedule</t>
  </si>
  <si>
    <t>Tidak adanya informasi yang fix  kapan kedatangan supplier</t>
  </si>
  <si>
    <r>
      <t>·</t>
    </r>
    <r>
      <rPr>
        <sz val="7"/>
        <color theme="1"/>
        <rFont val="Times New Roman"/>
        <family val="1"/>
      </rPr>
      <t xml:space="preserve">       </t>
    </r>
    <r>
      <rPr>
        <sz val="12"/>
        <color theme="1"/>
        <rFont val="Times New Roman"/>
        <family val="1"/>
      </rPr>
      <t> Untuk periode May - Jul 2016 didapatkan data :</t>
    </r>
  </si>
  <si>
    <t>Memeratakan jumlah kedatangan produk per hari</t>
  </si>
  <si>
    <t>Belum adanya koordinasi dengan suplier untuk schedule kedatangan barang</t>
  </si>
  <si>
    <t>Mendata nomor kontak supplier dan berkomunikasi langsung untuk arrange schedule pengiriman ke Batuceper</t>
  </si>
  <si>
    <t>Terdapat penurunan nilai max penerimaan dari 99.88% menjadi 90.94%. dan kenaikan nilai minimal dari 2.74% menjadi 9.06%</t>
  </si>
  <si>
    <t>a.Membuat SOP Pengaturan kedatangan Supplier</t>
  </si>
  <si>
    <t>Lamanya proses putaway dikarenakan harus mencari pallet dan empty location terlebih dahulu</t>
  </si>
  <si>
    <t>Reduce time untuk proses putaway</t>
  </si>
  <si>
    <t>Saat proses putaway, team putaway membutuhkan waktu lebih untuk mencari pallet dan lokasi tujuan yang kosong</t>
  </si>
  <si>
    <t>Koordinasi dengan team SC dalam meminta informasi area pallet atau storage yang kosong perharinya. Team SC akan prepare data H-1 di akhir shift,  Data area yang kosong perharinya akan di update di board atau secara soft copy ada di folder inbound guna setiap harinya admint putaway monitoring area mana yg kosong sehingga pada saat putaway lebih efisien dan efektif</t>
  </si>
  <si>
    <t>b. Menentukan Representative Admin untuk monitoring schedule kedatangan Supplier</t>
  </si>
  <si>
    <t>Ronny Ahmad Mutter</t>
  </si>
  <si>
    <t>Penerimaan Max = 133,278 Pcs/Hari (99,88%)</t>
  </si>
  <si>
    <t>c. Membuat Tracking Board kedatangan Supplier</t>
  </si>
  <si>
    <t>d. Membuat brosur/informasi tentang proses pengaturan kedatangan untuk dberikan ke Supplier</t>
  </si>
  <si>
    <t>Rommy Putra Gazali</t>
  </si>
  <si>
    <t>Penerimaan Min = 1,902 Pcs/hari (2,74%)</t>
  </si>
  <si>
    <t>Terjadi penurunan waktu proses Put-away dari 3:31 Jam (average May-Aug) menjadi 2:27 Jam</t>
  </si>
  <si>
    <t>a. Revisi SOP proses putaway</t>
  </si>
  <si>
    <t>Piping Christiawan</t>
  </si>
  <si>
    <t>Average = 17,898 Pcs / Hari</t>
  </si>
  <si>
    <t>b. Bekerjasama dengan divisi SC untuk data empty slot/pallet postion</t>
  </si>
  <si>
    <t>c. Revisi report inbound dan putaway untuk memonitoring hasil putaway</t>
  </si>
  <si>
    <t>Kaizen II - Arrange Inbound supplier schedule.v01.xlsx</t>
  </si>
  <si>
    <t>Untuk periode Jan -  Jul 2016 didapatkan data  proses putaway sebesar : 3:31 Jam</t>
  </si>
  <si>
    <t>Team II :</t>
  </si>
  <si>
    <t>Handling IR Assembly</t>
  </si>
  <si>
    <t>Selisih Cycle Count untuk produk bundling</t>
  </si>
  <si>
    <t>akurasi stock bundling bulan juli-agustus  (95.30% by SKU ) (99.40% by pcs )</t>
  </si>
  <si>
    <t>Meningkatkan akurasi stock bundling</t>
  </si>
  <si>
    <t>- tidak adanya pengecekan qt barang setelah proses IR ass</t>
  </si>
  <si>
    <t>setelah proses IR ass/Diss oleh picker akan ada pengecekan QT dan Fisik product  oleh tim SC untuk verifikasi </t>
  </si>
  <si>
    <t>akurasi stock bundling setelah kaizen ( 99.7% by sku ) ( 99,99% by pcs)</t>
  </si>
  <si>
    <t>menganalisa efektifitas kaizen proses IR bundling</t>
  </si>
  <si>
    <t>membuat SOP proses IR bundling dan melakukan sosialisasi</t>
  </si>
  <si>
    <t>Bambang Eko Rahardjo</t>
  </si>
  <si>
    <t>-picker salah picking IR assembly</t>
  </si>
  <si>
    <t>Tri S Wibowo</t>
  </si>
  <si>
    <t>DataAfterKaizen.xlsx</t>
  </si>
  <si>
    <t>Muhammad Rizki G</t>
  </si>
  <si>
    <t>Purnama</t>
  </si>
  <si>
    <t>File SC Bundling jul-agustus 2016 :</t>
  </si>
  <si>
    <t>scBundling.xlsx</t>
  </si>
  <si>
    <t>Sugeng Priyono, Edwin Irawan, Eko Wibowo, Ahmad Fauzi Ridwan, Kuswantoro</t>
  </si>
  <si>
    <t>Meningkatkan Efesiency  fulfilmen big product</t>
  </si>
  <si>
    <t>proses QC lama karena jauhnya jarak lokasi big prodcut dengan QC admin</t>
  </si>
  <si>
    <t>dapat mempercepat proses fulfil order big product dan lebih safety dalam penanganannya</t>
  </si>
  <si>
    <t>Jauhnya Lokasi Storage big Product dengan area QC admin</t>
  </si>
  <si>
    <t>Lakukan coaching picker untuk tidak membawa barang big product ke area admin QC outbound</t>
  </si>
  <si>
    <t>PDCA Report (A4) - Periode 02 - Agustus 2016b.bayu.xlsx</t>
  </si>
  <si>
    <t>- Pembuatan work instruction untuk proses barang big product</t>
  </si>
  <si>
    <t>sulitnya mencari barang yang telah di picking lokasi big product</t>
  </si>
  <si>
    <t>Meningkatkan komunikasi antara picker dan admin QC outbound dengan tagging big product</t>
  </si>
  <si>
    <t>- Melakukan coaching secara intensif </t>
  </si>
  <si>
    <t>harus menggunakan alat angkut seperti trolly ,handpallet atau forklif untuk proses fulfil big product dan butuh waku rata2 10 menit</t>
  </si>
  <si>
    <t>Membuat penanda khsusus untuk barang big product</t>
  </si>
  <si>
    <t>- Melakukan kontrol secara kontinyu</t>
  </si>
  <si>
    <t>membutuhkan waktu sekitar 3 menit untuk mencari product yang sudah di picking karena hanya di tandai dengan kranjang paicking</t>
  </si>
  <si>
    <t>Memberikan font barcode pada label big product</t>
  </si>
  <si>
    <t>PDCA Report (A4) - Periode 02 - Agustus 2016.xlsx</t>
  </si>
  <si>
    <t>SCM-WH Cawang I</t>
  </si>
  <si>
    <t>user-9e15b, Yudi Adnan, Riyanto Teguh Kukuh, Riki Desriyanto, Hendra Sita Maulana, Danar Wijiatmoko</t>
  </si>
  <si>
    <t>Standar Penumpukan dan Label Marking untuk Material Packaging (Standarisasi Stowage barang)</t>
  </si>
  <si>
    <t>Ketidak rapihan barang</t>
  </si>
  <si>
    <t>Mencari barang 14 menit rata-rata</t>
  </si>
  <si>
    <t>Tahu lokasi untuk tiap item barang dengan list yang ada</t>
  </si>
  <si>
    <t>Pengambilan material item yang sama tidak menghabiskan pallet yang sudah diambil tapi acak. sehingga banyak pallet dengan beda-beda jumlah.</t>
  </si>
  <si>
    <t>Setiap barang yang akan di storage, harus di susun rapi di atas pallets  ,di wrapping ,tempelkan Label ,Tulis Nama barang,Qty.No PO dan tanggal masuk, susunlah di lokasi area yang sudah di sediakan di sistem, berikan jalan ( Gan Away ) untuk mempermudah pada saat pengecekan dan pengitungan ulang.</t>
  </si>
  <si>
    <t>Dengan menghilangkan 4 problem di proses pencarian  barang, membuat waktu proses berkurang dari rata-rata 14 menit menjadi rata-rata 5 menit</t>
  </si>
  <si>
    <t>Membuat OPL Standarisasi Penumpukan Barang Dan Label Marking</t>
  </si>
  <si>
    <t>Kapasitas tidak maksimal</t>
  </si>
  <si>
    <t>Perlu 9 jam menghitung total barang</t>
  </si>
  <si>
    <t>Menghitung barang dalam 1 hari</t>
  </si>
  <si>
    <t>Tidak adanya standar label, tinggi, lokasi dan proses pengambilan material</t>
  </si>
  <si>
    <t>Tinggi tumpukan harus sama , agar tidak menghalangi pandangan pada saat proses SC</t>
  </si>
  <si>
    <t>Dengan menghilangkan 4 waste ini di proses SC membuat waktu proses berkurang sampai dengan 9 Jam menjadi 5.73 jam</t>
  </si>
  <si>
    <t>Monitoring operational  OPL secara kontinyu.</t>
  </si>
  <si>
    <t>Perlu waktu mencari barang yang dibutuhkan</t>
  </si>
  <si>
    <t>Ada standar jumlah setiap pallet</t>
  </si>
  <si>
    <t>Perlu banyak waktu untuk menghitung karena per pallet beda-beda jumlah</t>
  </si>
  <si>
    <t>Semua stock per item standar full pallet, pengambilan hanya diperbolehkan untuk 1 pallet saja sehingga yang tidak full pallet hanya 1 pallet.</t>
  </si>
  <si>
    <t>Seteven Chandra, Romayudin Romayudin, Unknown User (ferdhianto.ibnugroho), Udi Suardi, Rodons Toba Gabe Tua</t>
  </si>
  <si>
    <t>Penerapan 5S pada area kerja packer Tubun</t>
  </si>
  <si>
    <t>Terjadi penumpukkan, tidak tertata rapi, tidak siap pakai pada peralatan packer di area kerjanya sehingga mempengaruhi  proses packing menjadi tidak efisien</t>
  </si>
  <si>
    <t>Waktu Siklus sebesar 2 menit 56 detik/package untuk membungkus produk dengan kategori Fragile</t>
  </si>
  <si>
    <t>Peralatan packer yang telah dipilah sesuai jenis/fungsi, tertata rapi, siap pakai di area kerjanya sehingga proses packing menjadi lebih efisien dari sebelumnya</t>
  </si>
  <si>
    <t>1. belum dilakukan penataan peralatan dan area kerja packer</t>
  </si>
  <si>
    <t>1. Penataan peralatan dan area kerja packer</t>
  </si>
  <si>
    <t>Waktu Siklus sebesar 2 menit 33 detik/package untuk membungkus produk dengan kategori Fragile (selisih 23 detik/package).</t>
  </si>
  <si>
    <t xml:space="preserve">Pembuatan tempat penyimpanan peralatan packer </t>
  </si>
  <si>
    <t>Foto dan video selama proses packing produk kategori Fragile sebelum perbaikan</t>
  </si>
  <si>
    <t>2. belum dilakukan pemisahan alat sesuai jenis </t>
  </si>
  <si>
    <t>Foto dan video selama proses packing produk kategori Fragile sesudah perbaikan</t>
  </si>
  <si>
    <t>Sosialisasi dan penerapan kebiasaan 5S terhadap area kerja packer dalam "waktu 21 hari"</t>
  </si>
  <si>
    <r>
      <t>2.</t>
    </r>
    <r>
      <rPr>
        <sz val="7"/>
        <color theme="1"/>
        <rFont val="Times New Roman"/>
        <family val="1"/>
      </rPr>
      <t xml:space="preserve">     </t>
    </r>
    <r>
      <rPr>
        <sz val="12"/>
        <color theme="1"/>
        <rFont val="Times New Roman"/>
        <family val="1"/>
      </rPr>
      <t>Pemisahan alat sesuai jenis</t>
    </r>
  </si>
  <si>
    <r>
      <t>3.</t>
    </r>
    <r>
      <rPr>
        <sz val="7"/>
        <color theme="1"/>
        <rFont val="Times New Roman"/>
        <family val="1"/>
      </rPr>
      <t xml:space="preserve">     </t>
    </r>
    <r>
      <rPr>
        <sz val="12"/>
        <color theme="1"/>
        <rFont val="Times New Roman"/>
        <family val="1"/>
      </rPr>
      <t>belum ada tempat penyimpanan peralatan packer untuk menata kembali peralatan yang sudah dipakai</t>
    </r>
  </si>
  <si>
    <r>
      <t>3.</t>
    </r>
    <r>
      <rPr>
        <sz val="7"/>
        <color theme="1"/>
        <rFont val="Times New Roman"/>
        <family val="1"/>
      </rPr>
      <t xml:space="preserve">     </t>
    </r>
    <r>
      <rPr>
        <sz val="12"/>
        <color theme="1"/>
        <rFont val="Times New Roman"/>
        <family val="1"/>
      </rPr>
      <t>Penyimpanan peralatan packer setelah digunakan</t>
    </r>
  </si>
  <si>
    <r>
      <t>4.</t>
    </r>
    <r>
      <rPr>
        <sz val="7"/>
        <color theme="1"/>
        <rFont val="Times New Roman"/>
        <family val="1"/>
      </rPr>
      <t xml:space="preserve">     </t>
    </r>
    <r>
      <rPr>
        <sz val="12"/>
        <color theme="1"/>
        <rFont val="Times New Roman"/>
        <family val="1"/>
      </rPr>
      <t>packer yang tidak disiplin akan kerapian peralatannya</t>
    </r>
  </si>
  <si>
    <r>
      <t>4.</t>
    </r>
    <r>
      <rPr>
        <sz val="7"/>
        <color theme="1"/>
        <rFont val="Times New Roman"/>
        <family val="1"/>
      </rPr>
      <t xml:space="preserve">     </t>
    </r>
    <r>
      <rPr>
        <sz val="12"/>
        <color theme="1"/>
        <rFont val="Times New Roman"/>
        <family val="1"/>
      </rPr>
      <t>Packer yang tidak disiplin akan kerapian peralatannya akan diingatkan kembali</t>
    </r>
  </si>
  <si>
    <r>
      <t>5.</t>
    </r>
    <r>
      <rPr>
        <sz val="7"/>
        <color theme="1"/>
        <rFont val="Times New Roman"/>
        <family val="1"/>
      </rPr>
      <t xml:space="preserve">     </t>
    </r>
    <r>
      <rPr>
        <sz val="12"/>
        <color theme="1"/>
        <rFont val="Times New Roman"/>
        <family val="1"/>
      </rPr>
      <t>belum ada kebiasaan untuk memeriksa dan merapikan peralatan yang sudah dipakai</t>
    </r>
  </si>
  <si>
    <r>
      <t>5.</t>
    </r>
    <r>
      <rPr>
        <sz val="7"/>
        <color theme="1"/>
        <rFont val="Times New Roman"/>
        <family val="1"/>
      </rPr>
      <t xml:space="preserve">     </t>
    </r>
    <r>
      <rPr>
        <sz val="12"/>
        <color theme="1"/>
        <rFont val="Times New Roman"/>
        <family val="1"/>
      </rPr>
      <t>Sosialisasi pentingnya kerapian area kerja</t>
    </r>
  </si>
  <si>
    <t>Handoko Widodo, Ignacia Chiara, Chaiyren Olivia, Martinus Andry</t>
  </si>
  <si>
    <t>Penerapan Formula Automation untuk Penghitungan KPI Warehouse Fulfillment yang Lebih Akurat</t>
  </si>
  <si>
    <t>SLA Warehouse Fulfillment yang sedang berjalan tidak memotong non-operating hour. Perhitungan exluding tidak dijalankan dikarenakan memerlukan waktu yang sangat lama.</t>
  </si>
  <si>
    <t>Jika tidak menggunakan formula, setiap row (order item) memerlukan waktu lebih dari 5 menit untuk menghitung KPI excluding non-working hour</t>
  </si>
  <si>
    <t>Dengan adanya formula automation, tidak perlu melakukan perhitungan satu per satu, hanya perlu menggunakan template automation. Sehingga waktu pengerjaan hanya 5 menit untuk keseluruhan data.</t>
  </si>
  <si>
    <t>Waktu pengerjaan sangat lama dikarenakan operational time gudang yang tidak fixed. Alhasil harus menyesuaikan (tanggal/weekend/operational hour) untuk setiap order item yang diproses.</t>
  </si>
  <si>
    <r>
      <t xml:space="preserve">Dibuatnya </t>
    </r>
    <r>
      <rPr>
        <b/>
        <sz val="12"/>
        <color theme="1"/>
        <rFont val="Times New Roman"/>
        <family val="1"/>
      </rPr>
      <t>excel automation</t>
    </r>
    <r>
      <rPr>
        <sz val="12"/>
        <color theme="1"/>
        <rFont val="Times New Roman"/>
        <family val="1"/>
      </rPr>
      <t xml:space="preserve"> yang akan menghitung setiap timestamp secara langsung adjusting to the operational time.</t>
    </r>
  </si>
  <si>
    <t>Setelah adanya excel automation, sebelumnya diperlukan waktu 5 menit untuk mengerjakan 1 row (1 order item), sedangkan per hari kita perlu menghitung ribuan order time - maka tidak feasible untuk dilakukan perhari.</t>
  </si>
  <si>
    <t>Dengan improvement ini, ada juga keterbatasan, yaitu hanya bisa menghitung order item yang selisih antara 1 proses ke berikutnya hanya 1 hari. Maka yang dilakukan sekarang adalah menggunakan sistem sampling untuk semua order item yang bisa diproses dan waktu 1-2 hari.</t>
  </si>
  <si>
    <t>Sistem kita juga tidak memungkinkan untuk accomodate perubahan yang terlalu fluid, alhasil perhitungan KPI via system sering error.</t>
  </si>
  <si>
    <t>Secara pengerjaan hanya perlu insert (copy &amp; paste) column timestamp yang diperlukan dari report Jasper (Process Order Timestamp) dan adjust operational time if any change was made.</t>
  </si>
  <si>
    <t>Setelah adanya excel automation, waktu pengerjaan hanya memerlukan 10 menit untuk semua data order item setiap hari nya. Juga sudah feasible untuk menghitung secara daily.</t>
  </si>
  <si>
    <t>Action selanjutnya adalah untuk mengimrprove excel automation sehingga tidak lagi melakukan sampling namun dapat menghitung total keseluruhan data.</t>
  </si>
  <si>
    <t>Unknown User (arif.p.gunawan) Danang Limantoro Jeffry Setyawan Pribadi Yoga Pamungkas</t>
  </si>
  <si>
    <t>Efficiency Recapitulation Process for Material Packaging Stock &amp; Usage in all Blibli.com Warehouse.</t>
  </si>
  <si>
    <t>Proses rekapitulasi stock dan penggunaan material packaging membutuhkan waktu yang lama</t>
  </si>
  <si>
    <t>Untuk melakukan rekap stock dan penggunaan material packaging di semua gudang membutuhkan waktu 33.35 menit.</t>
  </si>
  <si>
    <t>Mempercepat proses rekap stock dan penggunaan material packaging di semua gudang</t>
  </si>
  <si>
    <t>Proses rekap stock dan penggunaan material packaging membutuhkan waktu yang lama, karena:</t>
  </si>
  <si>
    <t>Melakukan standarisasi format laporan tiap gudang</t>
  </si>
  <si>
    <t>Untuk melakukan rekap stock dan penggunaan material packaging di semua gudang membutuhkan waktu 13.23 menit.</t>
  </si>
  <si>
    <t>Follow up standarisasi format excel ke setiap gudang</t>
  </si>
  <si>
    <t>Melakukan standarisasi format laporan rekap</t>
  </si>
  <si>
    <t>Melakukan kaizen untuk efisiensi pengecekan sisa PO dari vendor.</t>
  </si>
  <si>
    <t>Format laporan yang dikirimkan setiap gudang berbeda</t>
  </si>
  <si>
    <t>Melakukan pembuatan template laporan rekap.</t>
  </si>
  <si>
    <t>Format laporan Rekapan dan laporan gudang berbeda</t>
  </si>
  <si>
    <t>Pemindahan data  dari file Laporan Gudang ke File Rekapan masih manual (mengetik).</t>
  </si>
  <si>
    <t>PDCA Report (A4) PIR II.xlsx</t>
  </si>
  <si>
    <t>Lampiran</t>
  </si>
  <si>
    <t>(File excel)</t>
  </si>
  <si>
    <t>Due Date</t>
  </si>
  <si>
    <t>7 Okt 16</t>
  </si>
  <si>
    <t>12 Okt 16</t>
  </si>
  <si>
    <t>17 Okt 16</t>
  </si>
  <si>
    <t>20 Okt 16</t>
  </si>
  <si>
    <t>Jiswel Eral</t>
  </si>
  <si>
    <t>Efisiensi waktu analysis case Complaint - Late PU berdasarkan comment JIRA</t>
  </si>
  <si>
    <r>
      <t>§</t>
    </r>
    <r>
      <rPr>
        <sz val="7"/>
        <color theme="1"/>
        <rFont val="Times New Roman"/>
        <family val="1"/>
      </rPr>
      <t xml:space="preserve">  </t>
    </r>
    <r>
      <rPr>
        <sz val="12"/>
        <color theme="1"/>
        <rFont val="Times New Roman"/>
        <family val="1"/>
      </rPr>
      <t>Komplain Late PU menjadi salah satu top 3 complaint (25,5 % based on</t>
    </r>
  </si>
  <si>
    <r>
      <t>·</t>
    </r>
    <r>
      <rPr>
        <sz val="7"/>
        <color theme="1"/>
        <rFont val="Times New Roman"/>
        <family val="1"/>
      </rPr>
      <t xml:space="preserve">       </t>
    </r>
    <r>
      <rPr>
        <sz val="12"/>
        <color theme="1"/>
        <rFont val="Times New Roman"/>
        <family val="1"/>
      </rPr>
      <t>Probing agent yang kurang sistematis dikarenakan penulisan comment</t>
    </r>
  </si>
  <si>
    <t>Informasi sudah tersedia secara jelas di comment JIRA sehingga bisa tersampaikan</t>
  </si>
  <si>
    <t>Menentukan priority komplain case keterlambatan pick up, case open based on top 3 complaint</t>
  </si>
  <si>
    <t>Pengerjaan rata - rata case dari open sampai close adalah 2 hari 19 jam 10 menit, jadi ada penghematan 6 jam 47 menit</t>
  </si>
  <si>
    <t>Sosialisasi penginputan comment ke CS agent</t>
  </si>
  <si>
    <t>Alvin Juliansyah</t>
  </si>
  <si>
    <t>KPI Daily)</t>
  </si>
  <si>
    <t>sebelumnya yang kurang jelas</t>
  </si>
  <si>
    <t>dengan lengkap ke customer, CS tidak perlu melakukan hold yang cukup lama untuk</t>
  </si>
  <si>
    <t>Memberikan hashtag #maxddmmyy di comment laporan untuk customer yang masih bersedia menunggu prosesnya</t>
  </si>
  <si>
    <t>FPC After CS Team.xlsx </t>
  </si>
  <si>
    <t>Deni Widendra</t>
  </si>
  <si>
    <t>memberikan solusi</t>
  </si>
  <si>
    <t>Tidak ada ketentuan dalam pengisian comment di JIRA</t>
  </si>
  <si>
    <t>Mempermudah analisa case berdasarkan penulisan comment di JIRA dengan format bullet numbering</t>
  </si>
  <si>
    <t>Dearni Dearni </t>
  </si>
  <si>
    <r>
      <t>§</t>
    </r>
    <r>
      <rPr>
        <sz val="7"/>
        <color theme="1"/>
        <rFont val="Times New Roman"/>
        <family val="1"/>
      </rPr>
      <t xml:space="preserve">  </t>
    </r>
    <r>
      <rPr>
        <sz val="12"/>
        <color theme="1"/>
        <rFont val="Times New Roman"/>
        <family val="1"/>
      </rPr>
      <t>Penulisan comment di laporan JIRA masih kurang representatif</t>
    </r>
  </si>
  <si>
    <r>
      <t>·</t>
    </r>
    <r>
      <rPr>
        <sz val="7"/>
        <color theme="1"/>
        <rFont val="Times New Roman"/>
        <family val="1"/>
      </rPr>
      <t xml:space="preserve">       </t>
    </r>
    <r>
      <rPr>
        <sz val="12"/>
        <color theme="1"/>
        <rFont val="Times New Roman"/>
        <family val="1"/>
      </rPr>
      <t>Delay case closed karena pengulangan probing ke customer dan customer</t>
    </r>
  </si>
  <si>
    <t>Analisa case berdasarkan comment membutuhkan waktu yang lama</t>
  </si>
  <si>
    <t>dijanjikan update laporannya segera</t>
  </si>
  <si>
    <t>First Call Resolution</t>
  </si>
  <si>
    <t>Adanya pengulangan probing yang dilakukan Back End Management karena agent inbound tidak lengkapi di comment</t>
  </si>
  <si>
    <t xml:space="preserve">Cust : </t>
  </si>
  <si>
    <r>
      <t>§</t>
    </r>
    <r>
      <rPr>
        <sz val="7"/>
        <color theme="1"/>
        <rFont val="Times New Roman"/>
        <family val="1"/>
      </rPr>
      <t xml:space="preserve">  </t>
    </r>
    <r>
      <rPr>
        <sz val="12"/>
        <color theme="1"/>
        <rFont val="Times New Roman"/>
        <family val="1"/>
      </rPr>
      <t>Delay case closed karena pengulangan probing ke customer dan customer</t>
    </r>
  </si>
  <si>
    <r>
      <t>·</t>
    </r>
    <r>
      <rPr>
        <sz val="7"/>
        <color theme="1"/>
        <rFont val="Times New Roman"/>
        <family val="1"/>
      </rPr>
      <t xml:space="preserve">       </t>
    </r>
    <r>
      <rPr>
        <sz val="12"/>
        <color theme="1"/>
        <rFont val="Times New Roman"/>
        <family val="1"/>
      </rPr>
      <t>Pengerjaan rata - rata case dari open sampai close adalah 4 hari 4 jam 5</t>
    </r>
  </si>
  <si>
    <t>ex</t>
  </si>
  <si>
    <t>menit</t>
  </si>
  <si>
    <t>CS :</t>
  </si>
  <si>
    <t>Eka Sriningsih</t>
  </si>
  <si>
    <t>FPC before (SQM) KAIZEN III.xlsx</t>
  </si>
  <si>
    <t>Efektivitas Rekap Performance CS</t>
  </si>
  <si>
    <t>'- Menghitung score rata-rata dari keseluruhan agent dan kategori temuan yang masih manual.</t>
  </si>
  <si>
    <t>'- Menghitung rata-rata score agent hanya bisa dilakukan pada sheet Score.</t>
  </si>
  <si>
    <t>Penarikan nilai dan perhitungan jumlah temuan otomatis muncul setelah dilakukan penginputan data dari hasil monitoring (memangkas 30% step dari proses sebelumnya)</t>
  </si>
  <si>
    <t>1. Banyaknya proses/step manual dalam melakukan pengolahan data.</t>
  </si>
  <si>
    <t>1. Meminimalisir pekerjaan secara manual.</t>
  </si>
  <si>
    <t>1. Mengurangi beberapa step dalam pengolahan data.</t>
  </si>
  <si>
    <t>Sosialisasi mengenai cara penginputan data kepada SQM</t>
  </si>
  <si>
    <t>' Terlalu banyak tahapan dalam menampilkan data performance agent.</t>
  </si>
  <si>
    <t>'- PIC melakukan perhitungan jumlah temuan dengan melakukan filter pada tiap-tiap kategori pada masing-masing channel (Call, Chat, Email dan Sosmed)</t>
  </si>
  <si>
    <t>2. Kemungkinan terjadinya kesalahan dalam perhitungan data cukup besar.</t>
  </si>
  <si>
    <t>2. Mengurangi kesalahan dalam penginputan nilai karena nilai yang akan diinput sudah menggunakan data validation.</t>
  </si>
  <si>
    <t>2. Data yang dihasilkan lebih akurat.</t>
  </si>
  <si>
    <t>Mei Fitria Handayani</t>
  </si>
  <si>
    <t>3. Mengurangi kesalahan dalam menghitung data karena data yang diinput langsung dicompare dengan sheet score dan sheet masing-masing channel</t>
  </si>
  <si>
    <t>Lita Adhitia</t>
  </si>
  <si>
    <t>Hendri Volta</t>
  </si>
  <si>
    <t>Elbert Lukman</t>
  </si>
  <si>
    <t>Mempercepat proses Word Analysis untuk data FIRC</t>
  </si>
  <si>
    <t>1. Analisa harus dilakukan dengan melihat customer inquiry trend dengan menggunakan keyword berdasarkan notes dari agent Customer Care. Mapping keyword untuk analisa data FIRC membutuhkan waktu yang lama. Terlebih jika data yang dianalisa berjumlah ribuan</t>
  </si>
  <si>
    <t>1. Analisa Data FIRC membutuhkan waktu sebesar 28734 detik atau 7 jam 58 menit</t>
  </si>
  <si>
    <t>Mengefisiensikan proses Word Analysis sebesar 25%</t>
  </si>
  <si>
    <t>Klasifikasi notes pada data FIRC dilakukan satu persatu sesuai dengan keyword yang diperoleh.</t>
  </si>
  <si>
    <t>1. Menggunakan Word Analyzer dengan fitur :</t>
  </si>
  <si>
    <t>1. Secara keseluruhan, proses analisa FIRC berkurang dari 28734 detik menjadi 5957 detik, atau berkurang 79,2 %</t>
  </si>
  <si>
    <t>1. Melakukan Improvement untuk similar keyword clustering</t>
  </si>
  <si>
    <t>-Word bank</t>
  </si>
  <si>
    <t>2. Menambah word bank untuk keyword pada macro</t>
  </si>
  <si>
    <t>-Keyword Mapping</t>
  </si>
  <si>
    <t>3. Install dan Sosialisasi penggunaan Macro WordCount untuk mapping keyword ke tim CXA</t>
  </si>
  <si>
    <t>Unknown User (intan.p.hartono)</t>
  </si>
  <si>
    <t>Efisiensi pengumpulan data update Promo untuk ops meeting</t>
  </si>
  <si>
    <t>1. Update yang hanya diketahui oleh masing-masing PIC program</t>
  </si>
  <si>
    <t>1. tim promo mengumpulkan dan mengcompile update membutuhkan waktu 25 menit sebelum ops meeting</t>
  </si>
  <si>
    <t>1. Update dapat diketahui oleh seluruh tim</t>
  </si>
  <si>
    <t>1. Tidak ada data yang mengakomodir seluruh update promo</t>
  </si>
  <si>
    <t>Membuat master data untuk mengakomodir semua update promo</t>
  </si>
  <si>
    <t>1. update promo dapat diakses oleh semua anggota</t>
  </si>
  <si>
    <t>1. Mengimplementasikan proses update promo secara konsisten</t>
  </si>
  <si>
    <t>2. Tidak ada rekapan data yang mengakomodir seluruh update</t>
  </si>
  <si>
    <t>2. Update promo tidak terorganisir dengan baik</t>
  </si>
  <si>
    <t>2. Update lebih terorganisir dan lengkap</t>
  </si>
  <si>
    <t>2. Promo hanya diketahui oleh masing-masing PIC</t>
  </si>
  <si>
    <t>2. hanya memerlukan waktu 7 menit 33 detik untuk mempersiapkan materi ops meeting</t>
  </si>
  <si>
    <t>Unknown User (wulan.utami)</t>
  </si>
  <si>
    <t>Lois Amilia Santoso</t>
  </si>
  <si>
    <t>Charles Charles</t>
  </si>
  <si>
    <t>FPC Before Kaizen Periode 3_RM.xlsx</t>
  </si>
  <si>
    <t>Efisiensi proses pembuatan daily report</t>
  </si>
  <si>
    <t>1. Pembuatan daily report membutuhkan waktu yang lama.</t>
  </si>
  <si>
    <t>1. Rata - rata waktu pembuatan daily report adalah 1 jam 32 menit.</t>
  </si>
  <si>
    <t>1. Waktu pengerjaan daily report berkurang hingga 25%.</t>
  </si>
  <si>
    <t>1. adanya pengulangan data di sheet "X-Order" dan "MIGS-VTS"</t>
  </si>
  <si>
    <t>1. Menghapus sheet "X-Order" di file Daily report.</t>
  </si>
  <si>
    <t>1. Dengan menghilangkan pembuatan sheet "XOrder", waktu pembuatan daily report berkurang sebesar 44.04%.</t>
  </si>
  <si>
    <t>1. Sosialisasi proses pembuatan daily report yang baru ke seluruh anggota tim RM.</t>
  </si>
  <si>
    <t>2. File size daily report sangat besar sehingga untuk membuka file membutuhkan waktu yang cukup lama.</t>
  </si>
  <si>
    <t>2. Rata - rata file size daily report setiap bulan adalah 60 MB</t>
  </si>
  <si>
    <t>2. File size berkurang hingga 30%.</t>
  </si>
  <si>
    <t>2. Beberapa informasi yang ada di sheet "X-Order" sudah tidak digunakan lagi oleh tim RM dan tim lain.</t>
  </si>
  <si>
    <t>2. Dengan menghilangkan pembuatan sheet "XOrder", file size daily report berkurang sebesar 60.54%.</t>
  </si>
  <si>
    <t>2. Menerapkan improvement baru ini secara konsisten.</t>
  </si>
  <si>
    <t>3. FPC After Kaizen Periode 3_RM.xlsx</t>
  </si>
  <si>
    <t>Dwina M. Christy</t>
  </si>
  <si>
    <t>Tim 1 - Caller:</t>
  </si>
  <si>
    <t>Standarisasi template konfirmasi Return</t>
  </si>
  <si>
    <t>Tidak ada standarisasi probing ke customer</t>
  </si>
  <si>
    <t>Ketika mengerjakan email menghabiskan waktu estimasi setiap email 372 detik</t>
  </si>
  <si>
    <t>Meminimalisir waktu untuk mengerjakan return</t>
  </si>
  <si>
    <t>1. Membuat template email probing retur agar pengerjaan email lebih cepat.</t>
  </si>
  <si>
    <t>1. Dengan adanya standarisasi template sesuai dengan kategori retur, waktu pembuatan email berkurang menjadi 222 detik</t>
  </si>
  <si>
    <t>1. Sosialisasi template email yang baru kepada semua caller CR</t>
  </si>
  <si>
    <t>Customer care tidak seragam menyerap informasi tentang return</t>
  </si>
  <si>
    <t>Ketika probing melalui telepon memakan waktu lebih lama estimasi 5 menit ( tidak langsung ke point yang di perlukan )</t>
  </si>
  <si>
    <t>Menyeragamkan probing agar mendapatkan informasi yang di butuhkan</t>
  </si>
  <si>
    <t>2. Membuat standarisasi probing untuk membantu castomer care ketika case awal masuk.</t>
  </si>
  <si>
    <t>2. Dengan adanya standarisasi template sesuai dengan kategori retur, probing ke customer melalui telepon berkurang menjadi 3 menit</t>
  </si>
  <si>
    <t>2. Sosialisasi dan penerapan kepada Customer Care terkait standarisasi probing</t>
  </si>
  <si>
    <t>Unknown User (yuli.astutik)</t>
  </si>
  <si>
    <t xml:space="preserve">Efisiensi waktu ketika mengirimkan email ke customer ( tidak pakai template) </t>
  </si>
  <si>
    <t>Ketika customer terhubung ke CS, kelengkapan informasi dan data yang dibutuhkan kurang lengkap, sehingga perlu di call back dan diprobbing ulang dari tim Caller Retur</t>
  </si>
  <si>
    <t>mempercepat proses solusi return apabila data probingnya lengkap</t>
  </si>
  <si>
    <t>Tidak ada standarisasi probing ke customer sesuai kategori returnya</t>
  </si>
  <si>
    <t>3. Pengulangan probing juga mengakibatkan waktu telepon berkurang menjadi 3 menit</t>
  </si>
  <si>
    <t>Adanya pengulangan probing akibat probing yang kurang dari customer care</t>
  </si>
  <si>
    <t>Tim 3 - Stock Controller:</t>
  </si>
  <si>
    <t>FPC Before - Team 3.xlsx</t>
  </si>
  <si>
    <t>Efisiensi Proses Pembuatan IGF dan Rekap Data CF serta Minimalisir Waktu Pengerjaannya</t>
  </si>
  <si>
    <t>1. Waktu pengerjaan IGF dan rekap data CF membutuhkan waktu yang cukup lama.</t>
  </si>
  <si>
    <t>1. Proses pembuatan IGF untuk barang rusak memakan waktu kira-kira 412s per barang mulai dari melengkapi database hingga putaway di rak DE.</t>
  </si>
  <si>
    <t>1. Mempercepat waktu pengerjaan IGF dan rekap data CF hingga proses serah terima dengan pihak BES / warehouse.</t>
  </si>
  <si>
    <t>1. Terdapat pengulangan proses cek JIRA yang seharusnya tidak perlu dilakukan.</t>
  </si>
  <si>
    <t>1. Menuliskan nomor IGF dan keterangan lainnya yang perlu diinput di database ke description JIRA supaya bisa tarik data.</t>
  </si>
  <si>
    <t>1. Proses pembuatan IGF untuk barang rusak memakan waktu kira-kira 308s per barang mulai dari melengkapi database hingga putaway di rak DE.</t>
  </si>
  <si>
    <t>Buat JIRA XRMA-2499 untuk menampilkan hasil pengecekan QC dan data IMEI/SN sehingga penarikan data menjadi lebih lengkap.</t>
  </si>
  <si>
    <t>2. Terdapat copy paste data berulang-ulang ke file yang berbeda-beda sehingga menghambat pengerjaan.</t>
  </si>
  <si>
    <t>2. Proses pembuatan IGF untuk barang bagus memakan waktu kira-kira 896s per barang mulai dari melengkapi database hingga serah terima dengan BES untuk pengiriman ke WH asal.</t>
  </si>
  <si>
    <t>2. Minimalisir step-step yang harus dilakukan ketika pembuatan IGF dan rekap data CF agar prosesnya lebih efisien.</t>
  </si>
  <si>
    <t>2. Copy paste data manual dari RMA karena info yang dibutuhkan tidak keluar di JIRA.</t>
  </si>
  <si>
    <t>2. Arrange ulang letak kolom agar menyerupai database sehingga ketika diexport hanya tinggal copy paste keseluruhan tabel.</t>
  </si>
  <si>
    <t>2. Proses pembuatan IGF untuk barang bagus memakan waktu kira-kira 772s per barang mulai dari melengkapi database hingga serah terima dengan BES untuk pengiriman ke WH asal.</t>
  </si>
  <si>
    <t>FPC After - Team 3.xlsx</t>
  </si>
  <si>
    <t>3. Terdapat pengecekan data berulang-ulang yang tidak perlu sehingga memperpanjang proses yang ada.</t>
  </si>
  <si>
    <t>3. Proses rekap data CF dari proses tarik data hingga serah terima ke BES kira-kira 821s per barang.</t>
  </si>
  <si>
    <t>3. Copy paste data ke excel yang berbeda-beda dalam sekali step sehingga memperlambat proses.</t>
  </si>
  <si>
    <t>3. Memindahkan proses export database ke akhir pengerjaan IGF.</t>
  </si>
  <si>
    <t>3. Proses rekap data CF dari proses tarik data hingga serah terima ke BES kira-kira 641s per barang.</t>
  </si>
  <si>
    <t>4. Bertambahnya flow process IGF pada Stockholm 3.0.</t>
  </si>
  <si>
    <t>4. Menghilangkan proses pengecekan history case di JIRA.</t>
  </si>
  <si>
    <t>Unknown User (gabriela.kefina)</t>
  </si>
  <si>
    <t>5. Jarak meja kerja, gudang, dan area serah terima barang yang cukup jauh.</t>
  </si>
  <si>
    <t>5. Menghilangkan proses tulis manual nomor IGF di kertas menjadi print list IGF.</t>
  </si>
  <si>
    <t>Ihsanudin</t>
  </si>
  <si>
    <t>Boni Rivaldi</t>
  </si>
  <si>
    <t>Tim 5 - Penjadwalan:</t>
  </si>
  <si>
    <t>PDCA Report (A4)-CR Periode III.xlsx</t>
  </si>
  <si>
    <t>Efisiensi waktu serah terima barang dengan messenger BES - CR</t>
  </si>
  <si>
    <t>1. Waktu serah terima barang dari admin CR ke messenger memakan waktu yang cukup lama (sekitar 60 menit)</t>
  </si>
  <si>
    <t>1.  total waktu dari serah terima barang hingga input data adalah 44 menit</t>
  </si>
  <si>
    <t>1. Adanya SOP saat proses serah terima barang</t>
  </si>
  <si>
    <t>1. belum ada standart proses serah terima barang saat ini</t>
  </si>
  <si>
    <t>1. Menarik data No. CASEMGMT saat akan export data penjadwalan</t>
  </si>
  <si>
    <t>1.  total waktu dari serah terima barang hingga input data adalah 19 menit</t>
  </si>
  <si>
    <t>1. Membuat SOP baru terkait serah terima barang dengan kurir BES</t>
  </si>
  <si>
    <t>2. Jarak dan tempat serah terima barang jauh dari tempat Admin berada</t>
  </si>
  <si>
    <t>2. langkah yang ditempuh untuk keseluruhan proses serah terima yaitu 306 langkah</t>
  </si>
  <si>
    <t>2. Jarak/lokasi serah terima menjadi lebih dekat</t>
  </si>
  <si>
    <t>2. jarak antara tempat admin dan lokasi serah terima barang jauh sehingga memakan waktu yang cukup lama</t>
  </si>
  <si>
    <t>2. Mengubah lokasi serah terima barang</t>
  </si>
  <si>
    <t>2. langkah yang ditempuh untuk keseluruhan proses serah terima yaitu 35 langkah</t>
  </si>
  <si>
    <t>2. Mensosialisasi proses baru kepada Admin, Kurir dan Packer</t>
  </si>
  <si>
    <t>Azizah Purwitasari</t>
  </si>
  <si>
    <t>3. Terdapat pengulangan proses yang saat ini masih dijalankan yaitu proses sortir barang yang akan diserahkan ke messenger</t>
  </si>
  <si>
    <t>3. belum ada SOP terkait proses serah terima barang</t>
  </si>
  <si>
    <t>3. Proses input data hasil penjadwalan menjadi lebih cepat</t>
  </si>
  <si>
    <t>3. belum ada standart untuk informasi gagal kirim / tarik produk</t>
  </si>
  <si>
    <t>3. Menambah keranjang tempat / Memisahkan produk berdasarkan kurirnya</t>
  </si>
  <si>
    <t>3. SOP serah terima barang saat ini yaitu</t>
  </si>
  <si>
    <t>3. Proses baru dapat juga diterapkan untuk serah terima produk dengan logistik lain</t>
  </si>
  <si>
    <t>4. proses input data hasil penjadwalan berkisar 38 detik per satu order pengiriman</t>
  </si>
  <si>
    <t>4. Menggali lebih dalam mengenai aplikasi ontime untuk dapat diterapkan pada proses penjadwalan tim CR</t>
  </si>
  <si>
    <t>4. proses input data kedalam JIRA masih manual</t>
  </si>
  <si>
    <t>4. Membuat SOP baru untuk proses serah terima barang (terutama saat proses merekap hasil penjadwalan sebelumnya)</t>
  </si>
  <si>
    <t>-kurir melaporkan hasil pengiriman dari hari sebelumnya untuk kategori produk kirim</t>
  </si>
  <si>
    <t>5. keranjang produk hanya 1 buah</t>
  </si>
  <si>
    <t>-kurir melaporkan hasil penarikan barang dari hari sebelumnya</t>
  </si>
  <si>
    <t>6. terdapat pengulangan proses yaitu kurir mengecek kembali daftar penjadwalan sekitar 5 menit / orang</t>
  </si>
  <si>
    <t>-kurir melaporkan pengiriman/penarikan yang gagal</t>
  </si>
  <si>
    <t>-admin menyerahkan tanda terima dan barang untuk pengiriman/penarikan hari H (dimana list sudah diberikan pada H-1)</t>
  </si>
  <si>
    <t>4. proses input data hasil penjadwalan berkisar 19 detik per satu order pengiriman</t>
  </si>
  <si>
    <t>Unknown User (dessita.rahmah)</t>
  </si>
  <si>
    <t>5. keranjang produk menjadi 2 buah untuk memisahkan produk berdasarkan kurir</t>
  </si>
  <si>
    <t>6. List penjadwalan sudah diberikan H-1 kepada kurir</t>
  </si>
  <si>
    <t> Ms.Access implementation for Inbound (IMEI &amp; S/N) and data entry processes</t>
  </si>
  <si>
    <t>1. Durasi pelampiran IMEI &amp; S/N ke DO Offline via (Pak Ferdhi to SCM Dev):</t>
  </si>
  <si>
    <t>1. mengaplikasikan penerapan Ms.Access para database inbound sehingga rekapan Pak Ferdhi selaku team inbound bisa terintegrasi dengan SCM Dev team tanpa mengurangi keamanan data(editable by Pak Ferdhi only).</t>
  </si>
  <si>
    <t>1. pendataan IMEI dan S/N di rekapan inbound yang hanya dapat diakses Pak Ferdhi membuat SCM Dev team memerlukan waktu dan tahap yang lama untuk bisa memperolehnya dan melampirkannya di DO Offline (even for our brand-spankin-new Ms.Access DO)</t>
  </si>
  <si>
    <t>1.Membuat Form Inbound di Ms.Access dan membuat link di share folder supaya pihak Inbound dan SCM Dev dapat mengambil/update data tanpa harus saling menunggu. </t>
  </si>
  <si>
    <t>1. Dengan dibuatkan form Inbound pada Database SCM Dev kita dapat menghemat waktu sekitar 270 detik melalui email, 291 detik via Spark untuk mendapatkan IMEI &amp; Serial Number untuk dilampirkan di DO</t>
  </si>
  <si>
    <t>1. Membuat Form Data entry inboud pada database SCM Dev</t>
  </si>
  <si>
    <t xml:space="preserve">1.Penginputan data inbound such as IMEI (International Mobile Equipment Identity), S/N (Serial Number), PO (Purchase Order), dan SO(Sales Order) yang ada di dua file terpisah (oleh Pak Ferdhi &amp; SCM Dev Team) menyebabkan delay proses. </t>
  </si>
  <si>
    <t>1. Spark = 311 detik (4 steps)</t>
  </si>
  <si>
    <t>2. Menyederhanakan proses pelampiran IMEI dan S/N di DO Offline dengan automasi Ms.Access (target improvement above 30% faster in duration &amp; processes)</t>
  </si>
  <si>
    <t>2. Terpisahnya Data Inbound IMEI dan S/N Pak Ferdhi degan SCM Dev team membuat diperlukannya 2 orang atau lebih untuk proses pelampiran IMEI dan S/N tersebut ke DO Offline.</t>
  </si>
  <si>
    <t>2. Penggabungan  data Inbound untuk IMEI dan S/N dengan rekap SO &amp; DO untuk memangkas proses.</t>
  </si>
  <si>
    <t>2. Phonecall &amp; Email = 290 detik (5 steps)</t>
  </si>
  <si>
    <r>
      <t> 3. IMEI dan S/N memerlukan waktu yang cukup lama dan berbelit untuk bisa disertakan di DO Offline(</t>
    </r>
    <r>
      <rPr>
        <b/>
        <i/>
        <sz val="12"/>
        <color theme="1"/>
        <rFont val="Times New Roman"/>
        <family val="1"/>
      </rPr>
      <t>Delivery Order</t>
    </r>
    <r>
      <rPr>
        <sz val="12"/>
        <color theme="1"/>
        <rFont val="Times New Roman"/>
        <family val="1"/>
      </rPr>
      <t>)</t>
    </r>
  </si>
  <si>
    <t>Unknown User (matias.simanungkalit)</t>
  </si>
  <si>
    <t>Improve efektifitas proses monitoring JIRA</t>
  </si>
  <si>
    <t>1. Pergerakan JIRA Distribusi tidak termonitor dengan baik.</t>
  </si>
  <si>
    <t>1. Terdapat JIRA yang sudah 10 hari, yang statusnya belum close.</t>
  </si>
  <si>
    <t>1. JIRA dapat dieskalasi dengan baik.</t>
  </si>
  <si>
    <t>a. Top 5 case yang masuk :</t>
  </si>
  <si>
    <r>
      <t>1.</t>
    </r>
    <r>
      <rPr>
        <sz val="7"/>
        <color theme="1"/>
        <rFont val="Times New Roman"/>
        <family val="1"/>
      </rPr>
      <t xml:space="preserve">     </t>
    </r>
    <r>
      <rPr>
        <sz val="12"/>
        <color theme="1"/>
        <rFont val="Times New Roman"/>
        <family val="1"/>
      </rPr>
      <t>Cek data JIRA yang sudah diolah untuk dibandingkan dengan jira yang ada dibucket masing-masing dan CM admin</t>
    </r>
  </si>
  <si>
    <t>1. JIRA CM Admin tidak ada yang lebih dari 2 hari, hanya ada JIRA yang baru di create di hari itu.</t>
  </si>
  <si>
    <t>1. Mensosialisasikan sistem pengerjaan JIRA yang baru kepada anggota tim.</t>
  </si>
  <si>
    <t>2. Mengalami kesulitan dalam menganalisa JIRA mana yang harus di eskalasi lebih ke TOP Management Logistik</t>
  </si>
  <si>
    <t>2. Kurang dapat membedakan JIRA yang sudah lama dan baru.</t>
  </si>
  <si>
    <t>2. Follow up JIRA ke Logistic dilakukan dihari yang sama saat komplain masuk.</t>
  </si>
  <si>
    <t>2. Tim menjadi lebih memperhatikan JIRA dibucket masing-masing dan di CM Admin.</t>
  </si>
  <si>
    <t>2. Membuat komitment bahwa setiap individu wajib memberikan feed back setiap hari.</t>
  </si>
  <si>
    <t>Gizella Kensuri Natallia</t>
  </si>
  <si>
    <t xml:space="preserve">3. Waktu respond dan follow up JIRA Distribusi untuk tiap casenya bervariasi (ada yang cepat dan ada yang lambat) </t>
  </si>
  <si>
    <t>3. Dapat mengetahui pergerakan JIRA setiap harinya</t>
  </si>
  <si>
    <t>1. Sanggah Terima :</t>
  </si>
  <si>
    <r>
      <t>2.</t>
    </r>
    <r>
      <rPr>
        <sz val="7"/>
        <color theme="1"/>
        <rFont val="Times New Roman"/>
        <family val="1"/>
      </rPr>
      <t xml:space="preserve">     </t>
    </r>
    <r>
      <rPr>
        <sz val="12"/>
        <color theme="1"/>
        <rFont val="Times New Roman"/>
        <family val="1"/>
      </rPr>
      <t>Follow up case JIRA yang masuk ke distribusi sesuai dengan lama JIRA dari mulai di JIRA tersebut dibuat</t>
    </r>
  </si>
  <si>
    <t>3. Rata - rata perhari tim distribusi bisa close :</t>
  </si>
  <si>
    <t>3. Untuk case yang sudah lebih dari 10 hari dan urgent case seperti ancam media dan VVIP Customer akan langsung di eskalasi oleh lead distribusi.</t>
  </si>
  <si>
    <t>4. Dapat memantau JIRA yang masih menunggu hasil follow up divisi lain</t>
  </si>
  <si>
    <t>** Update lebih awal dari logistic, tetapi barang dikirimkan dalam beberapa hari kemudian</t>
  </si>
  <si>
    <t>Firsty Kartika</t>
  </si>
  <si>
    <t>5. Mengetahui total pergerakan JIRA dari (Open - in Progres, Open - Close, In Progress - close, Reopen - In Progress, Reopen - Close)</t>
  </si>
  <si>
    <t>** Salah alamat pengiriman</t>
  </si>
  <si>
    <t>3. Eskalasi case yang lebih dari 5 hari menunggu update dari ke TOP Management logistik.</t>
  </si>
  <si>
    <t>** Salah input nama di logistic</t>
  </si>
  <si>
    <r>
      <t>4.</t>
    </r>
    <r>
      <rPr>
        <sz val="7"/>
        <color theme="1"/>
        <rFont val="Times New Roman"/>
        <family val="1"/>
      </rPr>
      <t xml:space="preserve">     </t>
    </r>
    <r>
      <rPr>
        <sz val="12"/>
        <color theme="1"/>
        <rFont val="Times New Roman"/>
        <family val="1"/>
      </rPr>
      <t>Masing - masing anggota tim memberikan update di file yang sudah di share di email mengenai JIRA yang di follow up. Jika sudah semua di update kirim kembali ke PIC untuk.</t>
    </r>
  </si>
  <si>
    <t>2. Terlambat Pengiriman / Kendala Pengiriman :</t>
  </si>
  <si>
    <t>** awb criss cross</t>
  </si>
  <si>
    <t>** pengiriman stuck</t>
  </si>
  <si>
    <t>** alamat tidak ditemukan, rumah kosong, nama tidak dikenal</t>
  </si>
  <si>
    <t>** misroute</t>
  </si>
  <si>
    <t>3. Terlambat Pick Up :</t>
  </si>
  <si>
    <t>** Merchant sudah pilih PU time tetapi barang tidak ready</t>
  </si>
  <si>
    <t>** Logistic tidak datang pick up</t>
  </si>
  <si>
    <t>** Alamat pick up point merchant pindah</t>
  </si>
  <si>
    <t>4. Kendala Tracking Order :</t>
  </si>
  <si>
    <t>** Logistic terlambat input data ke sistem</t>
  </si>
  <si>
    <t>** Merchant salah tempel label</t>
  </si>
  <si>
    <t>** Merchant memberikan 2 barang dengan label yang sama</t>
  </si>
  <si>
    <t>** Merchant tidak menempel label / label lepas</t>
  </si>
  <si>
    <t>5. Pengiriman Retur :</t>
  </si>
  <si>
    <t>** Pengiriman gagal / undelivered dan dikembalikan ke Blibli.com</t>
  </si>
  <si>
    <t>** Produk DG ditolak di Bandara</t>
  </si>
  <si>
    <t>** Produk rusak dalam pengiriman</t>
  </si>
  <si>
    <t>b. Belum ada data yang akurat untuk proses eskalasi terkait JIRA yang masih pending lebih dari 10 hari</t>
  </si>
  <si>
    <t>c. Tidak bisa mengetahui pergerakan follow up JIRA yang sudah di assign ke divisi lain</t>
  </si>
  <si>
    <t>Efisiensi proses rekonsiliasi Cash on Delivery (COD)</t>
  </si>
  <si>
    <t>Waktu yang dibutuhkan untuk melakukan penyetoran uang cod ke finance lebih memerlukan waktu 2 hari karena harus menunggu semua hub melakukan penyetoran ke tubun</t>
  </si>
  <si>
    <t>1. Menunggu uang COD terkumpul dari tiap hub memerlukan waktu 24 jam</t>
  </si>
  <si>
    <t>1. Uang COD sudah disetorkan ke finance H+1 dari tanggal pengiriman paket</t>
  </si>
  <si>
    <t>1. Proses serah terima uang setoran COD per hub harus menunggu mobil distribusi sampai di Tubun.</t>
  </si>
  <si>
    <t>1. Setor COD tiap hub  dilakukan dengan mentransfer ke rekening yang sudah disepakati dan melampirkan bukti transfer</t>
  </si>
  <si>
    <t>1. Mensosialisasikan proses setoran COD terbaru ke setiap kordinator di hub masing - masing.</t>
  </si>
  <si>
    <t>2. menghindari resiko uang yang disetor tercecer atau tertinggal</t>
  </si>
  <si>
    <t>2. Tidak adanya jam cut off untuk uang setoran COD sampai di Tubun.</t>
  </si>
  <si>
    <t>3. Adanya uang setoran COD yang tertinggal atau terselip di HUB asal maupun mobil distribusi.</t>
  </si>
  <si>
    <t>2. Batas waktu untuk transfer uang COD adalah jam 09.00</t>
  </si>
  <si>
    <t>4. Proses perhitungan uang COD yang harus dilakukan dua kali karena adanya serah terima uang cash dari hub awal ke Tubun.</t>
  </si>
  <si>
    <t>2. penerapan proses cod ini secara baik dan konsisten serta sesuai dengan alur - alur yang telah disepakati</t>
  </si>
  <si>
    <t>Rachel Saragih</t>
  </si>
  <si>
    <t>FPC Before Tim Recon Kaizen 3.xlsx</t>
  </si>
  <si>
    <t>Simplify Reconciliation Sources Files</t>
  </si>
  <si>
    <t>Membutuhkan waktu yang lama untuk menyiapkan data hingga siap dipakai.</t>
  </si>
  <si>
    <t>1. Durasi Proses Penarikan 5 File dari Jasper membutuhkan waktu 1,044.29 detik atau 17 Menit                                </t>
  </si>
  <si>
    <t>1. Mempercepat Proses Penarikan File dari Jasper hingga 50%.</t>
  </si>
  <si>
    <t>Membutuhkan waktu yang lama untuk menyiapkan data hingga siap dipakai.                            </t>
  </si>
  <si>
    <t>1. Menghilangkan proses manual berulang (menambahkan rumus pada setiap sumber file) yang dapat dilakukan dengan sistem</t>
  </si>
  <si>
    <t>1. Durasi Proses Penarikan 1 File Source Baru dari Jasper membutuhkan waktu 288.62 detik atau 4.81 Menit                            </t>
  </si>
  <si>
    <t>1. Kami akan mensosialisasikan kepada semua anggota tim Rekonsiliasi untuk menggunakan satu file sumber dalam mengerjakan invoice logistik                            </t>
  </si>
  <si>
    <t>2. Ukuran 5 File Source adalah 360,447 KB                                </t>
  </si>
  <si>
    <t>2. Menghemat penggunaan Quota Storage Penyimpanan File hingga 50%.</t>
  </si>
  <si>
    <t>2. Menghasilkan sumber data hanya dari 1 sumber bukannya 5 sumber                        </t>
  </si>
  <si>
    <t>2. Ukuran File Source Baru adalah 60,088 KB                            </t>
  </si>
  <si>
    <t>2. Mewarnai kolom judul yang berisi informasi yang dibutuhkan untuk mengerjakan invoice logistik, sehingga dapat lebih mudah untuk menemukan informasi yang dibutuhkan                            </t>
  </si>
  <si>
    <t>3. Proses Download dan Pemindahan 5 File Source ke Folder Recon membutuh waktu 95.07 detik atau ± 2 Menit                                </t>
  </si>
  <si>
    <t>3. Menghilangkan Proses Manual yang dilakukan secara berulang dan dapat dilakukan oleh System.</t>
  </si>
  <si>
    <t>- Durasi pengolahan rumus Ms. Excel ketika mempersiapkan sumber data membutuhkan waktu yang lama                            </t>
  </si>
  <si>
    <t>3. Proses Download dan Pemindahan File Source Baru ke Folder Recon membutuh waktu 28.48 detik                            </t>
  </si>
  <si>
    <t>3. Meminta data yang terintegrasi antara pihak logistik dan sistem Blibli untuk menghilangkan pengolahan data dalam tim rekonsiliasi                            </t>
  </si>
  <si>
    <t>4. Proses menyiapkan 5 File Source hingga dapat digunakan untuk pengecekan Invoice membutuhkan waktu 41,668 detik atau 695 Menit atau 11.57 Jam                                </t>
  </si>
  <si>
    <t>4. Mempercepat Proses menyiapkan File Source hingga dapat digunakan untuk pengecekan Invoice hingga 80%.</t>
  </si>
  <si>
    <t>4. Proses menyiapkan File Source baru hingga dapat digunakan untuk pengecekan Invoice tidak perlu lagi dilakukan.                            </t>
  </si>
  <si>
    <t>Ulfa Melissa Handoko Putri</t>
  </si>
  <si>
    <t>5. Durasi Lookup Data dari 5 File Source kedalam Invoice membutuhkan waktu 754.26 detik atau 12.571 Menit.                                </t>
  </si>
  <si>
    <t>5. Mempercepat durasi lookup Data dari File Source kedalam Invoice hingga 25%.</t>
  </si>
  <si>
    <t>- Ukuran sumber data terlalu besar                            </t>
  </si>
  <si>
    <t>5. Durasi Lookup Data dari File Source kedalam Invoice membutuhkan waktu 694.35 detik atau 11.57 Menit.                            </t>
  </si>
  <si>
    <t>                            </t>
  </si>
  <si>
    <t>- Informasi yang diperlukan untuk rekonsiliasi invoice logistik berada dalam 5 file sumber yang berbeda                            </t>
  </si>
  <si>
    <t>PROCESS</t>
  </si>
  <si>
    <t>PERCENTAGE SAVING</t>
  </si>
  <si>
    <t>Proses Penarikan 5 File Source</t>
  </si>
  <si>
    <t>  1,044.29 seconds </t>
  </si>
  <si>
    <t> 288.62 seconds </t>
  </si>
  <si>
    <t> 755.67 seconds </t>
  </si>
  <si>
    <t>Ukuran File</t>
  </si>
  <si>
    <t> ± 360,447 KB  </t>
  </si>
  <si>
    <t> ± 60,088 KB </t>
  </si>
  <si>
    <t> ± 300.359 KB </t>
  </si>
  <si>
    <t>Proses Download dan Pemindahan 5 File Source</t>
  </si>
  <si>
    <t> 95.07 seconds </t>
  </si>
  <si>
    <t> 28.48 seconds </t>
  </si>
  <si>
    <t> 66.59 seconds </t>
  </si>
  <si>
    <t>Proses menyiapkan 5 File Source</t>
  </si>
  <si>
    <t> 41,677.5 seconds </t>
  </si>
  <si>
    <t> 0 seconds </t>
  </si>
  <si>
    <t>Lookup Data dari 5 File Source kedalam Invoice</t>
  </si>
  <si>
    <t> 754.26 seconds </t>
  </si>
  <si>
    <t> 694.35 seconds </t>
  </si>
  <si>
    <t> 59.91 seconds </t>
  </si>
  <si>
    <t>SCM-WH Batuceper I</t>
  </si>
  <si>
    <t>Kaizen III - Reduce supplier waiting time when pickup RTV Product .v00.xlsx</t>
  </si>
  <si>
    <t>Reduce supplier waiting time when pickup RTV Product</t>
  </si>
  <si>
    <t>Lamanya supplier menunggu proses penerimaan produk RTV dari warehouse</t>
  </si>
  <si>
    <t>Saat ini Supplier membutuhkan waktu selama 175 menit  sejak datang hingga produk RTV diterima</t>
  </si>
  <si>
    <t>Mengurangi waktu tunggu supplier saat menerima produk RTV</t>
  </si>
  <si>
    <t>Barang RTV belum disiapkan sebelum Supplier datang menjadi faktor utama lamanya Supplier menunggu proses pengambilan produk RTV dari warehouse ceper</t>
  </si>
  <si>
    <t>Melakukan proses picking terlebih dahulu sebelum Supplier tiba. Dengan cara memonitoring IR di stockholm dan koordinasi dengan Asmers terkait jadwal Supplier Pick Up RTV</t>
  </si>
  <si>
    <t>Setelah melakukan improvement dengan cara  mengurangi 330 movement dan 11 langkah kerja, waktu tunggu supplier dapat di reduce dari 175 menit menjadi 66.67 menit</t>
  </si>
  <si>
    <t>1. Secara berkala melakukan pengecekan IR RTV yang sudah tersedia di Stockholm</t>
  </si>
  <si>
    <t>Ferdi Ferdi</t>
  </si>
  <si>
    <t>2. Berkoordinasi dengan Asmers terkait jadwal pick Up RTV oleh Supplier</t>
  </si>
  <si>
    <t>3. Koordinasi antara Inbound, Outbound dan SC untuk preparation produk RTV lebih awal</t>
  </si>
  <si>
    <t>SCM-WH Batuceper II</t>
  </si>
  <si>
    <t>Kaizen III - Improve Inbound Put-away Process .v00.xlsx</t>
  </si>
  <si>
    <t>Improve  Inbound Put-away Process</t>
  </si>
  <si>
    <t>Admin putaway membutuhkan waktu yang lama untuk verifikasi hasil proses putaway</t>
  </si>
  <si>
    <t>Saat ini admin putaway membutuhkan waktu 39 menit untuk verifikasi hasil proses putaway</t>
  </si>
  <si>
    <t>Mengurangi waktu verifikasi hasil proses putaway</t>
  </si>
  <si>
    <t>Proses penarikan dan pengolahan data yang panjang menjadi sebab lamanya proses verifikasi hasil proses putaway</t>
  </si>
  <si>
    <t>Merevisi form document control dengan menambahkan kolom container ID, untuk memudahkan admin putaway melakukan pengecekan hasil proses putaway melalui nomor container ID</t>
  </si>
  <si>
    <t>After implementation, waktu dan proses dapat di reduce menjadi hanya 4 step dari awal 11 Step (7 step bisa dihilangkan) dan juga bisa mengurangi waktu dari 38.86 menit menjadi 12.5 menit (reduce 26.36 menit)</t>
  </si>
  <si>
    <t>1. Revisi WI proses pengecekan hasil putaway oleh admin</t>
  </si>
  <si>
    <t>2. Melakukan briefing ke semua admin putaway agar langkah yang dilakukan sama</t>
  </si>
  <si>
    <t>3. Setaip akhir shift dokumen di verifikasi oleh SPV Inbound</t>
  </si>
  <si>
    <t>Sudarmojo</t>
  </si>
  <si>
    <t>Improve leadtime process unloading up to GRN  at Inbound Cakung</t>
  </si>
  <si>
    <t>- Slow proses labeling</t>
  </si>
  <si>
    <t>- Mempersingkat leadtime proses GRN</t>
  </si>
  <si>
    <t>1 Tidak ada penanda khusus untuk dapat mengetahui ketersediaan kontainer</t>
  </si>
  <si>
    <t>- Membuat dan implementasi penanda khusus yang menandakan ketersediaan kontainer</t>
  </si>
  <si>
    <t>- Pembuatan work instruction untuk handling unloading sampai dengan GRN</t>
  </si>
  <si>
    <t>- Slow proses GRN</t>
  </si>
  <si>
    <t>- Meningkatkan efektifitas kerja labeler</t>
  </si>
  <si>
    <t>- Admin inbound mencoba secara satu per satu untuk mengetahui kontainer </t>
  </si>
  <si>
    <t>- Menggunakan barcode scanner dalam pengecekan barang </t>
  </si>
  <si>
    <t>tahar</t>
  </si>
  <si>
    <t>yang tidak sedang digunakan</t>
  </si>
  <si>
    <t>Penghematan waktu untuk operasional</t>
  </si>
  <si>
    <t>2 Proses cetak label memakan waktu cukup lama</t>
  </si>
  <si>
    <t>15 menit </t>
  </si>
  <si>
    <t>farhan</t>
  </si>
  <si>
    <t>- Operator melakukan banyak step sebelum melakukan cetak label</t>
  </si>
  <si>
    <t>Sehingga proses unloading sampai </t>
  </si>
  <si>
    <t>3 Lead time operation dan inpection lama, dalam proses unloading sampai dengan labeling</t>
  </si>
  <si>
    <t>dengan GRN membutuhkan waktu</t>
  </si>
  <si>
    <t>yogi</t>
  </si>
  <si>
    <t>- Terlihat pada flow process chart before, inpection yang dibutuhkan labeler dalam mencari barang</t>
  </si>
  <si>
    <t>selama 22 Menit</t>
  </si>
  <si>
    <t>yang akan dilabel cukup lama.</t>
  </si>
  <si>
    <t>Ervien Suseno</t>
  </si>
  <si>
    <t>MENGURANGI PROSES YANG TERTUNDA AKIBAT BARANG TERJATUH DARI CONVEYOR</t>
  </si>
  <si>
    <t>Barang terjatuh dari conveyor</t>
  </si>
  <si>
    <t>Tidak ada barang yang terjatuh dari conveyor lagi</t>
  </si>
  <si>
    <t>1.  Peletakan Barang diatas konveyor yang kurang tepat dapat membuat kontainer berputar</t>
  </si>
  <si>
    <t>1. Barang dengan matrial kardus 2,7,8 berpotensi jatuh, wajib menggunakan kontener besar saat akan diturunkan ke area outbond melalui konveyor.          </t>
  </si>
  <si>
    <t>Setelah dilakukan proses peletakan barang yang tepat diatas konveyer maka sudah tidak ada lagi barang yang terjatuh</t>
  </si>
  <si>
    <t>1. membuat poster / spanduk cara meletakkan produk di conveyor</t>
  </si>
  <si>
    <t>2. membuat Opl cara meletakan produk di conveyor</t>
  </si>
  <si>
    <t>Unknown User (aditia)</t>
  </si>
  <si>
    <t>Dengan adannya barang yang terjatuh maka perlu dilakukan pengecekan kondisi barang sehingga proses fullfilmen menjadi tertunda</t>
  </si>
  <si>
    <t>2. Penempatan barang dan jenis kardus yang melebihi tinggi kontainer menyebabkan resiko mengelinding</t>
  </si>
  <si>
    <t>Hananto</t>
  </si>
  <si>
    <t>Daniel</t>
  </si>
  <si>
    <t>Sugiantoro</t>
  </si>
  <si>
    <t>Unknown User (ferdhianto.ibnugroho)</t>
  </si>
  <si>
    <t>Penyederhanaan Proses Verifikasi Email Order Material Packaging</t>
  </si>
  <si>
    <t>1. Email Merchant (yang baru) sering tidak terdaftar di report List Merchant Active  (jaspersoft) sehingga selalu konfirmasi ke Assistant Merchandiser &amp; Incubator Team dan waktu feedback yang lama, kemudian order tersebut dicancel request terlebih dulu.</t>
  </si>
  <si>
    <t>1. Waktu Siklus dalam Proses Pemeriksaan Order Material Packaging terhadap Email Merchant yang Tidak Terdaftar per batch adalah 4,95 menit (tidak termasuk waktu menunggu feedback pihak lain)</t>
  </si>
  <si>
    <t>1. Semua Email Merchant khususnya yang baru sudah terdaftar di report Jaspersoft secara real time</t>
  </si>
  <si>
    <t>1. Report List Merchant Active dari Jaspersoft tidak diupdate secara real time sehingga sering terdapat email merchant yang tidak terdaftar di List Merchant Active dan konfirmasi ke pihak terkait</t>
  </si>
  <si>
    <t>1. Membuat report email merchant yang real time (XPRO003 - Customer Segment, hasil dari JIRA:XPROM-2089) sehingga jika ada merchant baru yang memesan material packaging tidak lagi konfirmasi ke pihak lain. Hal ini dikarenakan report tersebut sudah real time.</t>
  </si>
  <si>
    <t>1. Waktu Siklus Perbaikan dalam Proses Pemeriksaan Order Material Packaging terhadap Email Merchant yang Tidak Terdaftar per batch adalah 3,9 menit</t>
  </si>
  <si>
    <t>1. Pengecekan semua Email Merchant khususnya yang baru tidak lagi menggunakan MTA008 - List Merchant Active tetapi Customer Segment (XPRO003-Jaspersoft) yang sudah real time </t>
  </si>
  <si>
    <t>2. Di satu aplikasi tidak bisa memenuhi keperluan dalam mengecek order material packaging khususnya email merchant</t>
  </si>
  <si>
    <t>2. Mengubah format rekapan  QC order material packaging yang mana menggunakan satu aplikasi pendukung saja sehingga mempermudah proses pengecekan</t>
  </si>
  <si>
    <t>Romayudin Romayudin</t>
  </si>
  <si>
    <t>2. Pengecekan order material packaging yang hanya membutuhkan satu aplikasi saja dan tidak ada lagi ketergantungan dengan pihak lain</t>
  </si>
  <si>
    <t>2. Flow Process Chart sesudah perbaikan sebagai SOP Proses pengecekan order material packaging </t>
  </si>
  <si>
    <t>Udi Suardi</t>
  </si>
  <si>
    <t>2. Pengecekan order material packaging yang banyak membutuhkan lebih dari satu aplikasi pendukung</t>
  </si>
  <si>
    <t>2. Aplikasi pendukung adalah Merchant Tool Aplication (MTA) dan Jaspersoft</t>
  </si>
  <si>
    <t>2. Aplikasi pendukung adalah Jaspersoft</t>
  </si>
  <si>
    <t>Seteven Chandra</t>
  </si>
  <si>
    <t>3. Flow Process Chart sebelum perbaikan</t>
  </si>
  <si>
    <t>3. Flow Process Chart sesudah perbaikan</t>
  </si>
  <si>
    <t>4. Data jumlah sampling</t>
  </si>
  <si>
    <t>Unknown User (chaiyren.o.herman)</t>
  </si>
  <si>
    <t>Slicer in Weekly report</t>
  </si>
  <si>
    <t>Pembuatan Weekly KPI Report setiap minggunya memerlukan effort yang besar dan banyak waktu yang terbuang untuk membuka beragam sumber file.</t>
  </si>
  <si>
    <t>Sumber data yang perlu diakses dalam pembuatan report KPI Weekly berjumlah 11.</t>
  </si>
  <si>
    <t>Menyederhanakan proses pengambilan data dari berbagai sumber dan menyederhanakan proses pemilihan periode. Proses Operation berkurang hingga 50%.</t>
  </si>
  <si>
    <t>1. Data-data yang dibutuhkan masih terpecah ke beberapa file tertentu karena dikerjakan oleh berbagai unit.</t>
  </si>
  <si>
    <t>Improvement dilakukan dengan menggunakan slicer yang terhubung ke pivot dari masing-masing file tersebut.</t>
  </si>
  <si>
    <t>Setelah slicer diterapkan pada file KPI Weekly, ada 7 file yang saat ini datanya bisa langsung dihubungkan ke slicer. masing-masing file tersebut hanya membutuhkan 1-3 detik untuk memilih tanggal yang diinginkan. Jadi ada sekitar 60% persen proses yang dieliminasi dan waktu yang bisa di-efisien-kan sebanyak 21 menit.</t>
  </si>
  <si>
    <t>Slicer sudah applied di file KPI Weekly dan sudah otomatis ter-apply di file-file berikutnya.</t>
  </si>
  <si>
    <t>2. Berbagai macam data tersebut belum bisa disatukan ke dalam suatu sistem tertentu, sehingga harus dikerjakan secara manual di masing-masing file.</t>
  </si>
  <si>
    <t>Handoko Widodo</t>
  </si>
  <si>
    <t>10 sumber tersebut berupa file excel dan 1 website, dimana file excel harus melalui pengolahan lebih lanjut untuk mendapatkan periode yang diinginkan.</t>
  </si>
  <si>
    <t>3. Perlu ada mekanisme yang memudahkan/menyederhanakan proses yang membuang waktu.</t>
  </si>
  <si>
    <t>Slicer ini akan langsung memotong tanggal yang kita pilih untuk periode report tersebut.</t>
  </si>
  <si>
    <t>Next possible move : Reviewing report lain yang bisa di-apply dengan slicer.</t>
  </si>
  <si>
    <t>Martinus Andry</t>
  </si>
  <si>
    <t>Improvement ini seharusnya akan mengeliminasi proses membuka dan menghitung pada file-file sumber.</t>
  </si>
  <si>
    <t>Ignacia Ciara Irawan</t>
  </si>
  <si>
    <t>Unknown User (dominik.laurus)</t>
  </si>
  <si>
    <t>Kaizen Presentation Periode III.pptx</t>
  </si>
  <si>
    <t>Menggunakan platform baru (Meister task) untuk weekly/daily update</t>
  </si>
  <si>
    <t>1) Update hanya dilakukan weekly, sehingga kurang transparan dan tidak visible untuk semua orang (harus saling menunggu)</t>
  </si>
  <si>
    <t>1) Before - Update dilakukan weekly dengan mengunakan excel/powerpoint yang memiliki format yang berbeda-beda, sehingga harus di compile lagi setiap minggunya untuk menjadi satu report.</t>
  </si>
  <si>
    <t>1) Dengan Mesiter task, update bisa menjadi lebih dynamic dan mudah di follow up setiap saat.</t>
  </si>
  <si>
    <t>1) Update langsung di JIRA atau Meister task, tidak perlu di whiteboard.</t>
  </si>
  <si>
    <t>1) After - Update semua user menjadi satu template yang sama, mengurangi waktu user yang mengcompile dari 1 jam menjadi 10 menit (~83% reduced time)</t>
  </si>
  <si>
    <t>1. Pembuatan page JIRA khussus untuk tim pir</t>
  </si>
  <si>
    <t>2. Sosialisasi agar tim pir selalu mengupdate di page setiap ada perubahan baik secara update atau task baru</t>
  </si>
  <si>
    <t>Unknown User (ian.anggono)</t>
  </si>
  <si>
    <t>2) Manager tidak dapat mengetahui status project/task daily atau real time.</t>
  </si>
  <si>
    <t>Bisa mengambil waktu ~20 menit untuk setiap member dan ~1 jam untuk member yang melakukan compile report</t>
  </si>
  <si>
    <t>Unknown User (anna.m.jessica)</t>
  </si>
  <si>
    <t>2) Bisa visible untuk tim dan juga manager untuk mengecek status project / task</t>
  </si>
  <si>
    <t>2) Update dilalukan setiap hari oleh masing-masing user</t>
  </si>
  <si>
    <t>2) Update manual (papan tulis) mengharuskan untuk kita jalan kaki dan menulis di papan, dengan JIRA kita dapat mengurangi waktu ~10 menit.</t>
  </si>
  <si>
    <t>3) Project yang sudah selesai atau ada concern bisa dishare ke manager</t>
  </si>
  <si>
    <t>3)Response untuk Manager meminta update estimate~10 menit menjadi instant. (100% reduced time)</t>
  </si>
  <si>
    <t>4) Update summary untuk tim PIR bisa ditarik atau di share kapan pun</t>
  </si>
  <si>
    <t>No</t>
  </si>
  <si>
    <t>Champion</t>
  </si>
  <si>
    <t>Kaizen Theme</t>
  </si>
  <si>
    <t>Problem Statement</t>
  </si>
  <si>
    <t>Data Before</t>
  </si>
  <si>
    <t>Analisa Sebab</t>
  </si>
  <si>
    <t>Data After</t>
  </si>
  <si>
    <t>Act</t>
  </si>
  <si>
    <t>Percepatan Lead Time (menit)</t>
  </si>
  <si>
    <t>Saving Time (Jam / Bulan)</t>
  </si>
  <si>
    <t>Saving Cost
(Rp / Month)</t>
  </si>
  <si>
    <t>Saving Data Size
(MB / Month)</t>
  </si>
  <si>
    <t>Remarks</t>
  </si>
  <si>
    <t>Total Est Save Cost</t>
  </si>
  <si>
    <t>b</t>
  </si>
  <si>
    <t>a</t>
  </si>
  <si>
    <t>Nominasi</t>
  </si>
  <si>
    <t>CS-BEM</t>
  </si>
  <si>
    <t>Erich</t>
  </si>
  <si>
    <t>Membuat report case dengan status Open, Reopened &amp; In Progress serta case closed di setiap jam</t>
  </si>
  <si>
    <t>Meningkatkan kecepatan dan akurasi total laporan yang dikerjakan BEM</t>
  </si>
  <si>
    <t>Perubahan Metode</t>
  </si>
  <si>
    <t>Hemat 80 detik dalam pembuatan Report SLA BEM, dilakukan 4x per hari</t>
  </si>
  <si>
    <t>4x per hari</t>
  </si>
  <si>
    <t>CS-Inbound</t>
  </si>
  <si>
    <t>Budi</t>
  </si>
  <si>
    <t>Pencatatan kapasitas agent terutama ketidakhadiran dan keterlambatan</t>
  </si>
  <si>
    <t>Mengingkatkan kedisplinan agent</t>
  </si>
  <si>
    <t>Punishment</t>
  </si>
  <si>
    <t>Total waktu keterlambatan before: 41,5 menit per 3 hari,
After: 26.08 menit per 3 hari, hemat 15,5 menit per 3 hari</t>
  </si>
  <si>
    <t>Total keterlambatan 15,5 menit per hari</t>
  </si>
  <si>
    <t>Rency</t>
  </si>
  <si>
    <t>Efisiensi Monitoring Agent Inbound Call</t>
  </si>
  <si>
    <t>Mengefisiensikan proses penilaian monitoring inbound call</t>
  </si>
  <si>
    <t>Menghemat 3 jam per hari</t>
  </si>
  <si>
    <t>1x sehari</t>
  </si>
  <si>
    <t>Santiasih</t>
  </si>
  <si>
    <t>Mengefisiensikan Pengerjaan dan Reporting dari Survey Kepuasan Pelanggan Terhadap Customer Care</t>
  </si>
  <si>
    <t>Mengurangi waktu pengerjaan sebesar 25%</t>
  </si>
  <si>
    <t>Perubahan Template</t>
  </si>
  <si>
    <t>Hemat 3997 detik per minggu</t>
  </si>
  <si>
    <t>4x sebulan</t>
  </si>
  <si>
    <t>Teori</t>
  </si>
  <si>
    <t>OPM</t>
  </si>
  <si>
    <t>Randy</t>
  </si>
  <si>
    <t>Logistic selection efficiency</t>
  </si>
  <si>
    <t>Mengurangi waktu diskusi/pertemuan dengan logistik sebesar 50%</t>
  </si>
  <si>
    <t>Lead time penyeleksian vendor logistik baru berkurang dari 28 hari jadi 14 hari</t>
  </si>
  <si>
    <t>Proses lebih banyak menunggu respon logistik</t>
  </si>
  <si>
    <t>Peter</t>
  </si>
  <si>
    <t>Meningkatkan akurasi dalam proses pembuatan KPI Lead Time Report</t>
  </si>
  <si>
    <t>Average Lead time CC dibawah 2 menit dengan menggunakan data C Date dan FP Date untuk semua ECI</t>
  </si>
  <si>
    <t>Lead time CC berkurang menjadi 41 detik periode 1 - 19 January 2017 (total transaksi 56.937 trx)</t>
  </si>
  <si>
    <t>CR</t>
  </si>
  <si>
    <t>Cenda</t>
  </si>
  <si>
    <t>Efisiensi laporan pemotongan budget biaya kirim Merchant</t>
  </si>
  <si>
    <t>Mengurangi waktu pengerjaan sebesar 50%</t>
  </si>
  <si>
    <t>Penghematan waktu dalam filing data sebesar 1130 detik. (66%)</t>
  </si>
  <si>
    <t>1x sebulan</t>
  </si>
  <si>
    <t>Mahpudin</t>
  </si>
  <si>
    <t>Efisiensi follow up case produk not match (NM)</t>
  </si>
  <si>
    <t>Informasi mengenai NM lebih cepat di informasikan ke customer</t>
  </si>
  <si>
    <t>Konfirmasi ke customer bisa dilakukan di hari yang sama setelah di berikan lebel NM oleh Tim FU dan paling lambat di 1 hari berikutnya.</t>
  </si>
  <si>
    <t>Saving tidak terdefinisi dengan jelas.</t>
  </si>
  <si>
    <t>Bryan</t>
  </si>
  <si>
    <t> Efficiency for paper usage in Handover to Offline Team</t>
  </si>
  <si>
    <t>Menghilangkan penggunaan kertas dotmatrix saat serah terima dari pihak inbound tubun ke team offline. Proses serah terima akan dilakukan menggunakan email.</t>
  </si>
  <si>
    <t>Penghematan penggunaan kertas dot matrix sebanyak 100%:
450 lembar / 3 bulan
1 rim kertas dotmatrix = Rp. 255.000,-
Dalam 1 tahun kita akan bisa menghemat sebanyak Rp. 900.000 ++</t>
  </si>
  <si>
    <t>450 lembar kertas / 3 bulan</t>
  </si>
  <si>
    <t>Distribusi 1</t>
  </si>
  <si>
    <t>Leo</t>
  </si>
  <si>
    <t>Efficiency for follow up Logistic Case Management</t>
  </si>
  <si>
    <t>Efisiensi waktu 50% dalam respon Case Management (email ke logistik &amp; action di CM)</t>
  </si>
  <si>
    <t xml:space="preserve">    Penghematan waktu (before vs after) sebesar 43.1% (konsumsi waktu turun dari 2.698 detik menjadi 1.534 detik, hemat 1164 detik per 20 case)
    Pencapaian target vs after sebesar 86% (1.534 detik vs 1.349 detik)</t>
  </si>
  <si>
    <t>70 case per hari</t>
  </si>
  <si>
    <t>Distribusi 2</t>
  </si>
  <si>
    <t>Hendro</t>
  </si>
  <si>
    <t>Simplify Proses Pembuatan Label Manual</t>
  </si>
  <si>
    <t>Membuat proses pembuatan label menjadi lebih cepat, bisa berkurang sebanyak 50% waktu pengerjaannya.</t>
  </si>
  <si>
    <t>Penghematan Waktu Label untuk MP: 121 detik
Penghematan Waktu Label untuk Cust: 110 detik
Penghematan Waktu Label untuk 3PL: 76 detik</t>
  </si>
  <si>
    <t xml:space="preserve">Bulan Jan 2017:
1. Merchant: 78 case
2. Customer: 115 case
3. Klaim Logistics: 49 case </t>
  </si>
  <si>
    <t>BES Jkt 1</t>
  </si>
  <si>
    <t>Sudibjo</t>
  </si>
  <si>
    <t>Penentuan routing distribusi Cawang - Tubun berdasarkan waktu distribusinya</t>
  </si>
  <si>
    <t>Waktu tempuh yang diperlukan untuk distribusi dari hub Cawang ke hub Tubun dapat lebih cepat dan teratur.</t>
  </si>
  <si>
    <t>Menghemat biaya toll yang akan dikeluarkan sebesar Rp. 27,000 / Hari di weekdays, Rp 18,000/hari di weekend</t>
  </si>
  <si>
    <t>BES Jkt 2</t>
  </si>
  <si>
    <t>Rangga</t>
  </si>
  <si>
    <t xml:space="preserve"> Membuat materi training untuk sistem dalam bentuk Audio Visual</t>
  </si>
  <si>
    <t>Meningkatkan efisiensi karena trainer tidak perlu selalu ada di tempat untuk memberikan refreshment ulang</t>
  </si>
  <si>
    <t>Penghematan waktu total sebesar 976 detik.
Penghematan waktu Trainer sebesar 376 detik
Penghematan waktu Trainee sebesar 600</t>
  </si>
  <si>
    <t>3x sebulan</t>
  </si>
  <si>
    <t>BES Medan</t>
  </si>
  <si>
    <t>Eka</t>
  </si>
  <si>
    <t>Efisiensi Proses Dokumentasi dan Pengecekan Paket / Barang yang akan dikirimkan dari BES Medan</t>
  </si>
  <si>
    <t>Menghilangkan aktivitas yang tidak perlu dilakukan sehingga waktu proses menjadi lebih efisien</t>
  </si>
  <si>
    <t>Perubahan Metode
Perubahan Template</t>
  </si>
  <si>
    <t xml:space="preserve">    Efisiensi waktu yaitu terjadi pengurangan waktu proses sebesar  720 sec (12 min) atau sebesar 27.5 %
    Waktu proses satu siklus menjadi 31 min 30 sec
    Pengurangan pemakaian kertas sebanyak 5 lembar / hari atau sebesar 100 %.
 Rinciannya penghematan selama 5 bulan adalah :
    1 bulan  = 5 lembar x 20 hari  = 100 lembar
    5 bulan  = 5 bulan   x 100 lembar  = 500 lembar (1 rim kertas)  </t>
  </si>
  <si>
    <t>5 bulan 1 Rim kertas,
proses dilakukan tiap hari 1x</t>
  </si>
  <si>
    <t>BES Surabaya</t>
  </si>
  <si>
    <t>Maman</t>
  </si>
  <si>
    <t>Improvement for Sorting and Mapping Process</t>
  </si>
  <si>
    <t>Mempermudah dan memperpersingkat waktu untuk proses sorting dan mapping hingga 50%,</t>
  </si>
  <si>
    <t xml:space="preserve">    Proses pengecekan menjadi lebih simpel dari semula 4 kali proses menjadi hanya satu kali
    Penghematan sebesar 40.95% atau sekitar 2,187 sec (36 menit 45 detik) per hari</t>
  </si>
  <si>
    <t>Recon</t>
  </si>
  <si>
    <t>Sherly</t>
  </si>
  <si>
    <t>Efficiency of Recording and Calculating  Process for Personal Budget Shipment.</t>
  </si>
  <si>
    <t>- Mengurangi Proses Manual Pengiriman Budget Pribadi Karyawan menggunakan kertas hingga 66%
- Mempercepat Proses Penginputan Data Pengirim sebesar 50%
- Mempercepat Proses Pencatatan Rekapan Manual dan Proses Menginput AWB sebesar 50%</t>
  </si>
  <si>
    <t>Otomasi: Penerapan Macro</t>
  </si>
  <si>
    <t>Proses pengambilan kertas form pengiriman Budget Pribadi Karyawan tidak perlu lagi dilakukan.
Proses Penginputan Data Pengirim 148.66 S
Durasi Proses Pembayaran Pengiriman Budget Pribadi Karyawan 27.33 S
Durasi Proses Pencatatan Rekap Manual dan Proses Menginput AWB 60 s</t>
  </si>
  <si>
    <t>Ceper 1</t>
  </si>
  <si>
    <t>Adi</t>
  </si>
  <si>
    <t>Efisiensi Proses Rekap data dan Serah terima Paket dengan Logistik</t>
  </si>
  <si>
    <t>Memudahkan Admin Outbound dalam mencari paket yang akan di rekap data</t>
  </si>
  <si>
    <t>Before 34 detik, after 24 detik</t>
  </si>
  <si>
    <t>Ceper 2</t>
  </si>
  <si>
    <t>Satrio</t>
  </si>
  <si>
    <t>Handling Produk RTV Inbound Warehouse Batuceper</t>
  </si>
  <si>
    <t>Menghindari Ter- Allocate /reserve stock order Customer maupun IR untuk produk yang ada di Rak RTV Inbound yang pasti sudah dalam kondisi tidak baik</t>
  </si>
  <si>
    <t>before 21 menit after 18 menit.</t>
  </si>
  <si>
    <t>9x sebulan</t>
  </si>
  <si>
    <t>Ceper 3</t>
  </si>
  <si>
    <t>Vilia</t>
  </si>
  <si>
    <t>Pembuatan denah untuk Warehouse Barang Rusak</t>
  </si>
  <si>
    <t>Memudahkan pencarian product di Warehouse Barang Rusak</t>
  </si>
  <si>
    <t>Pembuatan Alat Bantu: Denah</t>
  </si>
  <si>
    <t>Before 1895 After 995 detik</t>
  </si>
  <si>
    <t>Cakung</t>
  </si>
  <si>
    <t>Morly</t>
  </si>
  <si>
    <t>Improve Pruductivity Labeling pada Inbound</t>
  </si>
  <si>
    <t>mempercepat proses create Label</t>
  </si>
  <si>
    <t>Pengehematan 5 sec / 70 product</t>
  </si>
  <si>
    <t>30ribu pcs / 2 hari</t>
  </si>
  <si>
    <t>Cawang 1</t>
  </si>
  <si>
    <t>Rahman</t>
  </si>
  <si>
    <t>Organize Arsiping &amp; Records File </t>
  </si>
  <si>
    <t>Mempersingkat waktu pencarian dokumen</t>
  </si>
  <si>
    <t>Penghematan 550 detik per pencarian dokumen, sebulan 34 kali</t>
  </si>
  <si>
    <t>34x sebulan</t>
  </si>
  <si>
    <t>Cawang 2</t>
  </si>
  <si>
    <t>Ervien</t>
  </si>
  <si>
    <t>Verifikasi paket berdasarkan berat</t>
  </si>
  <si>
    <t>Tidak ada barang yang lolos karena salah item, qty lebih/kurang dalam package</t>
  </si>
  <si>
    <t>Pembuatan Alat Bantu: Excel Konfirmasi Berat</t>
  </si>
  <si>
    <t>Missmatch tidak ada, Extra process 26 menit per day.</t>
  </si>
  <si>
    <t>Cawang 3</t>
  </si>
  <si>
    <t>Anggi</t>
  </si>
  <si>
    <t>FEFO dengan metode Fisual Kartu berwarna</t>
  </si>
  <si>
    <t>Proses Picking Barang lebih Cepat.</t>
  </si>
  <si>
    <t>Pembuatan Alat Bantu: Kartu Berwarna</t>
  </si>
  <si>
    <t>Before 67, After 37, Save 30 detik / paket, 1 hari 30 paket</t>
  </si>
  <si>
    <t>30x sehari</t>
  </si>
  <si>
    <t>WH Medan</t>
  </si>
  <si>
    <t>Indra Akbar</t>
  </si>
  <si>
    <t xml:space="preserve"> Efektivitas dan Efisiensi Proses QC Warehouse Medan Dari 13 Menit ke 5 Menit</t>
  </si>
  <si>
    <t>PROSES QC bisa dilakukan dalam waktu 5 menit</t>
  </si>
  <si>
    <t>QC-Packing before: 13 menit, after: 7 menit</t>
  </si>
  <si>
    <t>48x sebulan</t>
  </si>
  <si>
    <t>WH Tubun</t>
  </si>
  <si>
    <t>Seteven</t>
  </si>
  <si>
    <t xml:space="preserve"> Spreadsheet Proses Picking Material Packaging atau Peralatan Pendukung Packer dengan Metode Kanban di Gudang Tubun</t>
  </si>
  <si>
    <t>Dengan menggunakan Metode Kanban, proses picking diharapkan menjadi lebih mudah dan sederhana sehingga stock lebih akurat</t>
  </si>
  <si>
    <t>Pembuatan Alat Bantu: Kanban Kartu Stock</t>
  </si>
  <si>
    <t>Waktu Siklus dalam Proses Picking Material Packaging atau Peralatan Pendukung Packer per 1 jenis barang adalah 57 detik</t>
  </si>
  <si>
    <t>5x sehari</t>
  </si>
  <si>
    <t>IQM</t>
  </si>
  <si>
    <t>Handoko</t>
  </si>
  <si>
    <t>Improvement Proses Pembuatan Daily Update Status Order Warehouse</t>
  </si>
  <si>
    <t>Mempersingkat waktu pembuatan update sampai dengan 50%</t>
  </si>
  <si>
    <t>Otomasi: Pembuatan report Jasper yang baru</t>
  </si>
  <si>
    <t>Before :
-Waktu pembuatan report = 25 menit
-Waktu pengolahan data = 5 menit
*data size = 30MB
After:
-Waktu pebuatan report = 3 menit
-Waktu pengolahan data = 2.5 menit
*data size = 500kb
Improvement dari sisi waktu = 88%
Improvement dari sisi size data = 98%</t>
  </si>
  <si>
    <t>PIR</t>
  </si>
  <si>
    <t>Jessica</t>
  </si>
  <si>
    <t>Efisiensi Dokumentasi Project</t>
  </si>
  <si>
    <t>Mengurangi waktu pencarian history project sampai dengan 50%</t>
  </si>
  <si>
    <t>Memerlukan waktu 20 detik untuk melakukan pencarian dokumentasi project</t>
  </si>
  <si>
    <t>Piping</t>
  </si>
  <si>
    <t>Efisiensi Proses Inbound</t>
  </si>
  <si>
    <t>Mengurangi waktu yang dibutuhkan untuk menyelesaikan Proses Inbound dari 10380 detik (2:53 Jam) menjadi 5800 detik (1:36 Jam) (reduce 50%)</t>
  </si>
  <si>
    <t>Bambang</t>
  </si>
  <si>
    <t>Proses Fulfill material untuk packer</t>
  </si>
  <si>
    <t>Standar &amp; Monitoring penggunaan material serta efisiensi</t>
  </si>
  <si>
    <t>Raimi</t>
  </si>
  <si>
    <t>Efisiensi Pelaksanaan Daily Cycle Count di Warehouse Ceper</t>
  </si>
  <si>
    <t>Memudahkan investigasi barang fast moving
Lebih banyak SKU yang dapat diopname setiap hari</t>
  </si>
  <si>
    <t>Kenny</t>
  </si>
  <si>
    <t xml:space="preserve">Increase efficiency of putaway process for fashion products </t>
  </si>
  <si>
    <t>Increasing the productivity of the putaway team.</t>
  </si>
  <si>
    <t>Pembuatan Alat Bantu: Troli Palet</t>
  </si>
  <si>
    <t>Efisiensi daily cycle dengan metode stowage dan grouping</t>
  </si>
  <si>
    <t>Mempersingkat penghitungan barang saat stock opname (cycle count) sebesar 50% dari waktu saat ini</t>
  </si>
  <si>
    <t>Arya</t>
  </si>
  <si>
    <t xml:space="preserve"> Report On Line  IGF</t>
  </si>
  <si>
    <t>Pembuatan Alat Bantu: Confluence</t>
  </si>
  <si>
    <t>Penerapan Kanban Board sebagai visual kontrol barang IR Photoshoot</t>
  </si>
  <si>
    <t xml:space="preserve">Mempercepat proses kontrol barang IR photoshoot yang masuk dan keluar dari Gudang Photoshoot menjadi 2 menit/IR </t>
  </si>
  <si>
    <t>Pembuatan Alat Bantu: Kanban Board</t>
  </si>
  <si>
    <t>Joudy</t>
  </si>
  <si>
    <t>Efisiensi proses pencarian barang-barang Keep Logistic yang akan diserahkan ke 3PL</t>
  </si>
  <si>
    <t>Mempercepat pencarian barang pada area "Keep Logistic"</t>
  </si>
  <si>
    <t>Perubahan Layout</t>
  </si>
  <si>
    <t>Ridwan</t>
  </si>
  <si>
    <t>Mengefesiensi Waktu Update RMA dan Pembuatan Template Descrition for QC Note</t>
  </si>
  <si>
    <t>Jaka Cawanda</t>
  </si>
  <si>
    <t>Kendala tracking dropship terhadap pengiriman customer</t>
  </si>
  <si>
    <t>Mempercepat proses pengecekan resi langsung ke asmer ybs
Mempercepat konfirmasi ke customer untuk resi sebenarnya</t>
  </si>
  <si>
    <t>Hernawan</t>
  </si>
  <si>
    <t>Monitoring Penggunaan Break agent BLITS</t>
  </si>
  <si>
    <t>Meningkatkan produktivity kerja agent</t>
  </si>
  <si>
    <t>Pembuatan Alat Bantu: Kartu Kanban</t>
  </si>
  <si>
    <t>Hafiz</t>
  </si>
  <si>
    <t>GROUPING FILE DI FOLDER M DAN 0</t>
  </si>
  <si>
    <t>Meminimalisir waktu pencarian data di sharing folder M dan O hingga 50% atau 64 detik per setiap pencarian file</t>
  </si>
  <si>
    <t>Efficiency of weekly Survey monkey report (Part 2)</t>
  </si>
  <si>
    <t>Efisiensi waktu meeting sehingga total waktu kegiatan menurun sebesar 50%</t>
  </si>
  <si>
    <t>Simplifikasi Pengecekan Data Detail Order Dropship untuk  Follow Up ke JNE</t>
  </si>
  <si>
    <t>Efiisiensi 50%</t>
  </si>
  <si>
    <t>Michelle</t>
  </si>
  <si>
    <t>Efisiensi Proses Pencarian Barang Retur Reguler di Gudang Tubun</t>
  </si>
  <si>
    <t>Efisiensi waktu 30% dalam pencarian barang retur</t>
  </si>
  <si>
    <t>Pembuatan Alat Bantu: Barcode</t>
  </si>
  <si>
    <t>Arliandi</t>
  </si>
  <si>
    <t>Efisiensi pengerjaan Cancel Order COD BES</t>
  </si>
  <si>
    <t>Membuat proses pengerjaan cancel order COD lebih efisien dan cepat</t>
  </si>
  <si>
    <t>Perubahan Template: Database</t>
  </si>
  <si>
    <t>Soedibjo</t>
  </si>
  <si>
    <t>Penggunaan makro untuk penginputan data pengeluaran kas BES</t>
  </si>
  <si>
    <t>Penginputan data pengeluaran kas BES menjadi lebih efisien.</t>
  </si>
  <si>
    <t>Otomatisasi Proses Pembuatan Jurnal Alokasi Pembayaran (Retur dan Payment Aging) di Tim Finance</t>
  </si>
  <si>
    <t>Waktu pembuatan Jurnal Alokasi berkurang sebesar 50%</t>
  </si>
  <si>
    <t>Improvisasi proses Offline Harian melalui penataan ulang tempat duduk.</t>
  </si>
  <si>
    <t xml:space="preserve">Efisiensi waktu 50% dalam memproses Inbound dan Outbound </t>
  </si>
  <si>
    <t>Charles</t>
  </si>
  <si>
    <t>Efisiensi Proses Rekapitulasi Token Promo dengan Menggunakan Makro</t>
  </si>
  <si>
    <t>Pembuatan macro untuk otomatisasi copy paste dalam proses rekapitulasi token promo</t>
  </si>
  <si>
    <t>Veren</t>
  </si>
  <si>
    <t xml:space="preserve">Streamline The Budget Approval And Documentation Process  </t>
  </si>
  <si>
    <t xml:space="preserve">    Mempercepat Proses Budget Approval Invoice hingga 80%
    Menghemat kertas dan tinta untuk mencetak atau mengcopy Form Budget Approval</t>
  </si>
  <si>
    <t>Efficiency in Making Report - High Level Updates</t>
  </si>
  <si>
    <t>Reduce unnecessary processes 
25% time saving</t>
  </si>
  <si>
    <t>Efisiensi Proses Review Kaizen</t>
  </si>
  <si>
    <t>Mengurangi waktu transportasi menjadi 87.5 menit
Mengurangi waktu review kaizen menjadi 21 menit / team</t>
  </si>
  <si>
    <t>PENGATURAN PARKIRAN MOTOR DI AREA HUB MEDAN</t>
  </si>
  <si>
    <t>Waktu yang lebih cepat untuk kurir mengeluarkan motor sehingga kurir dapat lebih cepat berangkat mengantarkan barang/ paket</t>
  </si>
  <si>
    <t>Improvement Proses Pembuatan Weekly Report</t>
  </si>
  <si>
    <t>Mempermudah dan mempersingkat waktu untuk proses pengolahan data pengiriman dengan menggunakan template excel</t>
  </si>
  <si>
    <t>Sofri</t>
  </si>
  <si>
    <t>Monitoring Stock dan Kerapian Material Packaging Warehouse Medan</t>
  </si>
  <si>
    <t>Meningkatkan Monitoring Stock dan Kerapian Material Packaging di Warehouse Medan</t>
  </si>
  <si>
    <t>Abdurahman Wibowo Jiswel Eral Evi Handriani</t>
  </si>
  <si>
    <t>Kelengkapan Alamat untuk proses case sub category Undelivery</t>
  </si>
  <si>
    <t>Agent inbound tidak menanyakan alamat jelas / patokan untuk mempermudah proses pengiriman</t>
  </si>
  <si>
    <t>Waktu yang dibutuhkan 519437</t>
  </si>
  <si>
    <t>Mengurangi proses konfirmasi kembali ke customer untuk meminta kelengkapan / patokan alamat</t>
  </si>
  <si>
    <t>Produk terjadi keterlambatan pengiriman dikarenakan:1.Customer tidak isi atau tidak mencamtumkan alamat secara jelas dan lengkap.   2.Nomor hp customer tidak bisa dihubungi oleh logistik   3.Rumah kosong atau customer pindah alamat.</t>
  </si>
  <si>
    <t>1.Agent harus memastikan alamat pada IDV sudah lengkap    2.Agent harus memastikan alamat pada IDV dan website logistik sudah sama atau match.    3.Apabila agent sudah justifikasi terkendala undel maka langsung mintakan patokan alamat, nomor telepon yang aktif atau nomor alternatif dan kapan waktu bisa diproses pengiriman ulang.</t>
  </si>
  <si>
    <t>Waktu 75833</t>
  </si>
  <si>
    <t>setelah kaizen bisa menghemat waktu sebesar 443604 seconds.</t>
  </si>
  <si>
    <t>1.sosialiasi ke Agent pada saat briefing pagi    2.refreshment ke agent dan tim leader.</t>
  </si>
  <si>
    <t>Amanda Hendri Volta Lottar Matheus Eka Sriningsih</t>
  </si>
  <si>
    <t>Efektifitas Rekap Absensi Agent Mitracomm</t>
  </si>
  <si>
    <t>1. Mitracomm langsung membagikan form absensi kepada seluruh agent sehingga waktu yg dibutuhkan cukup banyak    2. Jadwal yg bentrok jika agent S4 atau libur maka akan ada delay dalam hal distribusi form absensi    3. Pengumpulan form absensi belum terkoordinir, CS langsung menyerahkanke SPV atau Manager, sehingga menimbulkan form tercecer atau hilang    4. Pengecekan yg berulang jika ada form absensi yg hilang</t>
  </si>
  <si>
    <t>741.300 detik = 205,92 Jam = 8.5 Hari</t>
  </si>
  <si>
    <t>1. Mengefisiensikan proses distribusi form absensi dari Mitracomm ke CS    2. Mengurangi waktu untuk pengecekan yang berulang</t>
  </si>
  <si>
    <t>Pendistribusian absensi ke agent lama atau bisa hilang dikarenakan:    1.Proses distribusi ke CS yg tidak efektif, dari vendor membagikan ke seluruh agent    2.Agent yang tidak masuk karena jadwal yg berbeda dititipkan ke Hendri Volta    3.Agent tidak langsung mengembalikkan absen yang sudah di berikan    4.Pengecekan berulang oleh SPV atau Manager karena beberapa absensi terselip</t>
  </si>
  <si>
    <t>1.Vendor tidak langsung memberikan absensi ke seluruh agent    2.Disediakan tray khusus agar vendor bisa menaruh absensi dan agent bisa langsung mengambil absen tersebut    3.Pengumpulan absensi akan dikoordinir oleh Hendri    4.TL akan lakukan pengecekan jumlah form absensi yg sudah terkumpul sebelum diserahkan ke SPV atau Manager untuk dilakukan pengecekan</t>
  </si>
  <si>
    <t>Waktu 435210</t>
  </si>
  <si>
    <t>Penghemat waktu 478890 detik = 5,5 Hari</t>
  </si>
  <si>
    <t>'- Briefing agent mengenai proses pengecekan form absensi - Informasi update tim ke Pihak ketiga untuk pengelompokan nama per tim dan pemberian nomer - TL akan melakukan kroscek jumlah form yg sudah ditandatangani - Per bulan Maret akan disediakan tray dan koordinasi dengan vendor selain Mitracomm untuk metode rekap absen yang baru.</t>
  </si>
  <si>
    <t>alexandrea reges Erich Evander Da Costa yoserizal Hafiz faturrahman</t>
  </si>
  <si>
    <t>Filing Cabinet</t>
  </si>
  <si>
    <t>Pencarian file yang memakan waktu yang lama dan tempat yang tidak tertata</t>
  </si>
  <si>
    <t>Pencarian file memakan waktu 124 detik atau 2 menit 4 detik</t>
  </si>
  <si>
    <t>1. Mengurangi proses pencarian file hingga 50% 2. Susunan file yang rapi</t>
  </si>
  <si>
    <t>1. File dan perlengkapan untuk training yang dibutuhkan cukup banyak 2. Penyusunan yang tidak rapi 3. Sulitnya untuk mencari file tertentu, sehingga membutuhkan waktu yang cukup banyak 4. Bahkan terkadang, tidak ditemukan</t>
  </si>
  <si>
    <t>1. File dikelompokan berdasarkan program menggunakan bantex 2. Bantex program disusun sesuai abjad 3. File dalam bantex, juga disusun sesuai abjad 4. Perlengkapan training disimpan di box sesuai</t>
  </si>
  <si>
    <t>Setelah disusun, proses pencarian file menjadi lebih efektif, dan hanya membutuhkan waktu 20 detik.</t>
  </si>
  <si>
    <t>Dalam sehari, rata-rata mencari file sebanyak 5 kali. Maka dapat menghemat sebesar 230 detik / 4 menit per hari, 19 menit per minggu, atau 421 menit / 7 jam per bulan.</t>
  </si>
  <si>
    <t>1. Filing akan terus dilakukan untuk file-file yang baru.</t>
  </si>
  <si>
    <t>Elbert Lukman - Santiasih - Vina V. Kusuma - Gusti Intan</t>
  </si>
  <si>
    <t>Effisiensi Pembuatan Weekly Report Logistic dan Merchant dengan Macro dan Auto Pivot</t>
  </si>
  <si>
    <t>Report Logistic dan Report Merchant harus melakukan copy field berbeda satu persatu dari database. Pivot dan pembuatan grafik juga dibuat satu persatu</t>
  </si>
  <si>
    <t>Proses memakan waktu 2507.3 detik atau 41,78 menit</t>
  </si>
  <si>
    <t>Mengurangi proses manual dan mengurangi waktu proses sebesar 50% atau 21 menit</t>
  </si>
  <si>
    <t>Proses lama dan membutuhkan pekerjaan manual yang banyak karena: 1. Report merchant memiliki 12 column dan report logistic memiliki 24 column yang harus dicopy secara manual dari database 2. Masih ada pembersihan subcategory yang harus dilakukan 3. Filter untuk komplain Jakarta Only 4. Terdapat total 18 graph dengan data yang harus dipivot masing-masing</t>
  </si>
  <si>
    <t>1. Menggunakan macro untuk mapping data merchant dan logistik dari database 2. Menggunakan autopivot dan autograph untuk membuat graph</t>
  </si>
  <si>
    <t>After macro dan auto pivot, proses membutuhkan waktu 100.63 detik atau 1,67 menit</t>
  </si>
  <si>
    <t>Menghemat 40.11 menit perminggu atau 2,67 jam perbulan, atau 32 jam per tahun (4 hari kerja pertahun)</t>
  </si>
  <si>
    <t>1. Menambahkan fungsi save as untuk masing-masing report sehingga lebih cepat dipisahkan    2. Mencoba menerapkan Macro untuk report – report lainnya</t>
  </si>
  <si>
    <t>Ridha Ghassini Randy Hazemi Vania Hadisurya kenny buntara</t>
  </si>
  <si>
    <t>Efisiensi pengolahan shipping table untuk dropship</t>
  </si>
  <si>
    <t>Membutuhkan waktu yang lama untuk pengolahan shipping table dengan ratusan origin</t>
  </si>
  <si>
    <t>23.5 jam = 3 hari kerja</t>
  </si>
  <si>
    <t>Mengurangi waktu pengerjaan (sebanyak 50%) dan Meminimalisir penggunaan vlookup</t>
  </si>
  <si>
    <t>1 Terdapat update service dari 3PL yaitu dropship (seperti JNE) 2. Penambahan origin dari regular (ratusan origin) 3. Pengolahan Shipping Table memakan waktu yang lama 4. Banyaknya proses manual dalam pengolahan Shipping Table</t>
  </si>
  <si>
    <t>Menggunakan macro per origin</t>
  </si>
  <si>
    <t>9 jam kerja = 2 hari kerja</t>
  </si>
  <si>
    <t>7.25 jam per bulan (proses ini dilakukan rata-rata 2 bulan 1x)</t>
  </si>
  <si>
    <t>Membuat petunjuk langkah-langkah penggunaan Macro</t>
  </si>
  <si>
    <t>Stevie Prayudi Peter M. Leonardy Thomas Jumanjaya Dwina M. Christy</t>
  </si>
  <si>
    <t>Efisiensi Pembuatan Daily Fraud Pass Report</t>
  </si>
  <si>
    <t>Data Lead time masih menghitung lead time transaksi Non CC, sehingga file sangat berat dan susah divlookup</t>
  </si>
  <si>
    <t>Waktu pembuatan daily fraud pass report membutuhkan waktu ± 40 menit.</t>
  </si>
  <si>
    <t>waktu pembuatan daily fraud pass report berkurang sebesar 50%</t>
  </si>
  <si>
    <t>Download report Jasper NXOR014 memiliki size besar sehingga proses download membutuhkan waktu cukup lama (±8 menit per report)</t>
  </si>
  <si>
    <t>1.Menggunakan data dari Tableau untuk perhitungan total Order FP dan Payment Type   2.Menggunakan Jasper XFRD-003 untuk menghitung order ECI 6</t>
  </si>
  <si>
    <t>Waktu pembuatan daily fraud pass report menjadi 3 menit 56 detik</t>
  </si>
  <si>
    <t>1.Waktu pembuatan daily fraud pass report berkurang 90.20%    2.Terdapat penghematan sebesar 3 jam 1 menit 5 detik dalam 1 minggu    3.Terdapat penghematan sebesar 12 jam 4 menit 20 detik dalam 1 bulan</t>
  </si>
  <si>
    <t>1.Implementasi metode baru dalam proses pembuatan daily fraud pass report    2.sosialisasi metode yang baru ke tim RM dan IQM</t>
  </si>
  <si>
    <t>Saras Kartika Dewi Azizah Purwitasari Dewi Sukmawati dessita.rahmah shofiana.fauzy</t>
  </si>
  <si>
    <t>Efisiensi pencarian produk yang akan dikirimkan ke merchant partner</t>
  </si>
  <si>
    <t>Pencarian produk memakan waktu yang cukup lama karena tidak semua produk berada pada rak sent mp</t>
  </si>
  <si>
    <t>1.Waktu pencarian memakan waktu 3 Jam untuk total keseluruhan rak pencarian     2.Jumlah produk yang dicari rata-rata 80 produk/ hari     3.Proses saat ini :     a.Admin penjadwalan membuat jadwal pengiriman produk ke merchant tanpa mencantumkan lokasi produk     b.Admin mencari produk-produk yang dijadwalkan di gudang     c.Produk tersebar diberbagai rak sehingga Admin melakukan pencarian secara acak     d.Jika, produk tidak ditemukan pada rak sent mp, maka admin harus mengecek satu persatu ke case management untuk produk yang belum ditemukan tersebut</t>
  </si>
  <si>
    <t>1.Mengurangi waktu pencarian produk sent mp     2.Mengurangi admin dalam melakukan pengecekan ke case management     3.Mengurangi langkah admin dalam proses pencarian produk</t>
  </si>
  <si>
    <t>1.Penjadwalan pengiriman produk ke merchant partner tidak mencantumkan info lokasi produk di gudang     2.Waktu pencarian produk yang terlalu lama, karena admin harus mengecek kembali di case management     3.Produk yang akan dikirimkan ke merchant partner tersebar di beberapa rak pada gudang (rak sentmp, rak keep po, dan rak keep logistic)</t>
  </si>
  <si>
    <t>1.Melakukan proses vlookup data penjadwalan terhadap database klaim logistic dan list settlement mp manual     2.Menambahkan info lokasi penyimpanan produk pada data penjadwalan</t>
  </si>
  <si>
    <r>
      <t>Waktu pencarian memakan waktu 49 menit untuk total keseluruhan rak pencarian:</t>
    </r>
    <r>
      <rPr>
        <sz val="11"/>
        <color theme="1"/>
        <rFont val="Calibri"/>
        <family val="2"/>
        <scheme val="minor"/>
      </rPr>
      <t xml:space="preserve">     1.Rak SentMP membutuhkan waktu 0,35menit / produk     2.Rak KeepLog membutuhkan waktu 0,54menit / produk     3.Rak KeepPo membutuhkan waktu 1menit / produk     4.Special case kurang lebih 15menit     </t>
    </r>
    <r>
      <rPr>
        <b/>
        <sz val="11"/>
        <color theme="1"/>
        <rFont val="Calibri"/>
        <family val="2"/>
        <scheme val="minor"/>
      </rPr>
      <t>Jumlah produk yang dicari rata-rata 80 produk/ hari     Proses saat ini :     </t>
    </r>
    <r>
      <rPr>
        <sz val="11"/>
        <color theme="1"/>
        <rFont val="Calibri"/>
        <family val="2"/>
        <scheme val="minor"/>
      </rPr>
      <t>1.Admin penjadwalan menambahkan informasi lokasi penyimpanan produk     2.Admin terlebih dahulu mencari produk yang berada di Rak SentMP     3. Selanjutnya admin mencari produk pada Rak KeepPo dan KeepLog     4.Untuk special case yang perlu dicek lebih lanjut, admin harus melakukan pengecekan ke CM</t>
    </r>
  </si>
  <si>
    <t>1.Waktu pencarian produk berkurang 72.7%     2.Terdapat penghematan sebesar 2 jam 11 menit dalam 1 hari     3.Terdapat penghematan sebesar 10 jam 55 menit dalam 1 minggu     4.Terdapat penghematan sebesar 43 jam 40 menit dalam 1 bulan</t>
  </si>
  <si>
    <t>1.Mencari alternatif rak selanjutnya yang dapat di compare datanya terhadap data penjadwalan     2.Mengupdate data pemotongan settlement mp manual</t>
  </si>
  <si>
    <t>Arifiana Oktavia Yuli Astutik Dina Anggraini Siti Sarah</t>
  </si>
  <si>
    <t>Efisiensi Penanganan Case Kurang Kirim Merchant</t>
  </si>
  <si>
    <t>1.Proses solusi kurang kirim maksimal solusi yang bisa kita berikan ke customer itu harusnya H+3 hari kerja namun secara aktual solusinya masih ada yg lebih dari 3 hari kerja     2.Awal Masuk case, konfirmasi ke customer masih belum bisa 100% menjadi H+1 sejak customer mengajukan klaim     3.Setelah ada solusi dari merchant dan perlu konfirmasi ke customer untuk proses konfirmasi ke customer belum bisa real time di karenakan pic yang menghandle label "call" memiliki list antrian case lainnya</t>
  </si>
  <si>
    <r>
      <t xml:space="preserve">Waktu Solusi:     </t>
    </r>
    <r>
      <rPr>
        <sz val="11"/>
        <color theme="1"/>
        <rFont val="Calibri"/>
        <family val="2"/>
        <scheme val="minor"/>
      </rPr>
      <t xml:space="preserve">Total Case 22Feb-3Mar 2017 = 132     ;Belum disolusi = 11    ;Sudah disolusi = 121      ;Average = 3 hari     ;&lt;3hari   = 78  = 64%     ;&gt;3 hari = 43 = 36%          </t>
    </r>
    <r>
      <rPr>
        <b/>
        <sz val="11"/>
        <color theme="1"/>
        <rFont val="Calibri"/>
        <family val="2"/>
        <scheme val="minor"/>
      </rPr>
      <t xml:space="preserve">Konfirmasi Pertama     </t>
    </r>
    <r>
      <rPr>
        <sz val="11"/>
        <color theme="1"/>
        <rFont val="Calibri"/>
        <family val="2"/>
        <scheme val="minor"/>
      </rPr>
      <t xml:space="preserve">;Total Case 22Feb-3Mar 2017 = 121     ;Average = 2 hari     ;&lt;1hari   = 67  = 55%     ;&gt;1 hari = 54 = 45%          </t>
    </r>
    <r>
      <rPr>
        <b/>
        <sz val="11"/>
        <color theme="1"/>
        <rFont val="Calibri"/>
        <family val="2"/>
        <scheme val="minor"/>
      </rPr>
      <t>Konfirmasi Solusi</t>
    </r>
    <r>
      <rPr>
        <sz val="11"/>
        <color theme="1"/>
        <rFont val="Calibri"/>
        <family val="2"/>
        <scheme val="minor"/>
      </rPr>
      <t xml:space="preserve">      ;Total Case 22Feb-3Mar 2017 = 121          ;Average = 1 hari     ;&lt;1hari   = 90  = 74%     ;&gt;1 hari = 31 = 26%</t>
    </r>
  </si>
  <si>
    <t>1.Solusi case kurang kirim merchant maksimal 2 hari kerja     2.Follow up ke customer sejak awal masuk case 100% bisa H+1     3.Konfirmasi Solusi ke customer bisa real time</t>
  </si>
  <si>
    <t>Proses Lama :     RRA ==&gt; caller ==&gt; caller berikan label CRS H+2 ==&gt; tim FU akan cek label crs dan jika tidak ada respon dari MP di email maka tim fu akan resend email (terkadang pengecekan tidak real time di tanggal yang sama), di proses ini akan di berikan waktu ke mp h+1 untuk update lalu label crs akan di tambahkan 1 tanggal ==&gt; lalu tim fu akan cek lagi di label crs tanggal lajutannya (ini juga terkadang tidak bisa realtime cek), di step ini kalau tidak ada respon dari mp maka akan di proses solusinya langsung ==&gt; jika sudah ada solusi maka akan di follow up sama caller (terkadang tidak bisa di follow up real time karena list label yang banyak)      Penyebab case bisa di berikan solusi lama ( &gt;3 Hari kerja ) dan di folllow up lama karena :     1.Dari awal case memang sudah ada email otomatis ke merchant namun beberapa merchant tidak memperhatikan laporan yang masuk ( dalam step ini tidak ada follow up ke merchant melalui call)     2.Pemberian label CRS H+2 membuat merchant-merchant tidak segera menyadari adanya laporan dan tim follow up terkadang tidak bisa cek di tanggal yang sama sesuai label CRS     3.Apabila TIM FU mengecek label CRS H+2 dan tidak ada respon dari merchant, biasanya mereka akan follow up ke merchant lagi (email atau telepon) dan memberikan batas waktu 1 hari kerja lagi sejak mereka info ke merchant     4.Setelah penambahan waktu ke merchant 1 hari kerja pengecekan label CRS juga tidak bisa real time sehingga membuat pemberian solusi menjadi lebih lama     5.Setelah ada solusi dari tim follow up akan memberikan label "CALLddmmyy" yang berfungsi untuk update solusi ke customer, namun untuk step ini terkadang belum bisa real time di karenakan caller memiliki list update case lain</t>
  </si>
  <si>
    <r>
      <t xml:space="preserve">Proses Baru :     </t>
    </r>
    <r>
      <rPr>
        <b/>
        <sz val="11"/>
        <color theme="1"/>
        <rFont val="Calibri"/>
        <family val="2"/>
        <scheme val="minor"/>
      </rPr>
      <t>Hari Pertama</t>
    </r>
    <r>
      <rPr>
        <sz val="11"/>
        <color theme="1"/>
        <rFont val="Calibri"/>
        <family val="2"/>
        <scheme val="minor"/>
      </rPr>
      <t xml:space="preserve"> :     1.list RRA kurang Kirim akan di hubungi sama tim CRS langsung baik ke customer atau merchant    </t>
    </r>
    <r>
      <rPr>
        <b/>
        <sz val="11"/>
        <color theme="1"/>
        <rFont val="Calibri"/>
        <family val="2"/>
        <scheme val="minor"/>
      </rPr>
      <t xml:space="preserve"> 2.</t>
    </r>
    <r>
      <rPr>
        <sz val="11"/>
        <color theme="1"/>
        <rFont val="Calibri"/>
        <family val="2"/>
        <scheme val="minor"/>
      </rPr>
      <t xml:space="preserve">Merchant akan di hubungi melalui telepon agar bisa tahu langsung soal laporan kurang kirim yang masuk dan langsung berikan cut off pengecekannya maksimal 24 jam ==&gt; langsung berikan label KK di hari berikutnya     </t>
    </r>
    <r>
      <rPr>
        <b/>
        <sz val="11"/>
        <color theme="1"/>
        <rFont val="Calibri"/>
        <family val="2"/>
        <scheme val="minor"/>
      </rPr>
      <t>3.</t>
    </r>
    <r>
      <rPr>
        <sz val="11"/>
        <color theme="1"/>
        <rFont val="Calibri"/>
        <family val="2"/>
        <scheme val="minor"/>
      </rPr>
      <t xml:space="preserve">Apabila merchant di hubungi melalui telepon tidak bisa maka tim CRS akan resend email dan langsung berikan cut off juga maksimal 24 jam ==&gt; langsung berikan label KK di hari berikutnya       </t>
    </r>
    <r>
      <rPr>
        <b/>
        <sz val="11"/>
        <color theme="1"/>
        <rFont val="Calibri"/>
        <family val="2"/>
        <scheme val="minor"/>
      </rPr>
      <t>Hari Kedua</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Apabila merchant sudah update resi pengirimannya (baik call atau email ) maka tim CRS akan hubungi customer untuk update resinya ==&gt; jadi waktu follow solusi ke customer bisa real time     </t>
    </r>
    <r>
      <rPr>
        <b/>
        <sz val="11"/>
        <color theme="1"/>
        <rFont val="Calibri"/>
        <family val="2"/>
        <scheme val="minor"/>
      </rPr>
      <t>2.</t>
    </r>
    <r>
      <rPr>
        <sz val="11"/>
        <color theme="1"/>
        <rFont val="Calibri"/>
        <family val="2"/>
        <scheme val="minor"/>
      </rPr>
      <t>Apabila Merchant tidak ada respon sama sekali (baik call atau email) maka akan langsung di proses recreat order baru / refund sama tim follow up</t>
    </r>
  </si>
  <si>
    <r>
      <t xml:space="preserve">Solusi:     </t>
    </r>
    <r>
      <rPr>
        <sz val="11"/>
        <color theme="1"/>
        <rFont val="Calibri"/>
        <family val="2"/>
        <scheme val="minor"/>
      </rPr>
      <t xml:space="preserve">Total Case 22Feb-3Mar 2017 = 52     ;Belum disolusi = 6    ;Sudah disolusi = 46      ;Average = 2 hari     ;&lt;2hari   = 41  = 89%     ;3 hari  = 4   = 9%     ;&gt;3 hari = 1 = 2%          </t>
    </r>
    <r>
      <rPr>
        <b/>
        <sz val="11"/>
        <color theme="1"/>
        <rFont val="Calibri"/>
        <family val="2"/>
        <scheme val="minor"/>
      </rPr>
      <t xml:space="preserve">Konfirmasi Pertama     </t>
    </r>
    <r>
      <rPr>
        <sz val="11"/>
        <color theme="1"/>
        <rFont val="Calibri"/>
        <family val="2"/>
        <scheme val="minor"/>
      </rPr>
      <t xml:space="preserve">;Total Case 22Feb-3Mar 2017 = 52     ;Sudah disolusi = 46      ;Average = 1 hari     ;&lt;1hari   = 44  = 96%     ;&gt;1 hari = 2 = 4%          </t>
    </r>
    <r>
      <rPr>
        <b/>
        <sz val="11"/>
        <color theme="1"/>
        <rFont val="Calibri"/>
        <family val="2"/>
        <scheme val="minor"/>
      </rPr>
      <t>Konfirmasi Solusi</t>
    </r>
    <r>
      <rPr>
        <sz val="11"/>
        <color theme="1"/>
        <rFont val="Calibri"/>
        <family val="2"/>
        <scheme val="minor"/>
      </rPr>
      <t>     ;Total Case 22Feb-3Mar 2017 = 52     ;Sudah disolusi = 46      ;Average = 0 hari     ;0hari   = 43  = 93%     ;1 hari = 3 = 7%</t>
    </r>
  </si>
  <si>
    <t>1.Solusi kurang Kirim bisa lebih cepat yaitu rata-rata 2 hari dibandingkan sebelumnya 3 hari     2. Follow up pertama kali ke customer sejak case masuk, sebelum kaizen rata-ratanya 2 hari namun setelah kaizen ada 1 hari     3. Konfirmasi Solusi ke customer sejak ada solusi kalau sebelum kaizen rata-ratanya 1 hari namun setelah di kaizen rata-rata  follow upnya bisa 0 hari</t>
  </si>
  <si>
    <t>Melakukan follow up secara berkala ke merchant dalam 1 hari tersebut agar solusi ke customer bisa di hari kedua secara 100%</t>
  </si>
  <si>
    <t>Bryant Mandrawa     ;Adam Kris     ;Lindo Hari Sandi</t>
  </si>
  <si>
    <t>Efisiensi Proses Order Motor di Warehouse Drop Ship</t>
  </si>
  <si>
    <t>Proses order di WH Dropship sebelumnya memakan waktu yang cukup lama dikarenakan harus menunggu konfirmasi dari pihak TP apakah fisik motor sudah dikirimkan ke cust atau belum (Proses order di Stockholm hanya boleh dilakukan setelah dealer konfirmasi pengiriman motor ke cust).</t>
  </si>
  <si>
    <t>Waktu 4059     ;Data ini dihitung untuk process 5 order per x process</t>
  </si>
  <si>
    <t> 1. Mengurangi waktu proses sebesar 50% dengan memangkas "Delay" antara OPS dan TP      2. Mengurangi proses yang dilakukan di Stockholm </t>
  </si>
  <si>
    <t> 1. Proses order di WH Dropship sebelumnya memakan waktu yang cukup lama dikarenakan harus menunggu konfirmasi dari pihak TP apakah fisik motor sudah dikirimkan ke cust atau belum (Proses order di Stockholm hanya boleh dilakukan setelah dealer konfirmasi pengiriman motor ke cust).     2. Ketidakbisaan kita untuk langsung memproses (pick &amp; QC) karena ada beberapa customer yang harus diprioritaskan. tidak 'nyetok' SKU motor di Gudang.</t>
  </si>
  <si>
    <t>Mengubah flow process order online di warehouse dropship menjadi:     1.seluruh order yang masuk ke stockholm di WH Dropship akan langsung diproses oleh Lindo     2.Stock motor di WH Dropship diubah menjadi general, sehingga setiap kali ada order motor, pihak TP akan melakukan proses assembly untuk mengubah stock agar dapat di fulfill.     3.Semua proses order di MTA dari CX (Status 9) menjadi D akan dilakukan pihak TP setelah seluruh dokumen telah dikirimkan ke customer.</t>
  </si>
  <si>
    <t>Waktu 377     ;Data ini dihitung untuk process 5 order per x process</t>
  </si>
  <si>
    <t>Setiap hari nya Lindo melakukan proses ini 1x (di sore hari), dan setelah kaizen bisa menghemat sebesar 92%, atau 3730 seconds per hari (5.18 jam per hari)</t>
  </si>
  <si>
    <r>
      <t>-Mensosialisasikan kepada Tim TP via email untuk koordinasi settlement Order.</t>
    </r>
    <r>
      <rPr>
        <strike/>
        <sz val="11"/>
        <color theme="1"/>
        <rFont val="Calibri"/>
        <family val="2"/>
        <scheme val="minor"/>
      </rPr>
      <t>     -Evaluasi dengan Tim TP-PgM untuk mengembangkan proses ini.</t>
    </r>
  </si>
  <si>
    <t>Yordy     ;Firsty Kartika     ;Gizella Kensuri Natallia</t>
  </si>
  <si>
    <t>Efisiensi proses pengerjaan GDN Account</t>
  </si>
  <si>
    <t>Untuk pengerjaan GDN Account harus print AWB manual, dan itu membutuhkan waktu yang lama karena posisi printer ada ditempat yang jauh dari pengguna.</t>
  </si>
  <si>
    <t>Waktu yang dibutuhkan untuk memproses 1 pengiriman GDN Account adalah 845 (s) atau sekitar 14 menit 5 detik</t>
  </si>
  <si>
    <t>Proses pengerjaan GDN Account bisa lebih cepat, berkurang 40% dari waktu sebelumnya.</t>
  </si>
  <si>
    <t>1.Posisi printer yang jauh dari user     2.Proses pembuatan order pengambilan GDN Account (Antar Ulang Retur) masiih manual     3.Proses Serah Terima barang harus menunggu team outbound tubun cek barang     4.Template request pengiriman dokumen dan barang tidak ada</t>
  </si>
  <si>
    <t>1.Memindahkan posisi printer agar lebih dekat dengan user     2.Membuat macro untuk pembuatan order pengambilan GDN Account (Antar Ulang Retur &amp; Pengembalian barang ke MP)     3.Serah Terima Barang tidak perlu kebelakang kaca, cukup dari pintu kaca saja     4.Membuat dan mensosialisasikan template request pengiriman ke department yang sering mengiriman dokumen dan baran</t>
  </si>
  <si>
    <t>Waktu yang di butuhkan untuk memproses pengiriman 1 GDN Account menjadi 373 (s) atau sekitar 6 Menit 13 Detik.</t>
  </si>
  <si>
    <t>1.Waktu pengerjaan GDN Account berkurang sebesar 466 (s) atau 2.6 Jam (1 Hari)     2.Waktu transportasi yang dilakukan berkurang sebesar 236 (s)</t>
  </si>
  <si>
    <t>Mesosialisasikan hal ini ke seluruh tim Distribusi &amp; Team Outbound Tubun</t>
  </si>
  <si>
    <t>Michelle Gunawan     ;Susanti A. Marpaung     ;hendro purnomo     ;Luthfi Kurnia</t>
  </si>
  <si>
    <t> Efisiensi Pengolahan Data Pending Pickup Untuk Dikirimkan ke Asmer</t>
  </si>
  <si>
    <t>'Proses sortir data order pending PU per kategori masih manual karena nama merchant harus dicek satu-persatu via Las Vegas untuk mengetahui kategorinya sehingga memakan waktu yang lama</t>
  </si>
  <si>
    <t>Waktu yang dibutuhkan untuk 1x follow up order pending pick up ke asmer sampai diberikan feedback adalah :  2081 detik</t>
  </si>
  <si>
    <t>Menghemat waktu pengolahan data pending status PU sampai 83% (1727,23 detik) menjadi 353,77 detik</t>
  </si>
  <si>
    <t>1.Merchant sangat banyak sehingga tidak hafal kategori setiap merchant     2.Pencarian nama merchant satu per satu di Las Vegas untuk mengetahui kategorinya     3.Loading sistem Las Vegas terkadang lama.</t>
  </si>
  <si>
    <t>Menggunakan macro untuk memisahkan nama merchant sesuai kategorinya</t>
  </si>
  <si>
    <t>Setelah dilakukan improvemnet dengan menggunakan macro waktu yang dibutuhkan untuk 1x mengolah data pending PU adalah 320 detik</t>
  </si>
  <si>
    <t>Penghematan waktu (before vs after) sebesar 84,6% (konsumsi waktu turun dari 2081 detik menjadi 320 detik)</t>
  </si>
  <si>
    <t>Mengupdate data list merchant dan kategorinya setiap hari jumat ( data dari lenny)</t>
  </si>
  <si>
    <t>SCM-Fleet Mgmt - Jkt 1</t>
  </si>
  <si>
    <t>Rachel Saragih     ;M. Idris     ;Agustio</t>
  </si>
  <si>
    <t>Alur Proses Dropship Inward di Hub Cawang</t>
  </si>
  <si>
    <t>Proses dropship inward yang lama untuk satu surat jalan</t>
  </si>
  <si>
    <t>Rata-rata proses dropship inward per surat jalan memakan waktu sekitar 1449 detik atau 24 menit 9 detik</t>
  </si>
  <si>
    <t>1.Mempercepat rata-rata proses dropship inward menjadi 18 menit per surat jalan 2.Penghematan waktu pengerjaan sebesar 25 %</t>
  </si>
  <si>
    <t>1. Letak printer dan meja yang terlalu jauh dari meja operator     2.Teknik scan barcode AWB yang monoton pada saat proses dropship inward     3.Pengecekan yang berulang-ulang</t>
  </si>
  <si>
    <t>1.Pemindahan meja dan printer     2.Melakukan teknik scan barcode AWB yang berbeda untuk dimensi kecil     3.Menghilangkan proses pengecekan yang tidak di perlukan</t>
  </si>
  <si>
    <t>Rata-rata proses dropship per surat jalan setelah improvement menghabiskan waktu 15 menit 19 detik</t>
  </si>
  <si>
    <t>Proses dropship inward 530s lebih cepat (penurunan sebesar 36.5%)</t>
  </si>
  <si>
    <t>1.Melakukan teknik scan barcode AWB sesuai dimensi     2.Penerapan proses dropship secara baik dan konsisten</t>
  </si>
  <si>
    <t>SCM-Fleet Mgmt - Jkt 2</t>
  </si>
  <si>
    <t>Anton Basri Intan Debora Sihombing Rangga Dhamaswara</t>
  </si>
  <si>
    <t>Efisiensi Upload Failed Shipment Booking API</t>
  </si>
  <si>
    <t>1.Proses upload manual yang lama     2.Occurance tinggi</t>
  </si>
  <si>
    <t>Proses pengerjaan = 752 s     ;Operation : 493 s     Inspection : 52s      Delay : 207 s</t>
  </si>
  <si>
    <t>1. Mengurangi waktu pengerjaan sebesar 25%     2. Mengurangi proses copy-paste yang menyebabkan human error</t>
  </si>
  <si>
    <t>Pembuatan dan penggunaan macro excel</t>
  </si>
  <si>
    <t>Setelah melakukan improvement = 466 s     ;Operation : 207 s     Inspection : 52 s     Delay : 207 s</t>
  </si>
  <si>
    <t>Saving time sebesar 286 s (dalam sebulan saving time menjadi 17732 s)</t>
  </si>
  <si>
    <t>1.Mensosialisasikan penggunaan macro excel kepada seluruh admin BES     2.Berdiskusi lebih lanjut dengan IT agar template header bisa diubah sehingga spreadsheet Failed API dapat langsung diupload</t>
  </si>
  <si>
    <t>SCM - Fleet Mgmt Medan</t>
  </si>
  <si>
    <t>Eka Kurniawan Rahadiansyah</t>
  </si>
  <si>
    <t>Analisa Rute yang Paling Efisien Mobil Delivery BES Medan ke Region Medan Barat</t>
  </si>
  <si>
    <t>1.Waktu tempuh yang jauh     2.Biaya-biaya yang dikeluarkan     3.Wilayah-wilayah rawan macet</t>
  </si>
  <si>
    <t>1.Persentase pengiriman terbesar BES Medan ke Region Medan Barat. Bulan Jan : 40 %, Februari (1- 23 Feb) : 39 %     2.Waktu pengiriman pada Jam 14.00 WIB     3.Dilakukan trial pengiriman menggunakan dua rute yang berbeda. Rute pertama via jalan tol kemudian rute kedua via jalan non tol. Berikut adalah summary dari kedua rute tersebut</t>
  </si>
  <si>
    <t>1.Penghematan biaya perjalanan yang meliputi biaya bbm dan biaya lain-lain sebesar Rp 500/ hari     2.Penghematan waktu perjalanan sebesar 25 menit / hari</t>
  </si>
  <si>
    <t>1.Waktu tempuh yang lama     ;Lampu traffic light yang lama terutama di simpang empat pada saat siang hari sehingga membuat waktu tempuh menjadi lebih lama     2.Biaya-biaya yang dikeluarkan selama diperjalanan     ;Biaya bbm menjadi lebih besar karena macet diperjalanan     3.Wilayah-wilayah yang macet     ;Disebabkan karena simpang 4 yang padat, melewati sekolah disaat bersamaan dengan jadwal pulang sekolah</t>
  </si>
  <si>
    <t>1.Menghitung waktu tempuh terpendek dari dua rute tersebut     2.Menghitung total biaya yang dikeluarkan selama diperjalanan dari dua rute tersebut     3.Membandingkan dari sisi waktu tempuh dan biaya dari kedua rute tersebut yang paling cepat dari sisi waktu dan paling murah dari sisi biaya     4.Memilih rute yang paling cepat dan paling murah menjadi rute yang wajib dilalui oleh driver pada saat pengantaran diatas Jam 12.00 WIB</t>
  </si>
  <si>
    <t>Berikut adalah data perbandingan biaya dan waktu dari rute via jalan tol dan jalan non tol
Dari data diatas dapat disimpulkan sebagai berikut :      ;1.Rute via jalan tol mengeluarkan biaya Rp 15,900 sedangkan via non jalan tol Rp 16,521.     -Lebih hemat biaya via jalan tol dibandingkan rute via jalan non tol       ​2.Rute via jalan tol waktu tempuhnya 45 min sedangkan via jalan non tol 70 min, Lebih hemat waktu via jalan tol dibandingkan rute via jalan non tol</t>
  </si>
  <si>
    <t>Dari data after improvement maka dipilih rute via jalan tol yang dilalui oleh driver untuk pengantaran diatas jam 12.00 WIB. Saving yang diperoleh adalah : Rp621/hari = Rp 7452 perbulan     ;Saving Time = 25menit/hari = 300menit/bulan</t>
  </si>
  <si>
    <t>1.Menginstruksikan kepada koordinator dan driver untuk pengiriman setelah jam 12.00 WIB menggunakan rute via jalan tol sedangkan pengiriman sebelum jam 12.00 WIB menggunakan rute via jalan non tol     2.Konsisten menjalankan pengiriman dengan rute-rute tersebut</t>
  </si>
  <si>
    <t>SCM - Fleet Mgmt Surabaya</t>
  </si>
  <si>
    <t>maman hanafie okta yuniar  ;dony setyawan joko susilo</t>
  </si>
  <si>
    <t>Penghematan Biaya Pembelian Material Penunjang Dalam Proses Pengiriman</t>
  </si>
  <si>
    <t>1.Pemborosan dalam penggunaan tali rafia dan trash bag dalam setiap pengiriman     2.Tidak ada monitoring khusus untuk penggunaan material tersebut     3.Tas keranjang pos untuk pengiriman jumlahnya terbatas, tidak sesuai dengan kebutuhan messenger</t>
  </si>
  <si>
    <t>Kebutuhan rata-rata tali rafia untuk mengikat paket-paket yang akan dikirimkan oleh BES Surabaya adalah 2 roll / bulan, dan trash bag 4pack / bulan</t>
  </si>
  <si>
    <t>Penghematan biaya untuk kebutuhan material penunjang (tali rafia dan trash bag) yang digunakan untuk proses pengiriman paket sebesar 70.96%</t>
  </si>
  <si>
    <t>Why Analysis:     1.Mengapa? Penggunaan tali rafia dan trash bag tidak efisien     2.Mengapa tidak efisien? Tali rafia dan trash bag kebanyakan dipakai hanya sekali saja oleh messenger     3.Mengapa hanya dipakai sekali saja? Tidak ada control khusus untuk memonitoring pemakaian tersebut     4.Mengapa tidak ada monitoring? Tidak ada pencatatan data penggunaan material tersebut     5.Mengapa tidak ada pencatatan? Belum ada PIC khusus dan form khusus untuk pencatatan data penggunaan material</t>
  </si>
  <si>
    <t>1.Mengganti tali rafia dengan tali karet untuk penghematan penggunaan tali rafia      2.Melakukan pencatatan data penggunaan tali rafia dan trash bag (PIC: Koordinator)     3.Sosialisasi penghematan penggunaan material secara berkala kepada messenger pada saat briefing</t>
  </si>
  <si>
    <t>Setelah kebijakan penggunaan tali karet mulai diberlakukan, maka kebutuhan tali rafia bisa dikurangi sebesar ½ roll perbulan dan kebutuhan trash bag menjadi 1 pack saja per bulan, jadi biaya yang dikeluarkan untuk pembelian tali rafia menjadi sebesar Rp 30.000,-/ bulan</t>
  </si>
  <si>
    <t>Dari hasil perbandingan sebelum dan sesudah, diperoleh hasil saving cost yang sebesar Rp 73.333 dalam sebulan atau Rp 879.996 setahun. Nominal saving cost mungkin masih kecil untuk ukuran BES Surabaya yang hanya ada 12 orang messenger, namun jika jumlah messenger sudah mencapai ratusan orang, maka saving cost yang didapat akan signifikan</t>
  </si>
  <si>
    <t>1.Sosialisasi dan refreshment tentang efisiensi secara berkala danpada saat briefing     2.Stock tali plastik dan trash bag akan dikontrol dan dicatat, sehingga messenger diharapkan bisa mengurangi pemakaian (reduce) dan menggunakan kembali (re-use)</t>
  </si>
  <si>
    <t>Titis Ekky Krisnanda Lusyana Wijaya Verencia Permatasari</t>
  </si>
  <si>
    <t>Efficiency Preparation Process of XLOG_Reconcile File</t>
  </si>
  <si>
    <t>1. Proses menunggu penurunan rumus sumif di File XLOG_Reconcile membutuhkan waktu yang lama</t>
  </si>
  <si>
    <t>1. Durasi menarik File XLOG_Reconcile dari Jasper membutuhkan waktu 2380.72 s            2. Durasi membuka File XLOG_Reconcile membutuhkan waktu 45.17 s            3. Durasi membuat template File XLOG_Reconcile membutuhkan waktu 9.43s            4. Durasi membuat rumus di File XLOG_Reconcile membutuhkan waktu 269.75 s            5. Durasi menunggu penurunan rumus di File XLOG_Reconcile membutuhkan waktu ± 100,817.44 s            6. Durasi menyimpan File XLOG_Reconcile di Folder Rekon membutuhkan waktu 192.19s            7. Durasi memasukkan rumus dari File Xlog_Reconcile ke File Invoice membutuhkan waktu 697.29 s            8. Durasi Pengecekan Invoice membutuhkan waktu ± 2408.72 s</t>
  </si>
  <si>
    <t>Mempersingkat waktu penurunan Rumus di File XLOG_Reconcile menjadi 37,383.85s</t>
  </si>
  <si>
    <t>1. Proses menunggu penurunan rumus sumif di File XLOG_Reconcile membutuhkan waktu yang lama       - Cara kerja rumus sumif adalah dengan melakukan pengecekan berulang terhadap data  sehingga proses kalkulasi menjadi lama      - Jumlah Data File XLOG_Reconcile mencapai ± 400,000      - Data tarikan xlog rekonsiliasi masih dalam level order item, belum dalam level AWB</t>
  </si>
  <si>
    <t>Mengubah cara meng-sumif dengan pivot di File XLOG_Reconcile</t>
  </si>
  <si>
    <t>1. Durasi menarik File XLOG_Reconcile dari Jasper membutuhkan waktu 2380.72s        2. Durasi membuka File XLOG_Reconcile membutuhkan waktu 45.17s        3. Durasi membuat rumus di File XLOG_Reconcile membutuhkan waktu 199.72s        4. Durasi menunggu penurunan rumus di File XLOG_Reconcile membutuhkan waktu 13,103.16s      5. Durasi menyimpan File XLOG_Reconcile di Folder Rekon membutuhkan waktu 11.42s        6. Durasi memasukkan rumus dari File Xlog_Reconcile ke File Invoice membutuhkan waktu 697.29s        7. Durasi Pengecekan Invoice membutuhkan waktu ± 2408.72 s        </t>
  </si>
  <si>
    <t>Penghematan sebesar 82.35%:         87,965 (24jam 26menit 5 detik) per bulan      penghematan per tahun sebesar 1,055,580 detik (293 jam 13 menit)</t>
  </si>
  <si>
    <t>Mensosialisasikan kepada semua Tim Recon</t>
  </si>
  <si>
    <t>Adi Kharisma Bambang Eko Raharjo Ferdi Tri Sunu Wibowo</t>
  </si>
  <si>
    <t>Efisiensi ukuran Bubble wrap untuk packaging product zyo </t>
  </si>
  <si>
    <t>1. pemotongan Bubble Wrap yang tidak seragam 2.Pembungkusan ( packing ) yang memakan waktu lama    </t>
  </si>
  <si>
    <t>1.penggunaan Bubble Wrap yang sesuai dengan ukuran      2.efisiensi bubble  dan waktu pembungkusan ( packing )</t>
  </si>
  <si>
    <t>1.Memotong Bubble manual, tanpa menggunakan alat ukur dan semua packer bisa melakukan proses pemotongan menjadi factor utama pemotongan ukuran bubble yang tidak seragam 2.waktu potong Bubble Wrap pada saat pembungkusan ( packing ) menyebabkan proses pembungkusan ( packing ) menjadi lama</t>
  </si>
  <si>
    <t>*) penyeragaman ukuran dimensi pembungkusan ( packing )  untuk product yang sama                             *) mengurangi lamanya waktu pada proses pembungkusan ( packing )     *) menghilangkan proses potong bubble saat proses pembungkusan ( packing ) product Zyo      *) Menentukan PIC khusus pemotongan bubble</t>
  </si>
  <si>
    <t>saving time 2215.14menit/bulan</t>
  </si>
  <si>
    <t> 1. Brifieng untuk PIC pemotongan ( coordinator packer )      2.penambahan SOP untuk coordinator packer agar kaizen bias berjalan continue      3.Review metode pemotongan ( apaka akan dilakukan manual atau request ke supplier untuk ukuran yang diinginkan</t>
  </si>
  <si>
    <t>Rommy P. Gazali     ;Raimi Noor     ;Vilia Sylvia</t>
  </si>
  <si>
    <t>Penyimpanan barang racking dengan box cart tertutup</t>
  </si>
  <si>
    <t>1.Product di storage racking lebih cepat kotor     2. Operator harus mengeluarkan barang terlebih dahulu dari box cart</t>
  </si>
  <si>
    <t>Waktu 540detik</t>
  </si>
  <si>
    <t>1.Product di storage racking tidak cepat kotor     2.Operator tidak perlu mengeluarkan barang terlebih dahulu dari box cart</t>
  </si>
  <si>
    <t>1.Storage box cart tidak ada penutup sehingga lebih mudah terkena debu dan kotoran     2.Peletakkan barang kurang teratur sehingga operator harus mengeluarkan barang terlebih dahulu untuk menghitung dan menyusunnya kembali</t>
  </si>
  <si>
    <t>Menggunakan box cart tertutup</t>
  </si>
  <si>
    <t>Waktu 420 detik</t>
  </si>
  <si>
    <t>Saving waktu 120 detik (22.22%) setiap menghitung 1 storage box card.     Dalam 1 hari, kurang lebih storage bin yang dihitung adalah 100-120 box card sehingga saving per hari adalah 12.000 - 14.400 detik (3 jam 20 menit - 4 jam)</t>
  </si>
  <si>
    <t>Mengganti seluruh box cart dengan box cart tertutup</t>
  </si>
  <si>
    <t>Andi,Tiara</t>
  </si>
  <si>
    <t>Increase efficiency of handover Outbound</t>
  </si>
  <si>
    <t>1.Ekspedisi lama Menunggu 2. Pengangkutan barang di pallet berulang</t>
  </si>
  <si>
    <t>Mempercepat proses handover</t>
  </si>
  <si>
    <t>1)Muatan di pallet di dapat muat banyak - pallet tidak bisa mengangkut banyak paket karena tidak ada penutup /sekat yang menahan susunan paket 2)Satu handpallet hanya untuk satu handover - jika pallet yang akan di handover lebih dari satu pallet maka tidak dapat di bawa bersamaan</t>
  </si>
  <si>
    <t>1)Replace penggunaan pallet dengan trolly 2)Modifikasi troly menggunakan Roda</t>
  </si>
  <si>
    <t>1)Pengadaan Trolly 2)brief cara penggunaan trolly 3)Update SOP</t>
  </si>
  <si>
    <t>Dwi - Indra - Anggit</t>
  </si>
  <si>
    <t>REORGANIZE ALAT KERJA PACKER DAN MATERIAL PACKAGING</t>
  </si>
  <si>
    <t>•Alat kerja packer dan material packaging yang tidak tersusun rapi membuat proses packing lebih lama</t>
  </si>
  <si>
    <t>Penempatan alat kerja dan material packaging yang rapi dan tersusun mempermudah proses packing</t>
  </si>
  <si>
    <t>1.Alat kerja yang tidak memiliki tempat penyimpanan memperlambat proses packing.     2.Penempatan material box yang tidak teratur bertumpuk dengan material lainnya     3.Ketika packer rolling meja paking, packer akan kesulitan mencari material</t>
  </si>
  <si>
    <t>Dengan adanya keizen ini maka dapat melakukan penghematan 5,2 jam/ Bulan atau Penghematan sebesar 51%</t>
  </si>
  <si>
    <t>•Menyimpan alat kerja dan material packing di tempat yang telah di tentukan.     •Menyeragamkan posisi layout material packaging</t>
  </si>
  <si>
    <t>SCM-WH Cawang II</t>
  </si>
  <si>
    <t>Hadi - Adi Pravianto - Obi - Danar Wijiatmoko</t>
  </si>
  <si>
    <t>Menimalisir perlambatan proses picking karena ketidarataan persebaran paket dengan metode Nomer</t>
  </si>
  <si>
    <t>terdapat paket yang lama di packing sedangkan paket dikirim ke QC packer diwaktu yang sama</t>
  </si>
  <si>
    <t>Semua paket tersebar rata ke setiap masing2 QCpaker dengan rata sehingga tidak terjadi perlambatan pengemasan.</t>
  </si>
  <si>
    <t>1 Packer Mengambil Paket Sebanyak mungkin yang mereka bisa tampung di area kerja     2 Packer yang berada di belakang mendapatkan paket lebih sedikit     3 Packer dengan paket lebih sedikit lebih cepat selesai, sedangkan packer dengan paket yang lebih banyak masih memiliki paket yang harus diselesaikan     4 Paket yang seharusnya dikerjakan lebih dahulu bisa menjadi dikerjakan belakangan karena ditumpuk dengan paket yang baru</t>
  </si>
  <si>
    <t>- paket kontainer diberikan nomor yang mangacu pada nomor meja packer     - packer tidak menumpuk paket yang lama dengan paket yang baru</t>
  </si>
  <si>
    <t>Dari data before dan after yang diperoleh lproses ebih cepat menjadi 15 menit dr proses cek QC/Paking ke GIN dari yang sebelumnya 22 menit ). atau sebesar menghemat 41,67%</t>
  </si>
  <si>
    <t>SCM-WH Medan</t>
  </si>
  <si>
    <t>muhammad sofri - umri - arvin pohan - al lubis</t>
  </si>
  <si>
    <t>Efisiensi Penggunaan Material Kertas Pada Proses Stock Opname</t>
  </si>
  <si>
    <t>1.Material kertas yang tersedia terbatas     2.Harga material kertas relatif mahal     3.Pemborosan penggunaan material kertas     4.Tempat failing laporan hasil stock opname terbatas</t>
  </si>
  <si>
    <t>Pemakaian material kertas pada proses stock opname adalah:</t>
  </si>
  <si>
    <t>Menghemat penggunaan material kertas pada proses stock opname</t>
  </si>
  <si>
    <t>Dari analisa terhadap efisiensi penggunaan kertas pada proses stock opname, maka diperoleh hasil sebagai berikut:      1.Material kertas cepat habis karena kesalahan pada proses pencetakan laporan stock opname      2.Apabila kertas habis, waktu yang diperlukan untuk membeli kertas kembali lama      3.Material kertas yang ada saat ini memiliki kualitas baik, sehingga dari sisi harga juga mahal      4.Ordner failing untuk hasil laporan stock opname terbatas      5.Harga ordner failing yang dimiliki WH Medan saat ini mahal</t>
  </si>
  <si>
    <t>Improvement yang dilakukan untuk menghemat penggunaan material kertas pada proses stock opname adalah      1.Menggunakan kedua sisi material kertas      2.Meminimalisir kesalahan dalam mencetak kertas laporan stock opname      3.Menggunakan kembali kertas yang sudah tidak terpakai/salah cetak pada divisi lain      4.Mengedit ukuran font, margin dalam proses pencetakan laporan stock opname      5.Menggunakan filing clip sebagai pengganti ordner file yang ada saat ini</t>
  </si>
  <si>
    <t>Berikut ini adalah data penggunaan material kertas pada proses stock opname after improvement adalah:</t>
  </si>
  <si>
    <t>Dari data before dan after yang diperoleh, maka benefit yang didapat dari adanya program kaizen III ini adalah penghematan penggunaan material kertas pada proses stock opname sebesar 50%</t>
  </si>
  <si>
    <t>Aktivitas yang dilakukan selanjutnya dalam menghemat penggunaan material kertas pada proses stock opname adalah melanjutkan aktivitas improvement yang sudah dilakukan sebelumnya.</t>
  </si>
  <si>
    <t>Seteven Chandra Udi Suardi Ferdhianto Ibnugroho Romayudin</t>
  </si>
  <si>
    <t>Penghematan waktu pencatatan barang IR Photoshoot yang masuk dan keluar dengan Konsep 3M (Muda, Mura, dan Muri)</t>
  </si>
  <si>
    <t>Lamanya waktu pencatatan barang IR Photoshoot yang masuk dan keluar dari Gudang Photoshoot</t>
  </si>
  <si>
    <t>Waktu Siklus pencatatan barang IR Photoshoot adalah 1,3 menit/IR Photoshoot (76 detik/IR Photoshoot)</t>
  </si>
  <si>
    <t>Waktu Siklus pencatatan barang IR Photoshoot adalah 0,5 menit/IR Photoshoot (30 detik/IR Photoshoot) </t>
  </si>
  <si>
    <t>1. Urutan kolom dari form checklist tidak sesuai dengan urutan pencatatan QC Inbound Photoshoot      - belum diterapkan konsep 3M (Muda, Mura dan Muri) terkait urutan kolom form checklist     2. Pencatatan dilakukan manual di 13 kolom per baris pada form checklist      3. Cara pengisian kolom di form checklist yang belum disederhanakan      - belum ada ide pengisian dengan inisial terkait cara pengisian kolom</t>
  </si>
  <si>
    <r>
      <t>1.Membuat format tabel baru sesuai urutan pencatatan QC Inbound Photoshoot Maka pencatatannya pun secara otomatis berurutan dari sebelum perbaikan</t>
    </r>
    <r>
      <rPr>
        <i/>
        <sz val="11"/>
        <color theme="1"/>
        <rFont val="Calibri"/>
        <family val="2"/>
        <scheme val="minor"/>
      </rPr>
      <t xml:space="preserve"> (Mengatasi Mura artinya tidak teratur; tidak seimbang; tidak merata)     2.</t>
    </r>
    <r>
      <rPr>
        <sz val="11"/>
        <color theme="1"/>
        <rFont val="Calibri"/>
        <family val="2"/>
        <scheme val="minor"/>
      </rPr>
      <t>Pengisian kolom menggunakan inisial saja sehingga menjadi cepat dan sederhana</t>
    </r>
    <r>
      <rPr>
        <i/>
        <sz val="11"/>
        <color theme="1"/>
        <rFont val="Calibri"/>
        <family val="2"/>
        <scheme val="minor"/>
      </rPr>
      <t>     (Mengatasi Muda artinya pemborosan)     3.</t>
    </r>
    <r>
      <rPr>
        <sz val="11"/>
        <color theme="1"/>
        <rFont val="Calibri"/>
        <family val="2"/>
        <scheme val="minor"/>
      </rPr>
      <t>Pencatatan dilakukan pada 8 kolom saja dari 13 kolom form checklist 5 kolom yang lain diisi oleh inbound sebelumnya sehingga tidak perlu diisi lagi</t>
    </r>
    <r>
      <rPr>
        <i/>
        <sz val="11"/>
        <color theme="1"/>
        <rFont val="Calibri"/>
        <family val="2"/>
        <scheme val="minor"/>
      </rPr>
      <t xml:space="preserve"> (Mengatasi Muri artinya beban yang berlebih; beban yang tidak masuk akal)</t>
    </r>
  </si>
  <si>
    <t>Waktu Siklus pencatatan barang IR Photoshoot adalah 0,7 menit/IR Photoshoot (42 detik/IR Photoshoot)</t>
  </si>
  <si>
    <t>Saving yang didapat per bulan sebesar 1,32 jam jika rata-rata 7IR/hari (140 IR/bulan)</t>
  </si>
  <si>
    <t>Evaluasi dan mencari cara lain, pengganti pencatatan manual pada form checklist jika memungkinkan</t>
  </si>
  <si>
    <t>Handoko Widodo Martinus Andry Ignacia Ciara Irawan Chaiyren Olivia Herman</t>
  </si>
  <si>
    <t>Saving time dalam pembuatan NPS report</t>
  </si>
  <si>
    <t>Proses pembuatan report NPS yang sangat memakan waktu</t>
  </si>
  <si>
    <t>Per minggu membutuhkan waktu sampai 2 jam lebih untuk menyelesaikan NPS report</t>
  </si>
  <si>
    <t>Menurunkan waktu pengerjaan 25%</t>
  </si>
  <si>
    <t>Harus membaca dan melakukan mapping reason 1 per 1 sesuai yang ditulis oleh customer</t>
  </si>
  <si>
    <t>Membuat survey design baru yang memungkinkan customer bisa langsung memilih reason dalam memberikan score (bukan open question lagi)</t>
  </si>
  <si>
    <t>Proses pembuatan report NPS cukup 20 menit</t>
  </si>
  <si>
    <t>1.Saving time/week = 220 menit     2.Saving time/month = 220 menit x 4 weeks = 15 hours</t>
  </si>
  <si>
    <t>Will create SOP in making NPS report</t>
  </si>
  <si>
    <t>Anna Maria Jessica, Danang Limantoro, Dominik Laurus, Jeffry Setyawan Pribadi</t>
  </si>
  <si>
    <t>Efisiensi Pembuatan Report Summary Kaizen</t>
  </si>
  <si>
    <t>Pembuatan Report Summary Kaizen membutuhkan waktu yang lama</t>
  </si>
  <si>
    <t>Lama pembuatan Report Sumamry Kaizen 51 menit 20 detik</t>
  </si>
  <si>
    <t>Mempercepat pembuatan Report Summary Kaizen menjadi 20 menit.</t>
  </si>
  <si>
    <t>Terdapat banyak proses berulang, yaitu copy paste dari Confluence, karena Format Confluence kurang bagus</t>
  </si>
  <si>
    <t>Pembuatan Ketentuan Cara Pengisian Data di Confluence</t>
  </si>
  <si>
    <t>Lama pembuatan Report Sumamry Kaizen 8 menit 4 detik</t>
  </si>
  <si>
    <t>43 menit 16 detik / 3 minggu</t>
  </si>
  <si>
    <t>Monitoring secara rutin cara pengisian Confluence</t>
  </si>
  <si>
    <t>emilia rizky,ropi syahyudi,abdurahman wibowo</t>
  </si>
  <si>
    <t>Deskripsi Produk</t>
  </si>
  <si>
    <t>Menunggu informasi / update yang terlalu lama dari pihak asmer</t>
  </si>
  <si>
    <t>Team Bem Membutuhkan waktu 5 - 7 hari kerja untuk mendapatkan update dari assmer (Mengingat assmer banyak handle Merchant Partner)</t>
  </si>
  <si>
    <t>1. Mempercepat proses update hasil follow up ke customer.   2.Tidak Banyak case yang menggantung untuk membutuhkan jawaban dari tim Asmer   3.Meminimalisir case complain karena proses update yang cukup memakan waktu    4.Meningkatkan traffic customer order di Blibli.com</t>
  </si>
  <si>
    <t>1.Banyaknya Merchant Partner yang di handle oleh beberapa Assmer.    2.Banyak merchant partner yang sulit dikordinasi sehingga sulit mendapatkan Info    3.Info pada website kurang lengkap sehingga banyak customer yang masuk untuk menanyakan spesifikasi produk    4.kurangnya Standarisasi pada sistem yang digunakan Merchant Tools Aplication sehingga banyak produk yang tidak layak tayang di website.</t>
  </si>
  <si>
    <t>1. Request agar pada sistem Merchant tools Aplication memiliki standarisasi upload deskripsi yang jelas2. Menggadakan meeting bulanan agar mengetahui untuk kendala update yang dialami oleh para Asmer</t>
  </si>
  <si>
    <t>Sudah mulai berjalan untuk penerapan improvement pengerajaan case dengan langsung menghubungi PIC Merchant Partner bagi case deskripsi produk</t>
  </si>
  <si>
    <t>Dani H. Saputra, Amanda, Sitti Rahma, Igih Fauzi</t>
  </si>
  <si>
    <t>efektifitas penjadwalan Team Leader untuk Coaching agent dan duty pada Floor</t>
  </si>
  <si>
    <t>1.tidak adanya schedule mengenai coaching dan monitor di floor. 2. TL membutuhkan waktu yang cukup lama untuk menunggu sampling coaching dari agent3.waktu On Duty floor leader adalah saat available ketika menunggu sampling yang dicari oleh agent secara mendadak</t>
  </si>
  <si>
    <t>1. Tidak achieve proses coaching per periode akibat tidak adanya schedule2. TL Membutuhkan waktu kurang lebih 2 jam 1 menit untuk meminta sampling dan melakukan coaching agent 3. waktu coaching tidak efektif dan fokus karena Agent online juga tidak mengetahui aturan Team Leader yang mana yang ditunjuk On Duty Floor4. Saat coaching secara bersamaan, Floor tidak termonitor dengan baik</t>
  </si>
  <si>
    <t>1.memudahkan pembagian waktu Coaching dan waktu On Duty floor Team leader 2. Meminimalisir waktu TL menunggu sampling yang agent cari karena telah ada schedule yang sudah di post di hari minggu sebelumnya untuk periode coaching minggu berikutnya.3. waktu coaching menjadi efektif, dan On Duty floor bisa termonitor dengan baik</t>
  </si>
  <si>
    <t>1. Membuat schedule coachiing dan Schedule on duty floor setiap minggunya oleh SPV Team Leader - Eka2. Melakukan sosialisasi mengenai schedule yang telah dibuat kepada seluruh agent agar agent mengetahui Team Leader mana yang ditunjuk On Duty Floor setiap harinya sehingga tidak mengganggu aktivitas Team Leader lainnya yang melakukan coaching3. Edukasi mengenai proses pengumpulan sampling untuk efektifitas waktu coaching</t>
  </si>
  <si>
    <t>waktu lebih efisien, dimana untuk data awal = 2 jam: 41 menit; 30 detik.data after = 1jam: 8 menit; 27 Detikmenghemat waktu 1 jam: 33 menit; 3 detikdengan persentase penurunan 58%</t>
  </si>
  <si>
    <t>1. sosialisasi berkesinambungan setiap minggunya terkait schedule coaching dan on duty floor kepada seluruh agent.</t>
  </si>
  <si>
    <t>Mei Fitria Handayani ; Lita Adhitia ; alexandrea reges</t>
  </si>
  <si>
    <t>Efisiensi report nilai monitoring CS</t>
  </si>
  <si>
    <t>Report membutuhkan waktu yang lama karena pembuatannya masih manual. Data pada report hanya berupa summary, tidak mendetail. Membutuhkan banyak file.</t>
  </si>
  <si>
    <t>Pembuatan report nilai agent sebelumnya membutuhkan waktu 1 jam 1 menit per hari.</t>
  </si>
  <si>
    <t>Mengurangi waktu pengerjaan report nilai agent. Report juga lebih mendetail.</t>
  </si>
  <si>
    <t>Proses pembuatan report masih manual dan membutuhkan storage yang cukup banyak. Report hanya berupa summary, tidak mendetail.</t>
  </si>
  <si>
    <t>Form monitoring di compile menjadi satu file sebagai report nilai agent.</t>
  </si>
  <si>
    <t>Compile form monitoring menjadi report nilai agent hanya membutuhkan waktu 8 menit per hari.</t>
  </si>
  <si>
    <t>Efisiensi waktu :52 menit / hari4 jam / minggu8 jam / bulan96 jam / tahun</t>
  </si>
  <si>
    <t>Sudah diaplikasikan per Maret 2017 dan seterusnya.</t>
  </si>
  <si>
    <t>okta yuniar ; dony setyawan ; maman hanafie ; joko susilo</t>
  </si>
  <si>
    <t>Efisiensi Pemakaian Kertas untuk Proses Penentuan Rute Kiriman oleh Messenger</t>
  </si>
  <si>
    <t>1. Menu TMS mobile tidak bisa disorting by custom oleh messenger untuk menentukan rute kiriman 2. Messenger masih harus mengolah data pengiriman secara manual untuk proses sorting rute pengiriman 3. Penggunaan kertas dan tinta printer untuk proses routing kiriman oleh messenger</t>
  </si>
  <si>
    <t>Rata-rata kertas yang dipakai untuk print runsheet adalah 1/2 rim per bulan atau sekitar Rp. 17.500 per bulan</t>
  </si>
  <si>
    <t>Zero waste khusus untuk biaya yang dikeluarkan untuk pembelian kertas A4 untuk print runsheet</t>
  </si>
  <si>
    <t>1. Mengapa? Runsheet TMS tidak bisa di-sorting by custom oleh messenger 2. Mengapa tidak bisa di-sorting? Karena data runsheet pada aplikasi TMS hanya menampilkan AWB sehingga menjadi kendala bagi messenger 3. Mengapa menjadi kendala? Karena messenger masih harus menentukan rute pengiriman by manual 4. Mengapa harus by manual? Karena data runsheet harus dicetak dan sifatnya hanya sekali pakai 5. Mengapa harus dicetak? Karena data runsheet tidak dibagikan softcopy-nya kepada messenger</t>
  </si>
  <si>
    <t>1 Data runsheet pengiriman tidak lagi diprint (paperless) 2. Mesenger diarahkan untuk menggunakan feature excel pada handphone 3. Messenger selanjutnya akan menggunakan data runsheet yang dikirimkan ke email masing-masing, mereka tinggal sorting menggunakan excel via handphone (PIC: Koordinator)</t>
  </si>
  <si>
    <t>Karena sekarang runsheet messenger tidak diprint (paperless), maka kebutuhan untuk cetak bisa dihemat hingga 100%. Kertas bisa digunakan untuk keperluan lainnya</t>
  </si>
  <si>
    <t>Dengan meniadakan proses print runsheet kiriman, secara data akan diperoleh saving cost pembelian kertas A4 sebesar Rp. 17.500 per bulan atau sekitar Rp. 210.000 setahun</t>
  </si>
  <si>
    <t>1. Sosialisasi kepada koordinator dan messenger tentang kebijakan penggunaan kertas 2. Melatih messenger untuk menggunakan feature excel di handphone</t>
  </si>
  <si>
    <t>Santiasih; Livia Sadikin Karwita; Elbert Lukman; Gusti Intan</t>
  </si>
  <si>
    <t>Efisiensi Pelaksanaan Research</t>
  </si>
  <si>
    <t>Pelaksanaan research memerlukan waktu yang lama dan revisi berulang kali</t>
  </si>
  <si>
    <t>Pelaksaan riset membutuhkan waktu hingga 3 jam 8 menit (perlu revisi 1x)</t>
  </si>
  <si>
    <t>Mengurangi waktu pengerjaan research 20%; mengurangi frekuensi revisi</t>
  </si>
  <si>
    <t>1. Scope research tidak jelas sehingga waktu pencarian bisa melebar.</t>
  </si>
  <si>
    <t>Membuat Research Form Customer Experience yang menjelaskan background, goal, dan scope dari research yang dimaksud.</t>
  </si>
  <si>
    <t>Pelaksaan research membutuhkan waktu 40 min (termasuk revisi 1 x).</t>
  </si>
  <si>
    <t>Efisiensi waktu:Per research = 148 min2 minggu = 1 researchPer bulan = 296 minPer tahun = 3552 min = 59,6 jam = 7,4 hari kerja</t>
  </si>
  <si>
    <t>Mendefine minor dan major research dengan bobot kesulitan yang berbeda.</t>
  </si>
  <si>
    <t xml:space="preserve">Peter M. Leonardy, Stevie Prayudi,Priska Diputra   Merry </t>
  </si>
  <si>
    <t>Efisiensi proses bulk refund kartu kredit.</t>
  </si>
  <si>
    <t>Proses pembuatan data bulk refund masih dilakukan secara manual dengan cara lookup dan copy paste satu per satu data dan memerlukan waktu yang cukup lama. Proses copy paste manual satu per satu menimbulkan potensi human error / kurang akurat.</t>
  </si>
  <si>
    <t>1.Finance team membutuhkan waktu hingga 15 menit untuk lookup data dan edit format data.      2.Copy dan paste data manual ke template bulk refund memerlukan waktu hingga 5 menit.</t>
  </si>
  <si>
    <t>Mempercepat proses pengolahan data refund kartu kredit hingga 50%</t>
  </si>
  <si>
    <t>1.Proses lookup beberapa kali 2.Mapping Order ID dengan Auth Code 3.Merapikan data yang akan dilookup 4.Mengedit format data Order ID dan Auth code dari data Portal Speedorder 5.Copy dan Paste data manual satu per satu ke template bulk refund</t>
  </si>
  <si>
    <t>Membuat makro untuk proses otomatisasi lookup dan pembuatan report bulk refund.</t>
  </si>
  <si>
    <t>Penghematan waktu sebesar 53,81% per hari atau setara 11 menit / per hari.</t>
  </si>
  <si>
    <t>Penghematan waktu per minggu sebesar 1jam 15menit, penghematan waktu per bulan sebesar 5jam 22menit.</t>
  </si>
  <si>
    <t>Implementasi metode baru dalam proses pembuatan bulk refund. Sosialisasi metode baru ke Finance</t>
  </si>
  <si>
    <t>Charles, Intan P. Hartono, Lois Amilia</t>
  </si>
  <si>
    <t>Efisiensi Rekap Data Promo</t>
  </si>
  <si>
    <t>Penarikan data dari beberapa Jasper report untuk pengerjaan satu promo (dilakukan secara periodik selama promo berlangsung). Proses lookup yang lama akibat volume data yang besar. Pemborosan resource jasper akibat penarikan data yang mirip dari beberapa source</t>
  </si>
  <si>
    <t>OPM team membutuhkan waktu hingga 12 menit untuk penarikan dari beberapa source Jasper. Proses lookup data bisa mencapai 5 menit pada volume data promo yang besar</t>
  </si>
  <si>
    <t>Mengurangi proses penarikan data dari beberapa sumber di Jasper. Menghilangkan proses lookup yang lama hingga menyebabkan excel-crashed. Efisiensi resource jasper.</t>
  </si>
  <si>
    <t>Tidak tersedianya report yang mengakomodir seluruh kebutuhan data pada suatu promo</t>
  </si>
  <si>
    <t>Request pembuatan template report Jasper. Request pemasangan filter pada report Jasper tertentu.</t>
  </si>
  <si>
    <t>Mahpudin ; Ratnasari Dewi ; Reny ; florida.desiana</t>
  </si>
  <si>
    <t>Pemberian label AMA untuk case case ancam media</t>
  </si>
  <si>
    <t>1. Retur - retur yang berisi Ancam Media akan menjadi satu dengan case lainnya sehingga proses penanganannya memakan waktu yang lebih lama.2. Tidak adanya prioritas penanganan case Ancam media.</t>
  </si>
  <si>
    <t>1. Jumalah case yang sudah diberi label CALL untuk di hubungi dari tanggal 23 Maret - 24 Maret berjumlah 115 case2. Jumlah case Ancam Media dari 115 case ada +/- 3 case.3. Caller akan menghubungi cutomer ketika menemukan casenya atau mendapatkan informasi dari department lain bisa memakan waktu 1- 2 hari dari laporan dibuat</t>
  </si>
  <si>
    <t>1. Memberikan informasi dan atau emberikan solusi yang cepat atas klaim sehingga bisa meminimalisir customer Ancam media.2. Memprioritaskan case agar dapat di follow up di hari yang sama.</t>
  </si>
  <si>
    <t>1. Case Ancam media tidak terprioritasnya karena menjadi satu dengan case lainnya.</t>
  </si>
  <si>
    <t>1. Sosialisasi ke CS untuk pemberian label AMA jika customer sudah Ancam Media (khusus Retur)</t>
  </si>
  <si>
    <t>Membuat klaisifikasi case AMA dengan memberikan label AMA oleh tim Caller untuk tim Caller tarik dan di informasikan di hari yang sama.</t>
  </si>
  <si>
    <t>Konfirmasi ke customer bisa dilakukan di hari yang sama setelah di berikan lebel AMA oleh Tim Caller dan paling lambat di 1 hari berikutnya.</t>
  </si>
  <si>
    <t>Mengerjakan label AMA di hari yang sama atau paling lambat di 1 hari setelah diberikan label.</t>
  </si>
  <si>
    <t>Lusyana Wijaya ; Sherly Setiawan ; angela cherie ; aziz kalam</t>
  </si>
  <si>
    <t>Simplify Weight Adjustment Process</t>
  </si>
  <si>
    <t>Proses Weight Adjustment membutuhkan waktu yang lama</t>
  </si>
  <si>
    <t>1. Mengumpulkan data yang perlu di weight adjustment dari invoice membutuhkan waktu 85.92 s, 2. Durasi merapikan data weight adjustment membutuhkan waktu 23.08 s, 3. Durasi mengumpulkan data SKU dari IDV membutuhkan waktu 2,369.15 s per 100 SKU, 4. Durasi mengirimkan Request Weight Adjustment ke tim MS Production membutuhkan waktu 24.01 s</t>
  </si>
  <si>
    <t>Mempercepat proses Weight Adjustment hingga 50%</t>
  </si>
  <si>
    <t>Proses Weight Adjustment membutuhkan waktu yang lama -&gt; Data yang dibutuhkan untuk melakukan weight adjustment kurang lengkap -&gt; Proses mengumpulkan data weight adjusment dilakukan secara manual -&gt; Data tarikan yang disediakan system kurang lengkap</t>
  </si>
  <si>
    <t>Menambah data yang dibutuhkan untuk weight adjustment di tarikan recon dan pada request weight adjusement ke tim MS Production </t>
  </si>
  <si>
    <t>1. Mengumpulkan data yang perlu di weight adjustment dari invoice membutuhkan waktu 85.92 s, 2. Durasi merapikan data weight adjustment membutuhkan waktu 23.08 s, 3. Durasi melookup data dari Tarikan membutuhkan waktu 106.76 s per 100 SKU, 4. Durasi mengirimkan Request Weight Adjustment ke tim MS Production membutuhkan waktu 24.01 s, 5. Durasi menunggu update weight adjustment dari tim MS Production untuk 100 SKU membutuhkan waktu 86,400 s, 6. Durasi mengecek kembali berat yang sudah di adjust oleh tim MS Production membutuhkan waktu 2,933 s</t>
  </si>
  <si>
    <t>Penghematan sebesar 66.15%: 175,062 (48jam 37menit 42 detik) per bulan, Penghematan per tahun sebesar 2,100,744 detik (583 jam 32 menit 24 detik)</t>
  </si>
  <si>
    <t>Merequest tarikan dari tim IT untuk mempercepat proses mengecek kembali berat yang sudah di adjust oleh tim MS Production</t>
  </si>
  <si>
    <t>Adi Pravianto, Sigit Purnomo, Anggi Nugroho</t>
  </si>
  <si>
    <t>Display Stock Material Packaging Untuk Fullfilment Order Merchant Partnet</t>
  </si>
  <si>
    <t>Lamanya proses Fullfillment Material Packaging</t>
  </si>
  <si>
    <t>Preparation Proses Fullfilment Material Packaging mencapai 2.954 detik, setara dengan 49 Menit 23 Detik</t>
  </si>
  <si>
    <t>Waktu Proses Fullfillment berkurang 35%</t>
  </si>
  <si>
    <t>Picker material mengolah data terlebih dahulu untuk mengetahui jenis material dan jumlah masing-masing material yang diorderPicker material mengambil material dari gudang material di gedung 1 lantai dasar. Lokasi yang terlampau jauh membutuhkan waktu dan transport yang lebih lama untuk preparation</t>
  </si>
  <si>
    <t>Menyediakan Areal Display Merchant Fullfilment MaterialMenentukan Stock Min-Max Display sehingga dapat dilakukan Refill Stock secara Rutin</t>
  </si>
  <si>
    <t>Dengan disediakan lokasi "Display Merchant" waktu yang dibutuhkan untuk preparation order material packaging menjadi 1.009 detik setara dengan 16 menit 52 detik. Hal ini Dikarena lokasi display merchant berada di lantai yang sama dengan proses packing big product.</t>
  </si>
  <si>
    <t>Penghematan Waktu untuk Preparation :1.945 s / day= 0.54 hours / day= 168.48 hours / year</t>
  </si>
  <si>
    <t>Pembuatan OPL Refill Display Merchant Material PackagingSosialisasi kepada Section yang terkait admin support, Picker, Packer material packagingControl dan akurasi stock</t>
  </si>
  <si>
    <t>Udi Suardi, ; Romayudin, ; Ferdhianto Ibnugroho, ;Seteven Chandra</t>
  </si>
  <si>
    <t>Penghematan waktu proses pengecekkan barang IR Photoshoot</t>
  </si>
  <si>
    <t>Lamanya waktu pengecekkan barang IR Photoshoot</t>
  </si>
  <si>
    <t>Waktu Siklus proses pemeriksaan barang IR Photoshoot adalah 1 menit 53 detik per koli (1koli = 9 SKU)</t>
  </si>
  <si>
    <t>Waktu Siklus proses pemeriksaan barang IR Photoshoot adalah 1 menit per koli (1koli = 9 SKU)</t>
  </si>
  <si>
    <t>1. Pengecekkan dilakukan manual (mata) dengan mencocokan SKU di barang dan package list- belum diterapkan kaizen pada proses ini2. Harus mencari SKU barang di package list yang ada- untuk mencocokan apakah SKU barang ada di package list- masih manual3. Urutan barang IR dalam box belum tentu sama dengan package list- tidak diurutkan oleh packer gudang asal yang membungkusnya</t>
  </si>
  <si>
    <t>1. Pengecekkan dilakukan dengan melakukan scan SKU di barang, yang tidak lagi dicocokan menggunakan mata manusia (rentan human error atau kelelahan apalagi jika jumlah SKU per koli banyak)2. Tidak lagi mencari SKU barang, karena sudah dibarcode dan di highlight-duplicate values di Tanda Terima (GR berupa file excel = packagelist)3. Urutan barang IR dalam box tidak lagi menjadi masalah karena tidak lagi mencari SKU barang di package list</t>
  </si>
  <si>
    <t>Waktu Siklus proses pemeriksaan barang IR Photoshoot adalah 1 menit 19 detik per koli (1koli = 9 SKU)</t>
  </si>
  <si>
    <t>Saving yang didapat per bulan sebesar 1,5 jam kerja jika rata-rata 8 koli dengan masing-masing koli berisi 9 SKU</t>
  </si>
  <si>
    <t>Evaluasi tekait perbaikan yang dilakukan, apakah berjalan dengan baik</t>
  </si>
  <si>
    <t>Andi, Suheri, Kenny, Iwan, Sugeng, Dennon</t>
  </si>
  <si>
    <t>Increase Productivity in Packaging Relating to Packaging Material</t>
  </si>
  <si>
    <t>1.Material packaging area is far from outbound stations. 2.Placement of material packaging is unorganized and have no labels.</t>
  </si>
  <si>
    <t>Packing time: 90s Movement time: 50s Finding the right packaging: 60s</t>
  </si>
  <si>
    <t>Total packaging time will be cut by 50%</t>
  </si>
  <si>
    <t>Adi Kharisma; Ferdi ; Bambang Eko Raharjo; Tri Sunu Wibowo</t>
  </si>
  <si>
    <t>Efisiensi Proses serah terima Alat Kerja Picker</t>
  </si>
  <si>
    <t>Lamanya waktu untuk memulai proses fullfill</t>
  </si>
  <si>
    <t>Waktu yang dibutuhkan untuk melakukan proses serah terima alat kerja antara Koordinator picker kepada supervisor dengan total 737 detik ( setara dengan 12 mnt 17 detik )</t>
  </si>
  <si>
    <t>Mengurangi waktu yang dibutuhkan dalam proses serah terima alat kerja picker  dengan supervisor sebanyak 50 % </t>
  </si>
  <si>
    <t>Lamanya Proses serah terima alat kerja picker dengan supervisor, karena seorang Koordinator picker harus datang ke office untuk mengambil alat kerja picker dan memastikan kondisi berfungsi dengan baik serta melakukan pencatatan di lockbook </t>
  </si>
  <si>
    <t>1. Mengalokasikan area khusus untuk melakukan proses serah terima alat kerja picker2. Menyediakan lockbook dan alat kerja picker sesuai kebutuhan man power dengan memastikan dalam kondisi baik dan posisi On</t>
  </si>
  <si>
    <t>Hasil dari Kaizen Proses serah terima alat kerja picker membutuhkan waktu hanya 75 detik ( setara dengan 1 menit 15 detik )</t>
  </si>
  <si>
    <t>Penghematan waktu yang diperoleh sebesar 662 detik / 1 shift. Dalam 1 hari terdapat 2 shift berarti penghematan waktu untuk 2 shift = 1,324 detik. Dalam 1 bulan terjadi penghematan waktu 1,324 x 30 = 39,720 detik atau setara dengan 11 jam 2 menit</t>
  </si>
  <si>
    <t>1. Sosialisasi kepada SPV outbound lainnya dengan briefing mengenai Efisiensi proses serah terima alat kerja picker.2. Mengimplementasikan dengan konsisten proses yang baru secara konsisten</t>
  </si>
  <si>
    <t>Irene Kesuma Dewi Saputro ; Leonardus Andrean ; Rianto Togatorop ; Luthfi Kurnia</t>
  </si>
  <si>
    <t>Efisiensi Waktu Pengerjaan Order Pengambilan Big Product</t>
  </si>
  <si>
    <t>1.Proses pengerjaan yang serupa dilakukan oleh dua operator yang berbeda  2.Proses pengerjaan masih terdapat banyak proses manual</t>
  </si>
  <si>
    <t>Total waktu yang dibutuhkan untuk membuat Order Pengambilan Big Product per hari adalah 29 menit atau 145 menit (2 jam 24 menit) per minggu</t>
  </si>
  <si>
    <t>Efisiensi total waktu pengerjaan sebanyak 50%</t>
  </si>
  <si>
    <t>1.Proses pengerjaan didasarkan pada data yang keluar dari masing-masing lokasi pickup atau warehouse 2. Proses input data dilakukan dengan copy &amp; paste data satu-persatu ke template order pengambilan</t>
  </si>
  <si>
    <t>1.Mengerjakan Order Pengambilan oleh 1 operator saja (Primatama &amp; Non Primatama) 2. Membuat excel macro untuk membantu pengolahan data Order Pengambilan Big Product</t>
  </si>
  <si>
    <t>Penghematan waktu (before vs after) sebesar 77.5% (konsumsi waktu turun dari 1.703 detik menjadi 384 detik). Pencapaian target vs after sebesar 155% (852 detik vs 384 detik)</t>
  </si>
  <si>
    <t>1.Menghilangkan proses berulang dalam pengolahan data untuk suatu pekerjaan yang serupa 2. Penghematan waktu dalam pengolahan data dengan menghilangkan proses manual melalui penggunaan excel macro</t>
  </si>
  <si>
    <t>1.Update harian database NXOR019 (Warehouse BP) 2. Update harian data Rekap Order Pengambilan warehouse Ceper dan Cakung 3. Update bulanan data Kategori Report dari tim Reconcile</t>
  </si>
  <si>
    <t>Arya W.A. Bhaskara, Kintha Citra, Dwi Hartati, Indra Gunawan</t>
  </si>
  <si>
    <t>Lock Atribut SN dan Imei Item saat Proses Packing Fullfilment.</t>
  </si>
  <si>
    <t>-. Ada beberapa atriibut barang yang tidak tercatat atau tertukar saat merekap ke excel pada saat proses packing.</t>
  </si>
  <si>
    <t>Data Atribut Fullfilment Miss 0.75% tidak tercatat atau tidak tercatat di SKU yang sesuai.</t>
  </si>
  <si>
    <t>Tidak ada atribut yang tidak tercatat atau tertukar pencatatatan.</t>
  </si>
  <si>
    <t>Eka Kurniawan; Maryo Benhard Tuas; Rahadiansyah</t>
  </si>
  <si>
    <t>Efisiensi Biaya Mobil untuk Pick Up Barang di Bandara Kuala Namu Medan</t>
  </si>
  <si>
    <t>1 Adanya pengeluaran biaya tol saat pick up barang, 2 Rute yang paling efisien sehingga biaya yang dikeluarkan lebih efisien</t>
  </si>
  <si>
    <t>1 Berangkat dari BES Medan : &lt; 09.30 WIB, 2 Kembali ke BES Medan : &lt; 12.00 WIB, 3 Total waktu yang dibutuhkan Via Jalan Non Tol : 140 Menit, 4 Total waktu yang dibutuhkan Via Jalan Tol : 120 menit, 5 Biaya Tol Pulang - Pergi : Rp 5,000</t>
  </si>
  <si>
    <t>Efisiensi biaya Rp 10,000 / minggu, Rp 40,000/ bulan</t>
  </si>
  <si>
    <t>1 Jalur yang dilalui tidak pernah diukur rute mana yang paling efisien, 2 Biaya yang dikeluarkan untuk setiap rute tidak pernah diukur yang paling efisien</t>
  </si>
  <si>
    <t>1 Membandingkan dari sisi waktu tempuh dan biaya dari kedua rute tersebut yang paling cepat dari sisi waktu dan paling murah dari sisi biaya, 2 Memilih rute yang paling cepat dan paling murah menjadi rute yang wajib dilalui oleh driver pada saat pick up ke Bandara Kuala Namu &lt; 09.30 WIB dan kembali ke BES Medan &lt; 12.00 WIB</t>
  </si>
  <si>
    <r>
      <t>1Perhitungan rute via jalan non tol;</t>
    </r>
    <r>
      <rPr>
        <sz val="11"/>
        <color theme="1"/>
        <rFont val="Calibri"/>
        <family val="2"/>
        <scheme val="minor"/>
      </rPr>
      <t xml:space="preserve"> Total waktu untuk proses : 140 Menit; Berangkat Jam 09.30 WIB ke Bandara Kuala Namu dan tiba di BES Medan 11.50 WIB; Biaya yang dikeluarkan : Rp 34,800; </t>
    </r>
    <r>
      <rPr>
        <b/>
        <sz val="11"/>
        <color theme="1"/>
        <rFont val="Calibri"/>
        <family val="2"/>
        <scheme val="minor"/>
      </rPr>
      <t>2</t>
    </r>
    <r>
      <rPr>
        <sz val="11"/>
        <color theme="1"/>
        <rFont val="Calibri"/>
        <family val="2"/>
        <scheme val="minor"/>
      </rPr>
      <t xml:space="preserve"> </t>
    </r>
    <r>
      <rPr>
        <b/>
        <sz val="11"/>
        <color theme="1"/>
        <rFont val="Calibri"/>
        <family val="2"/>
        <scheme val="minor"/>
      </rPr>
      <t xml:space="preserve">Perhitungan rute via jalan tol; </t>
    </r>
    <r>
      <rPr>
        <sz val="11"/>
        <color theme="1"/>
        <rFont val="Calibri"/>
        <family val="2"/>
        <scheme val="minor"/>
      </rPr>
      <t>Total waktu untuk proses : 120 Menit; Berangkat Jam 09.30 WIB ke Bandara Kuala Namu dan tiba di BES Medan 11.30 WIB; Biaya yang dikeluarkan : Rp 40,000</t>
    </r>
  </si>
  <si>
    <t>Saving Cost : Penghematan perhari : Rp 10,200; Penghematan selama 1 bulan : Rp 40,800</t>
  </si>
  <si>
    <t>1Menginstruksikan kepada koordinator dan driver untuk pick up berangkat sebelum jam  09.30 WIB agar melalui jalan non tol dan dapat kembali sebelum jam 12.00 WIB; 2 Dilakukan secara konsisten</t>
  </si>
  <si>
    <t>arvin pohan dhanu saputra muhammad baihaki hasbullah hadi</t>
  </si>
  <si>
    <t>Efisiensi Waktu Penggunaan Buble Warp Pada Proses Packing Warehouse Medan</t>
  </si>
  <si>
    <t>Proses packing lama. Ukuran buble warp yang tersedia tidak sesuai dengan ukuran produk.</t>
  </si>
  <si>
    <t>Kaizen IV (Data Before Improvement).xlsx</t>
  </si>
  <si>
    <t>Mempercepat waktu pada penggunaan buble warp pada proses packing di warehouse Medan</t>
  </si>
  <si>
    <t>Barang tidak sesuai dengan buble warp. Durasi packing pada packer kurang efektif. Tempat material buble warp terbatas. Pengukuran dan pemotongan buble warp memakan waktu yang lama.</t>
  </si>
  <si>
    <t>Mempersiapkan material buble warp yang tidak sesuai dengan barang menjadi sesuai dengan cara mengukur dan menggunting buble warp sesuai dengan barang, Menyediakan tempat material buble warp yang sudah dipotong. Memotong buble warp di waktu kosong (senggang)</t>
  </si>
  <si>
    <t>Kaizen IV (Data After Improvement).xlsx</t>
  </si>
  <si>
    <t>Data improvement yang sudah dilakukan, maka benefit yang diperoleh adalah penghematan waktu sebesar 33,3%</t>
  </si>
  <si>
    <t>Aktivitas yang dilakukan selanjutnya adalah Mengumpulkan ukuran packaging yang sering digunakan. Melakukan pemotongan buble warp sesuai ukuran yang dibutuhkan.</t>
  </si>
  <si>
    <t>hardian tobing Annissa Meuthia Kasih Daulay Endang Cendraningrum Steven Liauw Yesica Prayogi</t>
  </si>
  <si>
    <t>Efisiensi pengerjaan case retur</t>
  </si>
  <si>
    <t>Pengerjaan solusi kasus retur yang lama, Proses yang dilakukan repetitif dan memakan waktu</t>
  </si>
  <si>
    <t>Pengerjaan case retur: Happy flow masing-masing 180.96 detik (Total 100 case/hari); Sad flow (pending and service) masing-masing 259.67 detik (Total 25 case)</t>
  </si>
  <si>
    <t>Mempercepat proses: Happy flow 60 detik/case, Sad flow 120 detik/case</t>
  </si>
  <si>
    <t>Pengerjaan solusi kasus retur yang lama karena detail proses yang repetitif (menulis komen, email, penulisan label dan ganti status CM)</t>
  </si>
  <si>
    <t>Menghilangkan komen di CM saat selesai diberikan solusi (happy flow), CS bisa melihat solusi yang diberikan di subtask dan label, membuat template email ke merchant untuk kasus-kasus yang tidak bisa diberikan solusi (service dan pending), status CM akan diubah secara bulk dengan menggunakan filter pada label untuk solusi yang sudah diberikan</t>
  </si>
  <si>
    <t>Penghematan waktu sebanyak 50% untuk case retur (happy flow), yaitu 56.55 detik/case, average 100 case per hari dan penghematan waktu sebanyak 75% untuk case retur sad flow, yaitu 135.3 detik/case untuk average 25 case per hari</t>
  </si>
  <si>
    <t>Penghematan waktu untuk case retur happy flow dan sad flow adalah 197450 detik atau 54,847 Jam/bulan</t>
  </si>
  <si>
    <t>Menerapkan improvement yang sudah dilakukan di dalam proses pengerjaan case retur</t>
  </si>
  <si>
    <t>SCM-WH Batuceper III</t>
  </si>
  <si>
    <t>Ronny Ahmad Mutter Satrio Gunawan Wibiseno Piping Christiawan</t>
  </si>
  <si>
    <t>Penghematan Penggunaan Kertas Label Untuk Proses Labelling Inbound</t>
  </si>
  <si>
    <t>Banyaknya Label yang digunakan saat Inbound (Proses Labelling), namun digunakan tidak lama, karena label diganti dengan yang baru jika produk sudah terkena proses Bundling (SKU baru)</t>
  </si>
  <si>
    <t>Waktu yang dibutuhkan untuk proses labelling adalah rata-rata 2.08 detik per piece.       Noted :Sample diambil untuk menyelesaikan proses labelling 1 PO produk Inbound dari Supplier PT Indomarco (1 SKU ; 504 pcs</t>
  </si>
  <si>
    <t>1. Mengurangi rata-rata waktu yang dibutuhkan untuk proses labeling  dari 2.08 detik per piece menjadi 1.04 detik per piece (reduce 50%) 2. Mengurangi jumlah penggunaan kertas label untuk proses labeling 50% dari actual proses labeling</t>
  </si>
  <si>
    <t>Quantity pengiriman yang sangat banyak dalam sekali pengiriman dari supplier dan Label SKU satuan akan diganti menjadi label SKU bundling setelah selesai Putaway menjadi faktor utama Waktu labeling yang lama &amp; penggunaan kertas label yang banyak</t>
  </si>
  <si>
    <t>Label SKU ditempelkan pada karton luar, tidak perlu ditempelkan pada setiap barangnya agar menghemat waktu labeling dan menghemat penggunaan kertas label</t>
  </si>
  <si>
    <t>Dari hasil Kaizen didapatkan reduce time untuk proses Labeling menjadi 1.43 detik per piece --&gt; reduce time 31.36%</t>
  </si>
  <si>
    <r>
      <t>1. Saving Waktu</t>
    </r>
    <r>
      <rPr>
        <sz val="11"/>
        <color theme="1"/>
        <rFont val="Calibri"/>
        <family val="2"/>
        <scheme val="minor"/>
      </rPr>
      <t xml:space="preserve">  : reduce time untuk proses Labelling sebesar 31.36% (Dari 2.08 detik menjadi 1.43 detik) </t>
    </r>
    <r>
      <rPr>
        <u/>
        <sz val="11"/>
        <color theme="1"/>
        <rFont val="Calibri"/>
        <family val="2"/>
        <scheme val="minor"/>
      </rPr>
      <t>2.Saving Cost</t>
    </r>
    <r>
      <rPr>
        <sz val="11"/>
        <color theme="1"/>
        <rFont val="Calibri"/>
        <family val="2"/>
        <scheme val="minor"/>
      </rPr>
      <t xml:space="preserve"> : Jika asumsi harga label adalah Rp66/ Pcs sedangkan average produk Indomie datang sebanyak 22.000 Pcs maka saving Cost akan didapatkan sebesar :  92.5% (Rp 1.358.214 -  Reduce Dari Rp1.468.236 menjadi Rp110.022)</t>
    </r>
  </si>
  <si>
    <t>Brief dengan team Inbound Labeller untuk handling proses labelling yang baru untuk produk Indomie</t>
  </si>
  <si>
    <t>Matias Christian Simanungkalit ; Firsty Kartika ; Johan Wahyudi ; trisnawati</t>
  </si>
  <si>
    <t>Inefisiensi Proses Inbound - Outbound COD</t>
  </si>
  <si>
    <t>1.Proses Serah Terima Inbound Lama 2. Proses Pengolahan Data Butuh Waktu Lama 3. Proses Serah Terima Outbound Lama 4. Proses Perhitungan Barang Tidak Leluasa</t>
  </si>
  <si>
    <t>Total waktu yang dibutuhkan untuk proses inbound (serah terima barang hingga memisahkan barang per warehousenya) hingga outbound adalah sekitar 1341 (s) / 22 Menit 41 detik</t>
  </si>
  <si>
    <t>Efisiensi waktu pengerjaannya sebesar 50%</t>
  </si>
  <si>
    <t> 1. Proses serah terima barang hanya berdasarkan jumlah koli barang 2. Barang harus disimpan dulu di keranjang 3. Barang harus dihitung ulang dan dimasukkan ke dalam karung sesuai dengan gudangnya 4. Penarikan data yang periodenya terlalu panjang</t>
  </si>
  <si>
    <t> 1. Proses pendataan di inbound tubun ditiadakan 2. Proses serah terima langsung dilakukan di dalam gudang 3. Pada saat serah terima barang dengan packer langsung dilakukan scan barcode dan pemisahan barangnya menurut warehouse masing-masing 4. Periode penarikan data diperpendek hanya 3 hari</t>
  </si>
  <si>
    <t>Total waktu  yang dibutuhkan untuk proses inbound (serah terima barang hingga memisahkan barang per warehousenya) hingga outbound setelah dilakukan kaizen berkurang menjadi 632 (S) / 10 Menit 32 Detik</t>
  </si>
  <si>
    <t> 709 (s) per hari , 3.9 jam per bulan , dan 5.9 hari per tahun</t>
  </si>
  <si>
    <t>1.Koordinasi dengan packer, inbound dan outbound tubun untuk mengubah proses inbound outbound barang retur COD 2. Peminjaman laptop ke team IT secara berkala</t>
  </si>
  <si>
    <t>Martinus Andry Handoko Widodo Ignacia Ciara Irawan Chaiyren Olivia Herman</t>
  </si>
  <si>
    <t>Penyederhanaan pengerjaan Daily KPI</t>
  </si>
  <si>
    <t>Banyak step meng-update angka Traffic dan Install Blibli.com</t>
  </si>
  <si>
    <t>Bolak-balik antara file Template Master dan file Install-Traffic untuk digunakan menghitung angka lain. Waktu yang terpakai sampai 10 menit per hari.</t>
  </si>
  <si>
    <t>Automasi update data di Template Master, penghematan waktu hingga 80%</t>
  </si>
  <si>
    <t>1. Raw data tidak dapat diexport satu kali untuk kepentingan report daily dari Google Analytics2. Perbedaan periode waktu yang dibutuhkan setiap hari</t>
  </si>
  <si>
    <t>Membuat rumus yang langsung mengubah angka di file Template Master hanya dengan menyesuaikan nomer Row sesuai di file Install-Traffic</t>
  </si>
  <si>
    <t>Waktu pengerjaan untuk keperluan penghitungan traffic dan installation menjadi 21 detik.</t>
  </si>
  <si>
    <t>Dengan asumsi rata-rata pengerjaan sebelum improvement 600 detik detiap harinya menjadi 21 detik. Saving yang didapat per bulan adalah 241 menit 15 detik</t>
  </si>
  <si>
    <t>Melihat data lain yang harus diambil dari file lain untuk dibuatkan shortcut-nya.</t>
  </si>
  <si>
    <t>Refa Siregar ; fidriany fidriany</t>
  </si>
  <si>
    <t>Efisiensi waktu untuk pergerakan kardus minyak</t>
  </si>
  <si>
    <r>
      <t xml:space="preserve">1.Pengelompokkan minyak yang kurang teratur; 2. Adanya penambahan </t>
    </r>
    <r>
      <rPr>
        <i/>
        <sz val="11"/>
        <color theme="1"/>
        <rFont val="Calibri"/>
        <family val="2"/>
        <scheme val="minor"/>
      </rPr>
      <t xml:space="preserve">helper; 3. </t>
    </r>
    <r>
      <rPr>
        <sz val="11"/>
        <color theme="1"/>
        <rFont val="Calibri"/>
        <family val="2"/>
        <scheme val="minor"/>
      </rPr>
      <t>Ketidak-efisienan waktu pengerjaan</t>
    </r>
  </si>
  <si>
    <r>
      <t xml:space="preserve">1.Dengan data yang ada, jumlah </t>
    </r>
    <r>
      <rPr>
        <i/>
        <sz val="11"/>
        <color theme="1"/>
        <rFont val="Calibri"/>
        <family val="2"/>
        <scheme val="minor"/>
      </rPr>
      <t xml:space="preserve">order </t>
    </r>
    <r>
      <rPr>
        <sz val="11"/>
        <color theme="1"/>
        <rFont val="Calibri"/>
        <family val="2"/>
        <scheme val="minor"/>
      </rPr>
      <t xml:space="preserve">minyak sebanyak 1300 AWB dengan kapasitas orang 3 orang acting koordinator dan 3 orang checker. ; 2. Pengeluaran biaya untuk sewa </t>
    </r>
    <r>
      <rPr>
        <i/>
        <sz val="11"/>
        <color theme="1"/>
        <rFont val="Calibri"/>
        <family val="2"/>
        <scheme val="minor"/>
      </rPr>
      <t>helper</t>
    </r>
    <r>
      <rPr>
        <sz val="11"/>
        <color theme="1"/>
        <rFont val="Calibri"/>
        <family val="2"/>
        <scheme val="minor"/>
      </rPr>
      <t xml:space="preserve"> (vendor); mitracomm: IDR 145.000 dan dari puninar: IDR 130.000. Jumlah </t>
    </r>
    <r>
      <rPr>
        <i/>
        <sz val="11"/>
        <color theme="1"/>
        <rFont val="Calibri"/>
        <family val="2"/>
        <scheme val="minor"/>
      </rPr>
      <t xml:space="preserve">helper </t>
    </r>
    <r>
      <rPr>
        <sz val="11"/>
        <color theme="1"/>
        <rFont val="Calibri"/>
        <family val="2"/>
        <scheme val="minor"/>
      </rPr>
      <t>yang disewa sejumlah; mitracomm: 4 orang dan dari puninar: 4 orang. ; 3.Untuk pengelompokkan kardus minyak dibutuhkan waktu selama +- 5 jam (1300 kardus minyak).</t>
    </r>
  </si>
  <si>
    <r>
      <t xml:space="preserve">1.Menurunkan waktu pengelompokkan kardus minyak hingga 50%. ; 2.Mengurangi biaya tambahan untuk menyewa </t>
    </r>
    <r>
      <rPr>
        <i/>
        <sz val="11"/>
        <color theme="1"/>
        <rFont val="Calibri"/>
        <family val="2"/>
        <scheme val="minor"/>
      </rPr>
      <t>helper.</t>
    </r>
  </si>
  <si>
    <r>
      <t xml:space="preserve">Alasan penambahan </t>
    </r>
    <r>
      <rPr>
        <i/>
        <sz val="11"/>
        <color theme="1"/>
        <rFont val="Calibri"/>
        <family val="2"/>
        <scheme val="minor"/>
      </rPr>
      <t>helper</t>
    </r>
    <r>
      <rPr>
        <sz val="11"/>
        <color theme="1"/>
        <rFont val="Calibri"/>
        <family val="2"/>
        <scheme val="minor"/>
      </rPr>
      <t xml:space="preserve"> karena ingin mewujudkan target yang diharapkan manajemen. Selain itu, pengelompokkan kardus minyak yang diserah-terimakan dari </t>
    </r>
    <r>
      <rPr>
        <i/>
        <sz val="11"/>
        <color theme="1"/>
        <rFont val="Calibri"/>
        <family val="2"/>
        <scheme val="minor"/>
      </rPr>
      <t xml:space="preserve">warehouse </t>
    </r>
    <r>
      <rPr>
        <sz val="11"/>
        <color theme="1"/>
        <rFont val="Calibri"/>
        <family val="2"/>
        <scheme val="minor"/>
      </rPr>
      <t>tidak teratur (</t>
    </r>
    <r>
      <rPr>
        <i/>
        <sz val="11"/>
        <color theme="1"/>
        <rFont val="Calibri"/>
        <family val="2"/>
        <scheme val="minor"/>
      </rPr>
      <t xml:space="preserve">shipping label </t>
    </r>
    <r>
      <rPr>
        <sz val="11"/>
        <color theme="1"/>
        <rFont val="Calibri"/>
        <family val="2"/>
        <scheme val="minor"/>
      </rPr>
      <t xml:space="preserve">sudah ditempelkan dari pihak </t>
    </r>
    <r>
      <rPr>
        <i/>
        <sz val="11"/>
        <color theme="1"/>
        <rFont val="Calibri"/>
        <family val="2"/>
        <scheme val="minor"/>
      </rPr>
      <t>warehouse</t>
    </r>
    <r>
      <rPr>
        <sz val="11"/>
        <color theme="1"/>
        <rFont val="Calibri"/>
        <family val="2"/>
        <scheme val="minor"/>
      </rPr>
      <t>).</t>
    </r>
  </si>
  <si>
    <r>
      <t xml:space="preserve">Pihak BES melakukan </t>
    </r>
    <r>
      <rPr>
        <i/>
        <sz val="11"/>
        <color theme="1"/>
        <rFont val="Calibri"/>
        <family val="2"/>
        <scheme val="minor"/>
      </rPr>
      <t>sorting</t>
    </r>
    <r>
      <rPr>
        <sz val="11"/>
        <color theme="1"/>
        <rFont val="Calibri"/>
        <family val="2"/>
        <scheme val="minor"/>
      </rPr>
      <t xml:space="preserve"> </t>
    </r>
    <r>
      <rPr>
        <i/>
        <sz val="11"/>
        <color theme="1"/>
        <rFont val="Calibri"/>
        <family val="2"/>
        <scheme val="minor"/>
      </rPr>
      <t>shipping</t>
    </r>
    <r>
      <rPr>
        <sz val="11"/>
        <color theme="1"/>
        <rFont val="Calibri"/>
        <family val="2"/>
        <scheme val="minor"/>
      </rPr>
      <t xml:space="preserve"> </t>
    </r>
    <r>
      <rPr>
        <i/>
        <sz val="11"/>
        <color theme="1"/>
        <rFont val="Calibri"/>
        <family val="2"/>
        <scheme val="minor"/>
      </rPr>
      <t xml:space="preserve">label </t>
    </r>
    <r>
      <rPr>
        <sz val="11"/>
        <color theme="1"/>
        <rFont val="Calibri"/>
        <family val="2"/>
        <scheme val="minor"/>
      </rPr>
      <t xml:space="preserve">pada barang yang sudah diserah-terimakan dari pihak </t>
    </r>
    <r>
      <rPr>
        <i/>
        <sz val="11"/>
        <color theme="1"/>
        <rFont val="Calibri"/>
        <family val="2"/>
        <scheme val="minor"/>
      </rPr>
      <t>warehouse.</t>
    </r>
  </si>
  <si>
    <r>
      <t xml:space="preserve">Adanya pengurangan biaya tambahan seperti sewa </t>
    </r>
    <r>
      <rPr>
        <i/>
        <sz val="11"/>
        <color theme="1"/>
        <rFont val="Calibri"/>
        <family val="2"/>
        <scheme val="minor"/>
      </rPr>
      <t>helper</t>
    </r>
    <r>
      <rPr>
        <sz val="11"/>
        <color theme="1"/>
        <rFont val="Calibri"/>
        <family val="2"/>
        <scheme val="minor"/>
      </rPr>
      <t xml:space="preserve"> dan</t>
    </r>
    <r>
      <rPr>
        <i/>
        <sz val="11"/>
        <color theme="1"/>
        <rFont val="Calibri"/>
        <family val="2"/>
        <scheme val="minor"/>
      </rPr>
      <t xml:space="preserve"> </t>
    </r>
    <r>
      <rPr>
        <sz val="11"/>
        <color theme="1"/>
        <rFont val="Calibri"/>
        <family val="2"/>
        <scheme val="minor"/>
      </rPr>
      <t>waktu pengerjaan lebih cepat dikarekan pengelompokkan kardus minyak yang sudah teratur.</t>
    </r>
  </si>
  <si>
    <r>
      <t xml:space="preserve">Adanya </t>
    </r>
    <r>
      <rPr>
        <i/>
        <sz val="11"/>
        <color theme="1"/>
        <rFont val="Calibri"/>
        <family val="2"/>
        <scheme val="minor"/>
      </rPr>
      <t xml:space="preserve">saving </t>
    </r>
    <r>
      <rPr>
        <sz val="11"/>
        <color theme="1"/>
        <rFont val="Calibri"/>
        <family val="2"/>
        <scheme val="minor"/>
      </rPr>
      <t xml:space="preserve">uang sebesar IDR 825.000 per hari dan adanya </t>
    </r>
    <r>
      <rPr>
        <i/>
        <sz val="11"/>
        <color theme="1"/>
        <rFont val="Calibri"/>
        <family val="2"/>
        <scheme val="minor"/>
      </rPr>
      <t xml:space="preserve">saving </t>
    </r>
    <r>
      <rPr>
        <sz val="11"/>
        <color theme="1"/>
        <rFont val="Calibri"/>
        <family val="2"/>
        <scheme val="minor"/>
      </rPr>
      <t>waktu yang sebelumnya membutuhkan waktu +- 5 jam dan saat ini hanya membutuhkan +- 2 jam untuk pengelompokkan kardus minyak.</t>
    </r>
  </si>
  <si>
    <r>
      <t xml:space="preserve">Sampai saat ini, Hub Cakung masih menggunakan metode penempelan </t>
    </r>
    <r>
      <rPr>
        <i/>
        <sz val="11"/>
        <color theme="1"/>
        <rFont val="Calibri"/>
        <family val="2"/>
        <scheme val="minor"/>
      </rPr>
      <t xml:space="preserve">shipping label </t>
    </r>
    <r>
      <rPr>
        <sz val="11"/>
        <color theme="1"/>
        <rFont val="Calibri"/>
        <family val="2"/>
        <scheme val="minor"/>
      </rPr>
      <t>oleh BES.</t>
    </r>
  </si>
  <si>
    <t>big groceries only (3days/month)</t>
  </si>
  <si>
    <t>Vilia Sylvia ; Rommy P. Gazali ; Raimi Noor</t>
  </si>
  <si>
    <t>Efisiensi daily cycle count area Bundling</t>
  </si>
  <si>
    <t>Operator memerlukan banyak transportasi karena letak barang-barang bundling yang terpisah-pisah dan tidak teratur</t>
  </si>
  <si>
    <t>Total waktu yang dibutuhkan untuk melakukan daily cycle count adalah 11.390 detik atau setara dengan 3 jam 9 menit 50 detik.</t>
  </si>
  <si>
    <t>Waktu cycle count untuk area bundling berkurang 10%</t>
  </si>
  <si>
    <t>Pelaksanaan daily cycle count memerlukan banyak transportasi karena lokasi bundling yang terpisah pisah dan tidak teratur.</t>
  </si>
  <si>
    <t>Mengalokasikan area khusus untuk barang bundling</t>
  </si>
  <si>
    <t>Total waktu yang dibutuhkan untuk melakukan daily cycle count adalah 9.890 detik atau setara dengan 2 jam 44 menit 50 detik.</t>
  </si>
  <si>
    <t>Total waktu yang berhasil adalah 25 menit per cycle count untuk racking dan pallet. Total waktu yang berhasil dikurangi setiap bulan (asumsi dalam 1 bulan dilakukan 4x cycle untuk area bundling racking, AC dan pallet adalah 300 menit (5 jam)</t>
  </si>
  <si>
    <t>Melakukan sosialisasi kepada tim inbound dan outbound tentang area yang dialokasikan khusus untuk bundling</t>
  </si>
  <si>
    <t>Rangga Dhamaswara ; Muhammad Sudibjo ; Wahyudi ; Agus Tryono</t>
  </si>
  <si>
    <t>Alternatif Pengikat Barang Kurir Motor</t>
  </si>
  <si>
    <t>1.Penggunaan lakban untuk mengikat barang kurir motor boros 2.Permintaan untuk pengadaan lakban terlalu sering sehingga tidak efisien</t>
  </si>
  <si>
    <t>1.Dengan perhitungan 62 kurir saat ini, jumlah roll lakban yang digunakan saat ini adalah 14 roll per hari 2.Harga per roll adalah 8000 rupiah 3.Berdasarkan perhitungan diatas maka total biaya dalam satu bulan adalah 3.360.000 rupiah</t>
  </si>
  <si>
    <t>Menurunkan hingga 50% dari biaya yang ada sebelum improvement selama 1 bulan</t>
  </si>
  <si>
    <t>1.Penggunaan lakban untuk mengikat barang kurir motor boros -&gt;Penggunaan lakban hanya bisa untuk sekali pakai 2.Permintaan untuk pengadaan lakban terlalu sering sehingga tidak efisien -&gt;Pemesanan barang harus dilakukan berkala karena penggunaan lakban yang sangat sering</t>
  </si>
  <si>
    <t> Meng-subtitusi penggunaan lakban dengan tali karet sehingga dapat digunakan berkali-kali</t>
  </si>
  <si>
    <t>Setelah Kaizen, penggunaan tali karet per hari adalah 310 meter per bulan yang berharga Rp 3.333/ meter. Dalam sebulan cost yang dibutuhkan dalam sebulan adalah 1.033.230 rupiah</t>
  </si>
  <si>
    <t>Benefit yang didapat dengan menerapkan Kaizen ini adalah penghematan dalam sebesar 2.326.770 rupiah yaitu sebesar 69 % dalam sebulan</t>
  </si>
  <si>
    <t>Akan diskusi dengan PIR dan membuat form pengadaan tali kepada PIC purchasing Ops Arif Prakoso untuk menggantikan lakban.</t>
  </si>
  <si>
    <t>Anna Maria Jessica   Danang Limantoro   Ignacia Ciara Irawan    Jeffry Setyawan Pribadi</t>
  </si>
  <si>
    <t>Efisiensi Pengecekan Status JIRA Photoshoot</t>
  </si>
  <si>
    <t>Lamanya waktu pengecekkan Status JIRA Photoshoot</t>
  </si>
  <si>
    <t>Waktu pengecekkan Status JIRA Photoshoot adalah 2 menit 54 detik per 21 JIRA</t>
  </si>
  <si>
    <t>Waktu pengecekkan Status JIRA Photoshoot adalah 1 menit 27 detik per 21 JIRA</t>
  </si>
  <si>
    <t>1. Pengecekan manual satu persatu JIRA termasuk JIRA yang tidak ada updatenya.</t>
  </si>
  <si>
    <t xml:space="preserve">1. Menambahkan filter di database dan menambah rumus di JIRA untuk mempercepat proses pengecekkan. </t>
  </si>
  <si>
    <t>Waktu pengecekkan Status JIRA Photoshoot adalah 31 detik per 21 JIRA</t>
  </si>
  <si>
    <t>Penghematan perbulan adalah 4682 detik atau 78 menit</t>
  </si>
  <si>
    <t>nawangEmilia RizkyNia Herlina</t>
  </si>
  <si>
    <t>Mereduce waktu pencarian case priority</t>
  </si>
  <si>
    <t>1.Bem harus membuka satu persatu case    2.Bem harus mencari dar judul case    3.BEM harus mencari berdasarkan group assignee</t>
  </si>
  <si>
    <t>BEM membutuhkan waktu yang cukup panjang untuk mencari case priority untuk di follow up</t>
  </si>
  <si>
    <t>Mempermudah pencarian case priority untuk di follow up</t>
  </si>
  <si>
    <t>1.Butuh waktu untuk pencarian case    2.Banyaknya case kategori yang perlu di follow up</t>
  </si>
  <si>
    <t>Membuat bookmart pada case yang sifatnya priority</t>
  </si>
  <si>
    <t>Hernawan Ian Yulianto Gusti Mahesa Rizki Ikhwan</t>
  </si>
  <si>
    <t>Efisiensi Proses Tukar jadwal Agent</t>
  </si>
  <si>
    <t>1.mengganggu jadwal refresment dan coaching yang sudah dijadwalkan.    2.Pencatatan absensi diakhir bulan harus direkap ulang oleh desk control.</t>
  </si>
  <si>
    <t>1.Agent membutuhkan waktu untuk mencari agent lain yang mau di tukarkan jadwalnya    2.Agent harus minta approval ke TL untuk persetujuan tukar jadwal    3.TL harus cek kedua pihak agar tidak jumping, mengutamakan kesehatan kedua belah pihak    4.Desk control harus merubah data Sifting agent di sesuaikan sama tanggal tukarjadwal agent yang di tukarkan jadwalnya</t>
  </si>
  <si>
    <t>1.Mempermudah Tim refreshment dalam menentukan Traning    2.Tidak menggangu Jadwal Coaching TL terhadap agentya</t>
  </si>
  <si>
    <t>1.Butuh waktu dalam pencarian sekejul yang tepat dalam proses tukar jadwal sesama agent    2.persetujuan Approval TL agent yg bersangkutan ke TL agent yang bersedia ditukarkan    3.Tim Desk control merubah jadwal yang sudah di tentukan</t>
  </si>
  <si>
    <t>Proses Tukar jadwal hanya diberlakukan untuk bersifat urgent, jikapun ada keluarga yang meninggal harus disertakan surat keterangan dari RT/RW. </t>
  </si>
  <si>
    <t>Yohanes E.D. Brahmantyo    Wahyudi    Randy Hazemi    Intan Debora Sihombing</t>
  </si>
  <si>
    <t>Efisiensi Proses Handover Kurir</t>
  </si>
  <si>
    <t>SCM-Fleet Mgmt - Jkt 3</t>
  </si>
  <si>
    <t>Arliandi Arifin   2.fidriany fidriany    3.Anton Basri    4.Arif Prakoso Gunawan    5.Rachel Saragih</t>
  </si>
  <si>
    <t>Penerapan Skema Linehaul Baru untuk Peningkatan Same Day &amp; Next Day</t>
  </si>
  <si>
    <t>Waktu linehaul berada pada jam-jam sibuk sehingga delay di perjalanan; 2. Adanya barang handover dari gudang yang tidak terbawa sehingga terjadi penumpukan barang</t>
  </si>
  <si>
    <r>
      <t xml:space="preserve">Pada saat pengimplementasian skema linehaul yang lama dimana Hub Tubun menjadi central dari Hub-Hub lain, persentase pengiriman </t>
    </r>
    <r>
      <rPr>
        <i/>
        <sz val="11"/>
        <color theme="1"/>
        <rFont val="Calibri"/>
        <family val="2"/>
        <scheme val="minor"/>
      </rPr>
      <t xml:space="preserve">same day </t>
    </r>
    <r>
      <rPr>
        <sz val="11"/>
        <color theme="1"/>
        <rFont val="Calibri"/>
        <family val="2"/>
        <scheme val="minor"/>
      </rPr>
      <t xml:space="preserve">yang diperoleh oleh BES saat itu yaitu sebesar 60.01% </t>
    </r>
    <r>
      <rPr>
        <i/>
        <sz val="11"/>
        <color theme="1"/>
        <rFont val="Calibri"/>
        <family val="2"/>
        <scheme val="minor"/>
      </rPr>
      <t xml:space="preserve">out of </t>
    </r>
    <r>
      <rPr>
        <sz val="11"/>
        <color theme="1"/>
        <rFont val="Calibri"/>
        <family val="2"/>
        <scheme val="minor"/>
      </rPr>
      <t xml:space="preserve">70% dan persentase pengiriman </t>
    </r>
    <r>
      <rPr>
        <i/>
        <sz val="11"/>
        <color theme="1"/>
        <rFont val="Calibri"/>
        <family val="2"/>
        <scheme val="minor"/>
      </rPr>
      <t xml:space="preserve">next day </t>
    </r>
    <r>
      <rPr>
        <sz val="11"/>
        <color theme="1"/>
        <rFont val="Calibri"/>
        <family val="2"/>
        <scheme val="minor"/>
      </rPr>
      <t xml:space="preserve">yang diperoleh oleh BES yaitu sebesar 89.63% </t>
    </r>
    <r>
      <rPr>
        <i/>
        <sz val="11"/>
        <color theme="1"/>
        <rFont val="Calibri"/>
        <family val="2"/>
        <scheme val="minor"/>
      </rPr>
      <t xml:space="preserve">out of </t>
    </r>
    <r>
      <rPr>
        <sz val="11"/>
        <color theme="1"/>
        <rFont val="Calibri"/>
        <family val="2"/>
        <scheme val="minor"/>
      </rPr>
      <t>95%.</t>
    </r>
  </si>
  <si>
    <r>
      <t xml:space="preserve">Efisiensi waktu pengiriman per hari sebesar 36000 sec (10 jam) sehingga target persentase untuk pengiriman </t>
    </r>
    <r>
      <rPr>
        <i/>
        <sz val="11"/>
        <color theme="1"/>
        <rFont val="Calibri"/>
        <family val="2"/>
        <scheme val="minor"/>
      </rPr>
      <t xml:space="preserve">same day </t>
    </r>
    <r>
      <rPr>
        <sz val="11"/>
        <color theme="1"/>
        <rFont val="Calibri"/>
        <family val="2"/>
        <scheme val="minor"/>
      </rPr>
      <t xml:space="preserve">dan </t>
    </r>
    <r>
      <rPr>
        <i/>
        <sz val="11"/>
        <color theme="1"/>
        <rFont val="Calibri"/>
        <family val="2"/>
        <scheme val="minor"/>
      </rPr>
      <t xml:space="preserve">next day </t>
    </r>
    <r>
      <rPr>
        <sz val="11"/>
        <color theme="1"/>
        <rFont val="Calibri"/>
        <family val="2"/>
        <scheme val="minor"/>
      </rPr>
      <t>tercapai.</t>
    </r>
  </si>
  <si>
    <r>
      <t xml:space="preserve">1) waktu linehaul berada di jam-jam sibuk; 2) Metoda yang dijalankan pada skema linehaul yang lama mengandalkan Hub Tubun menjadi central bagi hub-Hub lain. sehingga hub Tubun sering terjadi penumpukkan barang dan persentasi pengiriman yang di </t>
    </r>
    <r>
      <rPr>
        <i/>
        <sz val="11"/>
        <color theme="1"/>
        <rFont val="Calibri"/>
        <family val="2"/>
        <scheme val="minor"/>
      </rPr>
      <t xml:space="preserve">handle </t>
    </r>
    <r>
      <rPr>
        <sz val="11"/>
        <color theme="1"/>
        <rFont val="Calibri"/>
        <family val="2"/>
        <scheme val="minor"/>
      </rPr>
      <t xml:space="preserve">oleh Hub Tubun cukup banyak; 3) Sistem: pada linehaul 1, barang tidak sempat terbawa; dan 4) </t>
    </r>
    <r>
      <rPr>
        <i/>
        <sz val="11"/>
        <color theme="1"/>
        <rFont val="Calibri"/>
        <family val="2"/>
        <scheme val="minor"/>
      </rPr>
      <t>People</t>
    </r>
    <r>
      <rPr>
        <sz val="11"/>
        <color theme="1"/>
        <rFont val="Calibri"/>
        <family val="2"/>
        <scheme val="minor"/>
      </rPr>
      <t xml:space="preserve">: banyaknya barang yang harus di </t>
    </r>
    <r>
      <rPr>
        <i/>
        <sz val="11"/>
        <color theme="1"/>
        <rFont val="Calibri"/>
        <family val="2"/>
        <scheme val="minor"/>
      </rPr>
      <t xml:space="preserve">handle </t>
    </r>
    <r>
      <rPr>
        <sz val="11"/>
        <color theme="1"/>
        <rFont val="Calibri"/>
        <family val="2"/>
        <scheme val="minor"/>
      </rPr>
      <t>(linehaul list dan schedule messenger, serta sorting area) menyebabkan human error cukup besar.</t>
    </r>
  </si>
  <si>
    <r>
      <t xml:space="preserve">Merubah skema linehaul untuk BES yang awalnya Hub Tubun menjadi central dari hub-Hub yang di </t>
    </r>
    <r>
      <rPr>
        <i/>
        <sz val="11"/>
        <color theme="1"/>
        <rFont val="Calibri"/>
        <family val="2"/>
        <scheme val="minor"/>
      </rPr>
      <t xml:space="preserve">handle </t>
    </r>
    <r>
      <rPr>
        <sz val="11"/>
        <color theme="1"/>
        <rFont val="Calibri"/>
        <family val="2"/>
        <scheme val="minor"/>
      </rPr>
      <t>oleh BES. Namun, pada skema linehaul yang baru, Hub Tubun tidak menjadi central Hub, dan waktu operasional BES mulai dari jam 01.00 pagi (skema linehaul baru terlampir di bawah).</t>
    </r>
  </si>
  <si>
    <r>
      <t xml:space="preserve">Setelah adanya perubahan skema linehaul untuk BES, persentase untuk pengiriman </t>
    </r>
    <r>
      <rPr>
        <i/>
        <sz val="11"/>
        <color theme="1"/>
        <rFont val="Calibri"/>
        <family val="2"/>
        <scheme val="minor"/>
      </rPr>
      <t xml:space="preserve">same day </t>
    </r>
    <r>
      <rPr>
        <sz val="11"/>
        <color theme="1"/>
        <rFont val="Calibri"/>
        <family val="2"/>
        <scheme val="minor"/>
      </rPr>
      <t xml:space="preserve">dan </t>
    </r>
    <r>
      <rPr>
        <i/>
        <sz val="11"/>
        <color theme="1"/>
        <rFont val="Calibri"/>
        <family val="2"/>
        <scheme val="minor"/>
      </rPr>
      <t xml:space="preserve">next day </t>
    </r>
    <r>
      <rPr>
        <sz val="11"/>
        <color theme="1"/>
        <rFont val="Calibri"/>
        <family val="2"/>
        <scheme val="minor"/>
      </rPr>
      <t xml:space="preserve">meningkat. Untuk hal ini, BES dapat mencapai persentase pengiriman untuk </t>
    </r>
    <r>
      <rPr>
        <i/>
        <sz val="11"/>
        <color theme="1"/>
        <rFont val="Calibri"/>
        <family val="2"/>
        <scheme val="minor"/>
      </rPr>
      <t xml:space="preserve">same day </t>
    </r>
    <r>
      <rPr>
        <sz val="11"/>
        <color theme="1"/>
        <rFont val="Calibri"/>
        <family val="2"/>
        <scheme val="minor"/>
      </rPr>
      <t xml:space="preserve">sebesar 88.90% </t>
    </r>
    <r>
      <rPr>
        <i/>
        <sz val="11"/>
        <color theme="1"/>
        <rFont val="Calibri"/>
        <family val="2"/>
        <scheme val="minor"/>
      </rPr>
      <t xml:space="preserve">out of </t>
    </r>
    <r>
      <rPr>
        <sz val="11"/>
        <color theme="1"/>
        <rFont val="Calibri"/>
        <family val="2"/>
        <scheme val="minor"/>
      </rPr>
      <t xml:space="preserve">70% dan persentase pengiriman untuk </t>
    </r>
    <r>
      <rPr>
        <i/>
        <sz val="11"/>
        <color theme="1"/>
        <rFont val="Calibri"/>
        <family val="2"/>
        <scheme val="minor"/>
      </rPr>
      <t xml:space="preserve">next day </t>
    </r>
    <r>
      <rPr>
        <sz val="11"/>
        <color theme="1"/>
        <rFont val="Calibri"/>
        <family val="2"/>
        <scheme val="minor"/>
      </rPr>
      <t xml:space="preserve">sebesar 97.03% </t>
    </r>
    <r>
      <rPr>
        <i/>
        <sz val="11"/>
        <color theme="1"/>
        <rFont val="Calibri"/>
        <family val="2"/>
        <scheme val="minor"/>
      </rPr>
      <t xml:space="preserve">out of </t>
    </r>
    <r>
      <rPr>
        <sz val="11"/>
        <color theme="1"/>
        <rFont val="Calibri"/>
        <family val="2"/>
        <scheme val="minor"/>
      </rPr>
      <t>95%.</t>
    </r>
  </si>
  <si>
    <r>
      <t xml:space="preserve">Keuntungan yang dirasakan BES yaitu adanya pencapaian persentase pengiriman </t>
    </r>
    <r>
      <rPr>
        <i/>
        <sz val="11"/>
        <color theme="1"/>
        <rFont val="Calibri"/>
        <family val="2"/>
        <scheme val="minor"/>
      </rPr>
      <t xml:space="preserve">same day </t>
    </r>
    <r>
      <rPr>
        <sz val="11"/>
        <color theme="1"/>
        <rFont val="Calibri"/>
        <family val="2"/>
        <scheme val="minor"/>
      </rPr>
      <t xml:space="preserve">dan </t>
    </r>
    <r>
      <rPr>
        <i/>
        <sz val="11"/>
        <color theme="1"/>
        <rFont val="Calibri"/>
        <family val="2"/>
        <scheme val="minor"/>
      </rPr>
      <t>next day</t>
    </r>
    <r>
      <rPr>
        <sz val="11"/>
        <color theme="1"/>
        <rFont val="Calibri"/>
        <family val="2"/>
        <scheme val="minor"/>
      </rPr>
      <t xml:space="preserve"> yang cukup signifikan. Dari kolom data </t>
    </r>
    <r>
      <rPr>
        <i/>
        <sz val="11"/>
        <color theme="1"/>
        <rFont val="Calibri"/>
        <family val="2"/>
        <scheme val="minor"/>
      </rPr>
      <t xml:space="preserve">before </t>
    </r>
    <r>
      <rPr>
        <sz val="11"/>
        <color theme="1"/>
        <rFont val="Calibri"/>
        <family val="2"/>
        <scheme val="minor"/>
      </rPr>
      <t xml:space="preserve">dan </t>
    </r>
    <r>
      <rPr>
        <i/>
        <sz val="11"/>
        <color theme="1"/>
        <rFont val="Calibri"/>
        <family val="2"/>
        <scheme val="minor"/>
      </rPr>
      <t xml:space="preserve">after </t>
    </r>
    <r>
      <rPr>
        <sz val="11"/>
        <color theme="1"/>
        <rFont val="Calibri"/>
        <family val="2"/>
        <scheme val="minor"/>
      </rPr>
      <t xml:space="preserve">dapat dilihat bahwa untuk pengiriman </t>
    </r>
    <r>
      <rPr>
        <i/>
        <sz val="11"/>
        <color theme="1"/>
        <rFont val="Calibri"/>
        <family val="2"/>
        <scheme val="minor"/>
      </rPr>
      <t xml:space="preserve">same day, </t>
    </r>
    <r>
      <rPr>
        <sz val="11"/>
        <color theme="1"/>
        <rFont val="Calibri"/>
        <family val="2"/>
        <scheme val="minor"/>
      </rPr>
      <t xml:space="preserve">ada peningkatan sebesar 28% dan untuk pengiriman </t>
    </r>
    <r>
      <rPr>
        <i/>
        <sz val="11"/>
        <color theme="1"/>
        <rFont val="Calibri"/>
        <family val="2"/>
        <scheme val="minor"/>
      </rPr>
      <t xml:space="preserve">next day </t>
    </r>
    <r>
      <rPr>
        <sz val="11"/>
        <color theme="1"/>
        <rFont val="Calibri"/>
        <family val="2"/>
        <scheme val="minor"/>
      </rPr>
      <t>terdapat peningkatan sebesar 7%.</t>
    </r>
  </si>
  <si>
    <r>
      <t xml:space="preserve">Menjalankan skema linehaul terbaru yang telah dibentuk untuk mencapai dan mempertahankan target untuk pengiriman </t>
    </r>
    <r>
      <rPr>
        <i/>
        <sz val="11"/>
        <color theme="1"/>
        <rFont val="Calibri"/>
        <family val="2"/>
        <scheme val="minor"/>
      </rPr>
      <t xml:space="preserve">same day </t>
    </r>
    <r>
      <rPr>
        <sz val="11"/>
        <color theme="1"/>
        <rFont val="Calibri"/>
        <family val="2"/>
        <scheme val="minor"/>
      </rPr>
      <t xml:space="preserve">dan </t>
    </r>
    <r>
      <rPr>
        <i/>
        <sz val="11"/>
        <color theme="1"/>
        <rFont val="Calibri"/>
        <family val="2"/>
        <scheme val="minor"/>
      </rPr>
      <t xml:space="preserve">next day </t>
    </r>
    <r>
      <rPr>
        <sz val="11"/>
        <color theme="1"/>
        <rFont val="Calibri"/>
        <family val="2"/>
        <scheme val="minor"/>
      </rPr>
      <t>yang telah dicapai saat ini. Serta melakukan evaluasi terhadap skema linehaul yang baru agar tetap terkontrol dengan baik.</t>
    </r>
  </si>
  <si>
    <t>hardian tobing Steven Liauw Dina Anggraini</t>
  </si>
  <si>
    <t>Efisiensi proses picking product warehouse return</t>
  </si>
  <si>
    <t>Proses pencarian produk yang tidak ditemukan sebanyak 15,6% dalam list penjadwalan menggunakan waktu tambahan sebesar 18 menit, yaitu 90% dari waktu pencarian produk yang terdapat dalam list penjadwalan.</t>
  </si>
  <si>
    <t>Proses pencarian produk yang tidak ditemukan dalam list penjadwalan menggunakan waktu sebesar 18 Menit, dengan total waktu pencariaan menjadi 268 menit per hari</t>
  </si>
  <si>
    <t>1.Melakukan mitigasi terhadap produk yang tidak ditemukan dalam list penjadwalan    2.Melakukan efisiensi waktu pencarian barang sebesar 60%</t>
  </si>
  <si>
    <t>1.Proses penjadwalan barang retur selalu mengalami kendala didalam pencarian barang    2.Kondisi rak dalam warehouse return yang tidak memiliki pembagian secara lebih spesifik</t>
  </si>
  <si>
    <t>1.Merancang pallet pada berbagai jenis rak di warehouse return    2.Menetapkan prosedur penggunaan pallet kepada admin warehouse    3.Melakukan training kepada admin dalam menggunakan database storage pallet dan melakukan pencarian barang berdasarkan kode pallet</t>
  </si>
  <si>
    <t>1.Penghematan waktu sebesar 19,4 menit per hari, yaitu sebesar 82,6%    2.Menghilangkan delay informasi dari packer sebesar 245 menit per hari</t>
  </si>
  <si>
    <t>1.Penghematan waktu untuk proses pencarian produk adalah 7 jam / bulan    2.Menghilangkan delay informasi dari packer sebesar 89 jam / bulan    3.Total efisiensi waktu adalah 96,8 jam / bulan</t>
  </si>
  <si>
    <t>Menerapkan improvement pada rak yang membutuhkan pallet di dalam proses outbound warehouse return</t>
  </si>
  <si>
    <t>maman hanafie    2.dony setyawan    3.joko susilo</t>
  </si>
  <si>
    <t>Pengaturan &amp; Penyusunan ulang folder sharing K untuk efektifitas penyimpanan &amp; pencarian data</t>
  </si>
  <si>
    <t>1 BES Surabaya Operasional Delivery 7 (tujuh) hari per minggu, dilakukan Jadwal shifting untuk Personel Fleet Management &amp; Koordinator. 2.Personel Fleet Management melakukan tugas sebagai Kordinator (Proses Line Haul, Sorting, Create Schedule &amp; Dokumentasi File), saat koordinator OFF 3. Data/Dokumen yang disimpan oleh Koordinator, tidak terstruktur, ada yang berada di luar folder 4. Folder Data tidak terindex/teridentifikasi 5. Proses penyimpanan &amp; pencarian data membutuhkan waktu yang cukup lama. 6 Semua data harus tersimpan secara rapi &amp; transparan, sedangkan banyak data yang tersebar di luar folder</t>
  </si>
  <si>
    <t>1.Data tersebar diluar folder pada folder sharing K. 2.Proses penyimpanan data tidak rapi.3 Proses pencarian data membutuhkan cukup lama Contoh : membuat/melengkapi 1 (satu) Case berkas Klaim Tokio Marine diperlukan waktu 30 (tiga puluh) menit (meliputi: prepare data, pembuatan Investigation Report,Surat Claim, Dokumentasi Delivery,Messenger,TMS,CM)</t>
  </si>
  <si>
    <t>1.Mengelompokan data sejenis dalam satu folder 2.Memudahkan Identifikasi tema/isi Folder 3.Meminimalisir waktu pencarian data di sharing folder K</t>
  </si>
  <si>
    <t>50 % data yang tersimpan dalam folder berasal dari aktivitas project ad hoc. 2. Data tidak terindex/teridentifikasi.3. Data yang tersebar tanpa folder menghambat efektifitas pencarian data</t>
  </si>
  <si>
    <t>Menyusun dan mengelompokan semua file ke dalam folder yang related.2.Data terindex sesuai kriteria.3.Waktu pencarian data menjadi lebih cepat Contoh : membuat/melengkapi 1 (satu) Case berkas Klaim Tokio Marine menjadi 20 (dua puluh) menit (meliputi: prepare data, pembuatan Investigation Report,Surat Claim, Dokumentasi Delivery,Messenger,TMS,CM)</t>
  </si>
  <si>
    <t>Folder sharing K dikelompokan menjadi 1(satu) main folder, 6 (enam) Sub Folder.2. Pencarian data/file lebih cepat dari aktivitas sebelumnya.3.Susunan Folder menjadi lebih rapi</t>
  </si>
  <si>
    <t>Reducing time untuk pencarian data/file menurun hingga 70% dari aktivitas sebelumnya.2. Folder menjadi lebih ringkas</t>
  </si>
  <si>
    <t>Memindahkan file ke dalam folder yang bersesuaian.2. Menyesuaikan/mengganti nama folder dengan conten.3. Compile file (Zip) untuk data berusia &gt;3 bulan</t>
  </si>
  <si>
    <t>alexandrea reges    2.Mei Fitria Handayani    3.Lita Adhitia</t>
  </si>
  <si>
    <t>Efektivitas Kalibrasi dengan Team Leader</t>
  </si>
  <si>
    <t>Kalibrasi memakan waktu karena dilakukan setiap hari dengan mengumpulakan agent yang dimonitoring dan TL.</t>
  </si>
  <si>
    <t>Kalibrasi dengan agent yang dimonitoring dan TLnya dilakukan setiap hari selama 2 jam.</t>
  </si>
  <si>
    <t>Kalibrasi hanya dilakukan 1 bulan sekali per-TL</t>
  </si>
  <si>
    <t>Kalibrasi perlu dilakukan untuk menyamakan persepsi penilaian antara TL dan QA sebelum nilai final keluar tetapi kalibrasinya sangat memakan waktu.</t>
  </si>
  <si>
    <t>Kalibrasi yang dilakukan setiap hari selama 2 jam per-harinya di ubah menjadi 3 hari dalam 1 bulan.</t>
  </si>
  <si>
    <t>before = 44 jam per-bulan (2jam*22hari)    after = 10 jam per-bulan (3hari)</t>
  </si>
  <si>
    <t>save 30 jam</t>
  </si>
  <si>
    <t>Seteven Chandra Udi Suardi Ferdhianto Ibnugroho Rodons</t>
  </si>
  <si>
    <t>Penyederhanaan Tabel Rekapan Inbound Tubun</t>
  </si>
  <si>
    <t>Lamanya waktu rekap data Inbound Tubun</t>
  </si>
  <si>
    <t>Waktu Siklus proses perekapan data inbound adalah 169,95 detik per baris data</t>
  </si>
  <si>
    <t>Waktu Siklus proses perekapan data inbound menjadi 60 detik per baris data</t>
  </si>
  <si>
    <t>1)Harus membuka lebih dari satu sheet    2)Terjadinya pengulangan input data antar sheet    3)Berbeda urutan kolom dengan nama yang sama di setiap sheet    4)Ada beberapa kolom yang tidak diperlukan</t>
  </si>
  <si>
    <t>1. Membuat format rekapan baru antara lain:     - Satu sheet saja dengan adanya kolom kategori rekapan sehingga tidak terjadi pengulangan input data dan urutan yang berbeda     2. Membuat kolom rekapan yang dibutuhkan saja</t>
  </si>
  <si>
    <t>Waktu Siklus proses perekapan data inbound adalah 42.97 detik per baris data</t>
  </si>
  <si>
    <t>Penghematan per bulan sebesar 6,83 jam kerja (jika 10 data per hari)</t>
  </si>
  <si>
    <t>Rekapan sesudah perbaikan merupakan rekapan baru dari inbound</t>
  </si>
  <si>
    <t>angela cherie    Lusyana Wijaya   Verencia Permatasari</t>
  </si>
  <si>
    <t>Increase Efficiency 3PL Claim Recap Process</t>
  </si>
  <si>
    <t>Proses memperbaharui data klaim membutuhkan waktu yang lama</t>
  </si>
  <si>
    <t>1. Proses menarik file klaim CR dari confluence 38.91s     2. Proses pengecekan antara data klaim terbaru dan sebelumnya 3768.20s     3. Proses memperbaharui data Klaim 2462.16s     4. Proses meng-upload file klaim terbaru 24.81s</t>
  </si>
  <si>
    <t>Mempercepat proses  pembaharuan data klaim hingga 50%</t>
  </si>
  <si>
    <t>1. Proses memperbaharui data klaim membutuhkan waktu yang lama     - Adanya langkah yang dilakukan secara berulang pada saat memperbaharui data klaim     - File source yang digunakan tim rekon dan tim CR berbeda     - Waktu untuk perbaharuan data klaim antara tim recon dan tim CR beririsan</t>
  </si>
  <si>
    <t>Membuat jadwal pembaharuan data klaim antara tim recon dan tim CR sehingga tidak perlu ada langkah berulang karena file source yang di gunakan tim recon dan tim CR adalah file yang sama </t>
  </si>
  <si>
    <t>1. Proses menarik file klaim CR dari confluence 38.91s    2. Proses memperbaharui data Klaim 2466.74s    3. Proses meng-upload file klaim terbaru 24.81s</t>
  </si>
  <si>
    <t>Penghematan sebesar 66.15%:    175,062 s (48jam 37menit 42 detik) per hari     3,501,240 s (972jam 34menit) per bulan    Penghematan per tahun sebesar 42,014,880 s (11670jam 48menit)</t>
  </si>
  <si>
    <t>Mensosialisasikan pada semua tim recon</t>
  </si>
  <si>
    <t>Rommy P. Gazali    Muhammad Rizki G    Raimi Noor    Abdul Rohman </t>
  </si>
  <si>
    <t>Pengaturan dan Penyusunan Space dan Storage WH Barang Rusak</t>
  </si>
  <si>
    <t>Lamanya proses input, pencarian, picking dan opname barang di area WH Barang Rusak</t>
  </si>
  <si>
    <t>Dibutuhkan waktu 3 Jam 30 menit untuk mengerjakan kegiatan input, pencarian, picking dan opname barang di area WH Barang Rusak</t>
  </si>
  <si>
    <t>Efisiensi waktu sekitar 14% dengan cara mengatur susunan space dan disusun berdasarkan bulan Expired produk.</t>
  </si>
  <si>
    <t>1.Space area yang kurang luas 3x5m untuk menampung 158 koli atau 23.423 pcs    2.Storage hanya berdasarkan kode koli, sehingga menyulitkan dalam proses input maupun output barang</t>
  </si>
  <si>
    <t>membuat jalur storage berdasarkan bulan expired dan memperluas jalur keluar masuk WBR</t>
  </si>
  <si>
    <t>Piping Christiawan    Ronny Ahmad Mutter    Satrio Gunawan Wibiseno    fahmi.sahab</t>
  </si>
  <si>
    <t>Efisiensi Waktu &amp; Penggunaan Hardcopy dalam Proses IGF</t>
  </si>
  <si>
    <t>Proses IGF yang masih input manual di stockholm sehingga membutuhkan waktu lama</t>
  </si>
  <si>
    <t>Dibutuhkan waktu 488 detik dan 2 lembar kertas A4 baru untuk print form GRN dan form putaway dalam memproses satu IGF</t>
  </si>
  <si>
    <t>1. Mengurangi waktu yang dibutuhkan dalam memproses satu IGF dari 488 detik menjadi 244 detik 2. Mengurangi penggunaan kertas baru pada proses IGF</t>
  </si>
  <si>
    <t>1. Proses putaway yang masih manual tanpa mobile device menjadi faktor utama lambatnya proses IGF.     2. Kertas baru yang digunakan terlalu banyak, yaitu 2 lembar per IGF</t>
  </si>
  <si>
    <t>Proses IGF menggunakan mobile device sehingga waktu yang dibutuhkan lebih sedikit dan kebutuhan print hardcopy hanya 1 lembar (Form GRN) yang diprint menggunakan kertas bekas Package List barang IGF</t>
  </si>
  <si>
    <t>Dibutuhkan waktu 268 detik dan 0 lembar kertas A4 baru untuk print form GRN dalam memproses satu IGF</t>
  </si>
  <si>
    <t>1. Dari sisi waktu pemrosesan IGF, saving yang didapat adalah 220 detik (0,061 jam) per IGF --&gt; 45% saving.    Rata-rata IGF yang diproses selama Jan-Mar 2017 adalah 28 IGF per hari.    Jika average hari kerja dalam sebulan adalah 24 hari :    0,061*28*24 =    40,9 jam per bulan    40,9*Rp 30.000 = Rp 1.229.760    2. Dari sisi saving kertas, saving yang didapat adalah 2 lembar kertas per IGF --&gt; 100% saving.    2*28*Rp 54*24 = Rp 72.576 per bulan    Total saving per bulan dalam rupiah adalah Rp 1.302.336</t>
  </si>
  <si>
    <t>Brief team IGF untuk :    1. Proses IGF menggunakan mobile device    2. Tidak menggunakan kertas baru untuk proses IGF</t>
  </si>
  <si>
    <t>Morly    Tahar    Yogi</t>
  </si>
  <si>
    <t>Efficiency unloading minyak goreng</t>
  </si>
  <si>
    <t>Lamanya proses bongkar karena tidak menggunakan Truk wing box ( tidak bisa bongkar samping )</t>
  </si>
  <si>
    <t>WH Cakung +New Team 3</t>
  </si>
  <si>
    <t>2 Orang Cakung + Vania Hadisurya    ; Danang Limantoro</t>
  </si>
  <si>
    <t>Increase Efficiency Leadtime Process Handover to BES</t>
  </si>
  <si>
    <t>Michelle GunawanMatias Christian SimanungkalitMahfira AmaliaDona Jatmika</t>
  </si>
  <si>
    <t>Efisiensi Pengerjaan Report Weekly Meeting</t>
  </si>
  <si>
    <t>(1)Pengolahan data report logisitk dikerjakan satu per satu tiap logistik. (2)Setiap logistik memiliki report order masing-masing. (3)Upload report di X-Log harus satu per satu setiap logistik dengan file yang berbeda</t>
  </si>
  <si>
    <t>Total waktu yang dibutuhkan untuk prosespengolahan data report delivery logistik adalah sekitar 3343 (s) / 55 Menit 43 detik</t>
  </si>
  <si>
    <t>Efisiensi waktu sebesar 40%</t>
  </si>
  <si>
    <t>Pengolahan report logistik dilakukan satu per satu setiap logistik. Proses upload report ke X-Log menggunakan file yang berbeda setiap logistiknya</t>
  </si>
  <si>
    <t>Menggabungkan report logistik dan menggunakan macro dalam pengolahan datanya. Kemudian menggunakan 1 file untuk update status semua logistik yang diupload berkali-kali</t>
  </si>
  <si>
    <t>Total waktu  yang dibutuhkan untuk proses pengerjaan report delivery logistik setelah dilakukan kaizen berkurang menjadi 1223 (S) / 20 Menit 23 Detik</t>
  </si>
  <si>
    <t>Saving waktu 1 hari = 35.6 menit --&gt; 712 mnt/bln. saving dalam rupiah untuk 1 bulan –&gt; 11.9 jam * Rp 30.000 = Rp 357.000,- / bln</t>
  </si>
  <si>
    <t>Mengirimkan data pengiriman yang undel ke tim CS untuk difollow up ke customer. Serta mengirimkan kembali data pengiriman yang masih pending ke logistik partner</t>
  </si>
  <si>
    <t>Indra Gunawan; Kintha Citra;Dwi Hartati</t>
  </si>
  <si>
    <t>Efisiensi Penggabungan laporan harian report SE/Emai picker</t>
  </si>
  <si>
    <t>Lamanya proses menggabungkan rekapan SN/Emai harian all QC-Packer</t>
  </si>
  <si>
    <t>Adi Kharisma    Bambang Eko Raharjo    Ferdi    Tri Sunu Wibowo</t>
  </si>
  <si>
    <t>Efisiensi penggunaan Loading Dock Warehouse Batu ceper</t>
  </si>
  <si>
    <t>lamanya proses menunggu Penggunaan Loading Dock untuk aktifitas Inbound,Outbound,dan BES yang digunakan secara bergantian</t>
  </si>
  <si>
    <t>rata-rata dalam sehari Total waktu yang dibutuhkan tim Outbound untuk menunggu giliran penggunaan loading dong adalah 3840 detikt</t>
  </si>
  <si>
    <t>Mengurangi Proses Menunggu penggunaan Loading Dock yang dipakai secara bergantian sebesar 50%</t>
  </si>
  <si>
    <t>1.Loading Dock di warehouse Ceper hanya 1    2.Loading dock digunakan oleh Inbound,Outbound, dan BES</t>
  </si>
  <si>
    <t>memanfaatkan Akses Tanjakan disebelah loading dock untuk proses handover saat loading dock utama digunakan untuk proses bongkar muat yang lain</t>
  </si>
  <si>
    <t>rata-rata dalam sehari total waktu yang dibutuhkan tim Outbound untuk menunggu giliran penggunaan loading dock adalah 1080 detik</t>
  </si>
  <si>
    <t>penghematan sebesar 72% (2760 detik ) sehari. perbulan dapat menghemat 82800 detik</t>
  </si>
  <si>
    <t>mensosialisasikan pengguaan 2 loading dock kepada tim Outbound, inbound dan BES</t>
  </si>
  <si>
    <t>Anggi Nugroho;Arif Prakoso Gunawan;Regina Bunga</t>
  </si>
  <si>
    <t>efisiensi pemilihan material pacaging amplop dalam pengemasan barang</t>
  </si>
  <si>
    <t>Masih bisa dilakukan penghematan untuk pemakaian packaging menggunakan amplop.</t>
  </si>
  <si>
    <t>Data Pemakainan Material Packaging dengan menggunkaan Amplop saat ini adalah Rp 986 / paket dan 1 menit 22 detik proses packing / paket.</t>
  </si>
  <si>
    <t>Menghemat 10% biaya packaging menggunkaan amplop dan 50 % waktu proses packing menggunakan amplop.</t>
  </si>
  <si>
    <t>Anna Maria Jessica    Rangga Dhamaswara    Muhammad Sudibjo    Refa Siregar</t>
  </si>
  <si>
    <t>Pemisahan Manifest untuk Efisiensi Proses Linehaul</t>
  </si>
  <si>
    <t>Saat ini membutuhkan waktu total 31.25 menit dari proses inward sampai dapat dilakukan proses linehaul ke hub lain</t>
  </si>
  <si>
    <t>Mengurangi waktu proses dari inward sampai outward sebesar 30% (9.4 menit)</t>
  </si>
  <si>
    <t>1.Proses inward membutuhkan waktu yang cukup lama karena 1 manifest terdiri dari bag untuk last mile dan juga bag untuk transit dan harus di scan satu per satu 2.Proses outward hanya bisa dilakukan jika proses inward dalam 1 manifest tersebut telah selesai karena bag harus divalidasi semuanya dahulu di sistem bahwa sudah tiba di hub sebelum akhirnya diberangkatkan lagi dari hub tersebut</t>
  </si>
  <si>
    <t>1.Pembuatan manifest dari hub asal dipisah sehingga proses outward linehaul menjadi tidak terhambat 2.Hub akan memproses inward untuk linehaulterlebih dahulu kemudian memproses inward last mile</t>
  </si>
  <si>
    <t>Setelah kaizen, membutuhkan waktu total 16.4 menit dari proses inward sampai dapat dilakukan proses linehaul ke hub lain</t>
  </si>
  <si>
    <t>Penghematan sebesar 47 % atau 14.82 menit untuk 1 kali proses outward linehaul, penghematan per bulan yaitu sebesar 1,333.8 menit/22.3 jam</t>
  </si>
  <si>
    <t>1.Pengajuan untuk pembakuan SOP 2.Mensosialisasikan ke semua hub operator untuk melaksanakan proses ini</t>
  </si>
  <si>
    <t>Peter M. Leonardy    Stevie Prayudi    Jeffry Setyawan Pribadi</t>
  </si>
  <si>
    <t>Efisiensi Proses Pembuatan Daily Report</t>
  </si>
  <si>
    <t>Proses pembuatan Daily Fraud Pass Report membutuhkan waktu yang cukup lama (± 50 menit)</t>
  </si>
  <si>
    <t>Waktu yang diperlukan untuk menggerjakan daily report (± 50 menit)</t>
  </si>
  <si>
    <t>Waktu pembuatan Daily Report berkurang sebesar 50%</t>
  </si>
  <si>
    <t>Pembuatan daily report masih sangat manual, dan membutuhkan banyak file berbeda untuk proses pengecekan dana fund in</t>
  </si>
  <si>
    <t>Menggunakan macro untuk mempercepat proses pembuatan daily report</t>
  </si>
  <si>
    <t>Waktu pembuatan daily report menjadi (23 Menit 3 Detik)</t>
  </si>
  <si>
    <t>Waktu Pembuatan Daily Report berkurang 51.67%.Saving time :1 Minggu :02 : 03 : 351 Bulan :09 : 14 : 20</t>
  </si>
  <si>
    <t>1.Implementasi metode baru (macro) dalam proses pembuatan Daily Report    2.Sosialisasi metode baru ke tim RM</t>
  </si>
  <si>
    <t>dhanu saputra al lubis umri arvin pohan</t>
  </si>
  <si>
    <t>Efisiensi Ketepatan Waktu Proses Order Di Warehouse Medan</t>
  </si>
  <si>
    <t>Waktu Proses order mulai dari Pick Package Create sampai QC Submit tidak efisien</t>
  </si>
  <si>
    <t>Data durasi waktu rata -rata yang di dapat dari jasper sebanyak 352 order item id pada tanggal 01 sampai dengan 31 maret 2017 dari package create sampai QC submit adalah 6 jam 28 menit</t>
  </si>
  <si>
    <t>Mempercepat waktu proses order mulai dari Pick Package Create sampai QC Submit maksimal 5 jam</t>
  </si>
  <si>
    <t>Setelah dilakukan evaluasi terhadap efisiensi ketepatan waktu proses order warehouse medan, diperoleh analisis yaitu pending pengerjaan orderan pada hari jum'at mulai pukul 17:00, hari sabtu, hari minggu dan hari libur nasional</t>
  </si>
  <si>
    <t>Dari analisis yang telah dijelaskan sebelumnya, maka improvement yang dilakukan adalah Karyawan warehouse medan melakukan sistem piket di hari sabtu dengan masing-masing satu orang dari setiap divisi yang bertugas</t>
  </si>
  <si>
    <t>Data durasi waktu rata -rata  yang di dapat dari jasper sebanyak 123 order item id pada tanggal 01 sampai dengan 25 april 2017 dari package create sampai QC submit adalah 5 jam 32 menit</t>
  </si>
  <si>
    <t>Benefit yang diproleh dari hasil improvement yang dilakukan karyawan warehouse medan adalah efisiensi waktu pengerjaan order mulai dari package create sampai QC submit sebesar 56 menit</t>
  </si>
  <si>
    <t>Dari hasil improvement yang telah dilakukan, maka next activity yang akan dilakukan adalah meneruskan sistem piket di hari sabtu dan akan dikaji mengenai sistem kerja full seminggu 7 hari dari pukul 08:00 WIB sampai 17:00 WIB</t>
  </si>
  <si>
    <t> Eka Kurniawan;  jaka darmawan</t>
  </si>
  <si>
    <t>Efisiensi Waktu Pembuatan Rekapan KM motor Kurir &amp; Driver BES Medan</t>
  </si>
  <si>
    <t>1 Waktu yang diperlukan untuk mengisi rekapan KM kurir lama; 2 Adanya kemungkinan kurir mengisi Form tidak dengan benar; 3 Penghematan kertas</t>
  </si>
  <si>
    <t>Total Waktu 3,060 sec (51 Min), terdiri : Operation : 2100 sec, Transportation : 960 sec</t>
  </si>
  <si>
    <t>1 Efisiensi waktu sebesar 1,980 sec (33 Min), 2 Efisiensi kertas 2 lembar / bulan</t>
  </si>
  <si>
    <t>1 Waktu proses terlalu lama : Kurir harus mengisi form yang memakan waktu yang lama, 2 Penggunaan kertas : Rekapan masih menggunakan form yang memrlukan kertas </t>
  </si>
  <si>
    <t>1 Menghilangkan Form rekapan KM kendaraaan kurir, 2 Mengganti rekapan KM kendaraan kurir dengan foto speedometer dan dikirim ke group WA BES Medan, 3 Mempersingkat waktu proses</t>
  </si>
  <si>
    <t>Total Waktu 1080 sec (18 Menit), terdiri : Operation : 840 sec, Transportation : 240 sec</t>
  </si>
  <si>
    <t>Saving waktu : Perhari : 1,980 Sec ( 33 Min), Perbulan : 51,400 Sec (858 Min)</t>
  </si>
  <si>
    <t>Menjalankan skema terbaru secara konsisten</t>
  </si>
  <si>
    <t>hendro purnomo;Yordy;Irene Kesuma Dewi Saputro;Siti Rachmawati</t>
  </si>
  <si>
    <t>Efisiensi Pembuatan Report Pending Status</t>
  </si>
  <si>
    <t>Proses pengerjaan pembuatan report pending status tidak sesuai dengan tujuan report</t>
  </si>
  <si>
    <t>Total waktu yang dibutuhkan untuk pengerjaan report pending status 1 jam 4 menit</t>
  </si>
  <si>
    <t>Efisiensi waktu 40% (2316 detik) dalam proses pengerjaan report pending status</t>
  </si>
  <si>
    <t>Proses pengerjaan report pending status masih mempertimbangkan estimasi waktu 3PL melakukan attempt pick up (1st visit dan last visit)</t>
  </si>
  <si>
    <t>Menghilangkan proses pencarian data 1st visit dan last visit dengan menggunakan macro</t>
  </si>
  <si>
    <t>1.Penghematan waktu (before vs after) sebesar 39% (konsumsi waktu turun dari 3681 detik menjadi 2361 detik)     2.Penghematan waktu dalam pengolahan data untuk penyesuaian dengan tujuan report yang digunakan</t>
  </si>
  <si>
    <t>1.Saving waktu 1 hari = 25 menit --&gt; 500 mnt/bln.    2.Saving dalam rupiah untuk 1 bln :    8.33 jam * Rp 30.000,- = Rp 249.900,- / bln</t>
  </si>
  <si>
    <t>Menyesuaikan semua pekerjaan yang bersangkutan dengan perubahan yang dilakukan</t>
  </si>
  <si>
    <t>WH Ceper + New Team 4</t>
  </si>
  <si>
    <t>Tri Sunu Wibowo; Martinus Andry    ; Jeffry Setyawan Pribadi</t>
  </si>
  <si>
    <t>Efisiensi Penggunaan Kertas pada Packer</t>
  </si>
  <si>
    <t>Terdapat penggunaan kertas yang kurang efisien dalam pencetakan Package List &amp; Form Retur</t>
  </si>
  <si>
    <t>1. Penggunaan kertas A4 untuk Package List dan Form Retur sebanyak 72.000 lembar pada Bulan Maret 2017 (36.000 paket keluar dari Ceper)    2. Membutuhkan waktu untuk mencetak dokumen selama 56 detik per paket</t>
  </si>
  <si>
    <t>Efisiensi penggunaan kertas sebanyak 36.000 lembar (50%)</t>
  </si>
  <si>
    <t>Terdapat waste:   1. Penggunaan kertas terlalu besar    2. Waktu menunggu proses download cukup lama</t>
  </si>
  <si>
    <t>1.Menggunakan kertas A5 untuk mencetak Package LIst dan Form Retur    2.Menginformasikan lama proses download ke tim IT  </t>
  </si>
  <si>
    <t>1. Penggunaan kertas A4 untuk Package List dan Form Retur sebanyak 36.000 lembar pada Bulan Maret 2017 (36.000 paket keluar dari Ceper)    2. Membutuhkan waktu untuk mencetak dokumen selama 56 detik per paket</t>
  </si>
  <si>
    <t>1.Penghematan Rp 96 / paket      2.Penghematan Rp11,865,000 / bulan jika diterapkan di semua gudang (123,600 paket/bulan)</t>
  </si>
  <si>
    <t>1.Followup durasi proses download ke tim IT    2.Meminta approval untuk melakukan make to stock Form Retur, sehingga tidak perlu mencetak Form Retur</t>
  </si>
  <si>
    <t>Saving</t>
  </si>
  <si>
    <t>CS+New Team 1</t>
  </si>
  <si>
    <t>2 Orang CS + kenny buntara    Ignacia Ciara Irawan</t>
  </si>
  <si>
    <t>Simplify Agent's Problem Notification</t>
  </si>
  <si>
    <t>1.Kesulitan agent untuk memberikan notifikasi kepada Team Leader atau Trainer    2.Untuk mendapatkan perhatian dari TL/ Trainer memakan waktu yang cukup lama</t>
  </si>
  <si>
    <t>Rata2 waktu satu agent untuk mencari TL/ Trainer: 65 detik</t>
  </si>
  <si>
    <t>Menurunkan waktu menjadi hanya 30 detik untuk 1x pencarian</t>
  </si>
  <si>
    <t>1.Butuh waktu untuk berdiri    2.Butuh waktu untuk berjalan(pulang dan pergi)    3.Butuh waktu untuk mencari TL/ Trainer</t>
  </si>
  <si>
    <t>Memakai Skype untuk memanggil TL/ Trainer yang sedang bertugas di hari yang sama</t>
  </si>
  <si>
    <t>Total waktu yang diperlukan untuk 1x pertanyaan / agent: 65 detik, setelah dilakukan kaizen menggunakan Skype maka berkurang menjadi 30 detik.    Average jumlah agent/ hari = 58 orang</t>
  </si>
  <si>
    <t>Total Saving:    1 hari = 9 jam;    1 bulan = 270 jam atau setara dengan Rp 8,100,000,-</t>
  </si>
  <si>
    <t>Melakukan kontrol konsistensi pemakaian skype untuk memanggil TL/ Trainer</t>
  </si>
  <si>
    <t>Joudy Marsya ArifinSaras Kartika Dewiseptiadi saputrashofiana.fauzyketut nuari</t>
  </si>
  <si>
    <t>Efisiensi Outbound Warehouse Return (Barang Dropship dan SentMP)</t>
  </si>
  <si>
    <t>1.Pencarian SentMP dirasa cukup lama dan ada beberapa area yang sebenarnya bisa di improve    2.Order tidak bisa diketahui apakah dikirim ke customer dengan metode dropship atau tidak    3.Pencarian barang dropship yang memakan waktu cukup panjang bsia mengakibatkan MP telat klaim ke 3PL    4.Area dropship JNE tidak terpakai secara efektif</t>
  </si>
  <si>
    <t>1.Pencarian barang SentMP memakan waktu total 1:10 jam, untuk 80 barang (3mnt/barang)    2.Pencarian barang dropship memakan waktu total 20:33 menit, untuk 13 barang (2mnt/barang)</t>
  </si>
  <si>
    <t>Mempersingkat waktu pencarian Barang SentMP dan efisiensi pencarian barang Dropship</t>
  </si>
  <si>
    <t>1.Picker harus mencocokan barang dengan list pada saat proses picking    2.Sulitnya mencari barang di area Keep PO, karena menumpuk dan belum ada list yang jelas    3.Barang dropship yang dikirim bersamaan dengan SentMP berada di tempat yang terpisah dan tercampur dengan barang Keep LOG</t>
  </si>
  <si>
    <t>1.Aktivitas picker dipersingkat, tidak perlu mencocokan dengan list lagi, pencocokan barang dengan list dilakukan oleh packer    2.Khusus untuk Personnel QC yang sedang memeriksa barang rusak logistik diharuskan membuka IDV, untuk memeriksa apakah order tersebut dikirim dengan metode dropship atau tidak, dan langsung beri hashtag #sentmpDDMMYY jika memang barang tersebut order dropship    3.Untuk barang dropship, dipindahkan dari area Keep LOG ke area SentMP    4.Merapikan area Keep LOG JNE, memisahkan barang-barang yang kecil dengan yang besar lalu di data    5.Tim Kaizen CR-1 (Steven, Hardian, Marca) membuat list stock opname untuk barang-barang PO, KeepLOG</t>
  </si>
  <si>
    <t>Total pencarian barang SentMP dan Dropship menjadi 13:10mnt untuk 70 barang (1mnt/barang)</t>
  </si>
  <si>
    <t>Before: 1:30 jam (90mnt)   After: 13mnt    Saved: 77mnt/hari    =6:25jam/minggu    =25Jam/Bulan</t>
  </si>
  <si>
    <t>1.Remind tim QC yang memeriksa barang rusak logistik, untuk selalu memeriksa IDV, apakah order tersebut dropship atau tidak    2.Pengawasan kepada admin outbound agar tetap disiplin mencari barang di database Keep PO dan selalu update jika ada pergerakan barang</t>
  </si>
  <si>
    <t>Daniel Lumbatoruan  ;Jaka Cawanda  ;Hayatunnisa  ;Mega Sintia</t>
  </si>
  <si>
    <t>Efektifitas penggunaan Summary di JIRA Outbound</t>
  </si>
  <si>
    <t>1. membutuhkan waktu team outbound untuk mengerjakan case laporan   2.Kendala pengerjaan case laporan dari bem ke outbound</t>
  </si>
  <si>
    <t>Team outbound masih harus konfirmasi ulang ke team BEM apa yang harus di outgoing kan</t>
  </si>
  <si>
    <t>1.Team Outbound akan lebih mudah mengerjakan laporan karena adanya summary yang jelas.   2.Meningkatkan Jumlah total Close per hari</t>
  </si>
  <si>
    <t>1Team Outbound masih harus membaca case laporan dari bawah sampai atas untuk mengetahui permasalahan case  2.menggantungnya laporan karena belum bisa di close pada saat pertama outgoing call ke cust</t>
  </si>
  <si>
    <t>1.Bem memberikan summary agar team outbound tidak perlu membaca dari bawah sampai atas laporan   2.Team outbound bisa lebih cepat close laporan karena adanya summary yang jelas</t>
  </si>
  <si>
    <t>Waktu sebelumnya membutuhkan waktu mengerjakan case 1.325 Sec ( 22.08 menit )</t>
  </si>
  <si>
    <t>setelah ada kaizen cukup membutuhkan waktu 605 Sec</t>
  </si>
  <si>
    <t>Memaksimalkan Summary yang sejelas jelasnya agar mempermudah team outbound menyelesaikan case laporan</t>
  </si>
  <si>
    <t>Susanti A. Marpaung;  Johan Wahyudi;  Gizella Kensuri Natallia;  Adam Kris</t>
  </si>
  <si>
    <t>Efisiensi proses pengerjaan reschedule pick up logistik.</t>
  </si>
  <si>
    <t>Proses pengerjaan reschedule pick up logistik masih dilakukan proses pengecekannya secara manual dengan mengcompare (Vlookup) ke semua report pick up logistik secara satu persatu untuk mengetahui order-order yang tidak dipick up oleh logistik atau barang tidak ready dipihak merchant.</t>
  </si>
  <si>
    <t>Total waktu yang dibutuhkan untuk proses pengolahan data reschedule miss pick up logistik adalah sekitar 4.076 (s) / 68 menit</t>
  </si>
  <si>
    <t>Efisiensi waktu sekitar 50%</t>
  </si>
  <si>
    <t>Pengolahan data membutuhkan waktu yang cukup lama karena pengecekannya masih dilakukan secara manual ke semua report pick up logistik.</t>
  </si>
  <si>
    <t>Menggabungkan report pick up logistik dan menggunakan macro dalam pengolahan datanya.</t>
  </si>
  <si>
    <t>Total waktu  yang dibutuhkan untuk proses pengerjaan reschedule pick up logistik setelah dilakukan kaizen berkurang menjadi 1.414(S) / 24 Menit</t>
  </si>
  <si>
    <t>Saving waktu 1 hari = 44 menit --&gt; 968mnt/bln. saving dalam rupiah untuk 1 bulan –&gt; 16jam * Rp 30.000 = Rp 483.900,- / bln</t>
  </si>
  <si>
    <t>Maryo Benhard Tuas;  Eka Kurniawan</t>
  </si>
  <si>
    <t>Efisiensi pembayaran Invoicing. Gudang Citylink Kuala Namu Medan Airport</t>
  </si>
  <si>
    <t>Detail pembayaran secara Parsial, yang membutuhkan waktu dan frekuensi. pembayaran yang tidak efektif</t>
  </si>
  <si>
    <t>Pembayaran billing invoicing sewa gudang citylink,driver yang harus melakukan rembest dan melakukan casbon,secara berulang dalam rentang waktu 1 bln.</t>
  </si>
  <si>
    <t>Meningkatkan efisiensi dan mengurangi waktu dari driver untuk melakukan cashbon sementara dan mempercepat penarikan barang dari gudang citylink</t>
  </si>
  <si>
    <t>1.Kondisi saat ini masih menggunakan sistem cashbon untuk pembayaran inv gudang citylink.2.Belum pernah diterapkan sistem pembayaran deposit untuk biaya sewa gudang-in di citylink</t>
  </si>
  <si>
    <t>1.Melakukan pendataan dan fact finding,untuk mengetahui ambang batas(rate) berapa minimun charge untuk pembayaran deposit sewa gudang In di citylink. 2.Mengurangi waktu/aktivitas cashbon dari driver ke staf,dan dari staff ke wh manager. 3.Mengurangi tingkat kemungkinan Fraud. 4.Mengurangi waktu tunggu penarikan barang dari gudang In citylink ke pihak BES Medan (Driver). 5.Mempercepat proses Delivery barang dari Airport KualaNamo ke Gudang BES di Medan. 6.Mengurangi kemungkinan terhindarnya dari trafic dijam-jam critical diarea amplas (dalam proses renovasi).</t>
  </si>
  <si>
    <t>Total waktu yang dibutuhkan : 1.Reduce time dari Driver cashbon ke Staff 10 menit = 600s 2.Reduce time dari staff ke WH manager 10 menit =600s 3.Reduce time untuk penarikan barang dari Gudang -in 30menit=1800s dari citylink ke pihak Driver BES. 4.Asumsi jika terjebak trafiic macet dan sebagainya untuk area amplas diprediksi (45 menit = 2700s). Total jika diimplemented dengan sistem deposit : 1.Reduce time dari driver ke staff =600s = 10menit. 2.Reduced time dari staff ke wh manager=600s=10menit. 3.Reduce time dari Gudang In citylink ke driver=25menit=1500s. 4.Reduce time asumsi dengan kondisi existing di area jl sm raja(amplas)dlm proses perbaikan 40 menit = 2400s.</t>
  </si>
  <si>
    <t>Saving dari : 1.Reduced time 1 hari = 90 menit =5400s 2Kondisi existing dari tingkat penggunaan di jasa citylink Gudang in dari CGK ke MES 8 periode per bulan–&gt; 8 x 90 =720menit,jadi reduce time di convert ke IDR 12jam --&gt; Rp.360.000. 3.Jika dengan menggunakan pendekatan peningkatan kiriman melalui jasa Citylink,dengan normal rate, dengan periode masuk 1 bln 30 hari = 30 kali, maka–&gt;30x90 =2700menit =45jamx30.000 = Rp.1.350.000</t>
  </si>
  <si>
    <t>1.Melakukan koordinasi dengan pusat.  2.melakukan analisis lebih mendalam untuk mendapatkan data lebih akurat.  3.Konsisten terhadap SOP.</t>
  </si>
  <si>
    <t>Nova Permatasari;  Siti Rachmawati; Mahfira Amalia</t>
  </si>
  <si>
    <t>Efisiensi pembuatan rekap order dropship</t>
  </si>
  <si>
    <t>1.Pengolahan data dengan melakukan vlookup satu persatu    2.Pengolahan data yang banyak sehinnga menyebakan loading yang lama</t>
  </si>
  <si>
    <t>Total waktu yang di butuhkan untuk proses pengolahan data rekap order dropship sekitar 3.365 (S) / 56 Menit</t>
  </si>
  <si>
    <t>Efisiensi waktu sekitar 50 %</t>
  </si>
  <si>
    <t>Butuh waktu lama dalam pengelolahan data karena banyak nya prosses yang dilakukan secara manual</t>
  </si>
  <si>
    <t>Menggunakan macro untuk mengelola data rekap order dropship</t>
  </si>
  <si>
    <t>Total waktu  yang dibutuhkan untuk proses pengerjaan rekap order dropship setelah dilakukan kaizen berkurang menjadi2.280 (S) / 38 Menit</t>
  </si>
  <si>
    <t>Saving waktu 1 hari = 18 menit --&gt; 396 mnt/bln. saving dalam rupiah untuk 1 bulan –&gt; 6.6 jam * Rp 30.000 = Rp 198.000,- / bln</t>
  </si>
  <si>
    <t>1.Meng update database daily basis berdasarkan tarikan jasper  2.Pemisahan pengerjaan data secara bulanan</t>
  </si>
  <si>
    <t>Stevie Prayudi;  Peter M. Leonardy;  Thomas Jumanjaya;  Titis Ekky Krisnanda</t>
  </si>
  <si>
    <t>Efisiensi Proses Pembuatan KPI Lead Time Report</t>
  </si>
  <si>
    <t>Proses pembuatan KPI lead time report masih sangat manual dan membutuhkan waktu yang cukup lama</t>
  </si>
  <si>
    <t>Proses pembuatan KPI lead time report membutuhkan waktu sekitar 30 menit</t>
  </si>
  <si>
    <t>Waktu pembuatan KPI lead time report berkurang sebesar 50%</t>
  </si>
  <si>
    <t>Pembuatan KPI Lead Time Report masih sangat manual, sehingga ada potensi human error</t>
  </si>
  <si>
    <t>Menggunakan macro untuk menghilangkan proses manual dan mempercepat pengerjaan KPI Lead Time Report</t>
  </si>
  <si>
    <t>Waktu pembuatan KPI lead time report berkurang sebesar 63.59% menjadi 10 menit 46 detik</t>
  </si>
  <si>
    <t>1.Saving waktu pembuatan per minggu (5 hari kerja) sebesar 1 jam 34 menit   2.Saving waktu pembuatan per bulan (20 hari kerja) sebesar 6 jam 16 menit</t>
  </si>
  <si>
    <t>1.Implementasi metode baru (macro) dalam proses pembuatan KPI Lead Time Report   2.Sosialisasi metode baru ke tim RM   3.Update SOP</t>
  </si>
  <si>
    <t>Lottar Matheus;  Dearni;  Gusti Mahesa; Budi Arianto</t>
  </si>
  <si>
    <t>Efektifitas penggunaan AUX Follow up channel Call</t>
  </si>
  <si>
    <t>1.Kurang terkontrolnya penggunaan Aux Follow up  2.mempengaruhi kapasitas Channel Call  3.pengurangan waktu agent untuk jalan konfirmasi ke Unit lain</t>
  </si>
  <si>
    <t>Tingginya penggunaan AUX Follow up per agent;      Pengurangan kapasitas agent khususnya ketika ada agent ada yg menggunakan AUX utuk follow ke Unit lain</t>
  </si>
  <si>
    <t>1.Kapasitas Channel Call sesuai dengan kebutuhan  2.Penurunan penggunaan AUX Follow up min.50%</t>
  </si>
  <si>
    <t>1.By pass proses eskalasi ke BEM dengan cara berjalan menuju TL/unit lain   2.keterbatasan TL ketika sedang tidak ada di floor  3.menurunnya SL Call ketika agent memutuskan AUX follow up</t>
  </si>
  <si>
    <t>1.pemberlakuan penggunaan Skype (status)   2.sosialisasi agent Call dalam proses Follow up yg baru   3.Sosialisasi BEM ketika mendapatkan eskalasi dari TL atau Agent</t>
  </si>
  <si>
    <t>Data setelah disosialisasikan Kaizen ke agent Call : 2 Jam 395 Menit 503 setik. Berkurang 1 Menit 35 Detik dari data sebelumnya</t>
  </si>
  <si>
    <t>1.Menambahkan jam kerja agent Call, berpengaruh juga dengan Service Level   2.Data eskalasi tidak hilang karena terdokumentasi di email gdn-commerce.com</t>
  </si>
  <si>
    <t>1.Memaksimalkan penggunaan skype untuk proses eskalasi   2.Menambah produktivity agent Call CS Blibli.com</t>
  </si>
  <si>
    <t>Giri Lintang Ihsanudin Yuni Widiasih danang susilo Ari Kurniawan</t>
  </si>
  <si>
    <t>pengoptimalan kinerja dengan metode menghilangkan pendataan ( per orang ) barang hasil QC pada excel</t>
  </si>
  <si>
    <t>1.Pendataan hasil QC pada excel per setiap kali pengecekan, cukup menghambat waktu untuk melakukan pengecekan selanjutnya   2.pendataan hasil QC selama ini dilakukan oleh admin QC dan personnel QC ( tidak efektif karena 2 kali pengerjaan )   3.Data hasil QC jarang diperlukan oleh personnel QC   4.Data hasil QC sudah ada pada admin QC</t>
  </si>
  <si>
    <t>1.rata-rata pendataan hasil QC dari cm ke excel membutuhkan waktu 27 (detik/ barang). nilai rata-rata didapatkan dengan menjumlah kecepatan pendataan hasil QC dari cm ke excel setiap personnel, lalu dibagi dengan jumblah keseluruhan personnel QC.   2.contoh: yuni ( personnel QC ): 30 ( target QC per hari) * 35 detik ( rata-rata waktu pemindahan data dari CM ke excel ) / 60 menit ( untuk mendapat satuan menit ) = saving 17,5 menit per hari</t>
  </si>
  <si>
    <t>1.mempercepat waktu pengecekan barang dengan cara menghilangkan pendataan hasil QC oleh setiap personnel QC.   2.Menghilangkan yang sebelumnya 2 kali pengerjaan pendataan hasil QC. menjadi hanya 1 kali pengerjaan pendataan hasil QC</t>
  </si>
  <si>
    <t>Pendataan hasil QC perhari oleh setiap personnel QC menghambat waktu untuk mempercepat pengecekan barang selanjutnya.</t>
  </si>
  <si>
    <t>1.Aktivitas pendataan pada excel oleh personnel QC dihilangkan ( cukup admin qc yang melakukan pendataan hasil QC )   2. Khusus untuk admin QC diharuskan men share data hasil pengecekan per hari kepada setiap personnel QC   3.Untuk format data, admin QC diharuskan menambahkan kolom ( nama barang dan nama pengecek )</t>
  </si>
  <si>
    <t>Agus Tryono;  fidriany fidriany;  Rangga Dhamaswara;  Wahyudi</t>
  </si>
  <si>
    <t>Courier Pre-Start Inspection: Efisiensi proses pelaksanaan delivery.</t>
  </si>
  <si>
    <t>1.Kelengkapan atribut kurir tidak lengkap saat akan mulai bekerja 2.Kurir terlambat ketika hendak mulai mengantar</t>
  </si>
  <si>
    <t>proses persiapan kurir dalam pelaksanaan delivery membutuhkan waktu kurang lebih 1 jam (60 menit).</t>
  </si>
  <si>
    <t>Efisiensi waktu persiapan delivery sekitar 50%</t>
  </si>
  <si>
    <t>1.Kurir kurang mengoptimalkan waktu yang disediakan kordinator untuk mempersiapkan barang-barang yang akan di delivery; 2.Pengecekkan dilakukan sebanyak 2 kali; 3.Kelengkapan yang harus disiapkan kurir dalam melaksanakan tugas kurang lengkap dan memadai.</t>
  </si>
  <si>
    <t>1.Membuat form pre-start inspection yang digunakan untuk monitoring kurir dalam melaksankan tugasnya (delivery barang) seperti mengecek kelengkapan inventaris operasional dan unit kendaraan.</t>
  </si>
  <si>
    <t>waktu persiapan yang dilakukan oleh kurir berkurang signifikan yang sebelumnya membutuhkan waktu kurang lebih 1 jam (60 menit) dan sekarang kurir membutuhkan waktu 30 menit untuk mempersiapkan segala sesuatu yang diperlukan untuk delivery (30 paket yang akan dikirim).</t>
  </si>
  <si>
    <t>penghematan yang didapatkan yaitu efisiensi waktu sebesar 30 menit, dimana 30 menit dapat mengirimkan barang kurang lebih 2 paket di alamat yang berbeda dalam satu area. Jumlah kurir untuk delivery barang saat ini yaitu 58 orang. Jika dikalikan dengan efisiensi yang didaptkan, maka BES akan mempercepat proses pengiriman sebanyak 58 x 2 = 116 paket. Jika paket- paket yang berjumalh 116 paket tersebut dikirimkan oleh 3PL lain, maka kita akan menghemat biaya pengiriman sebesar: asumsi biaya 3PL: Rp 15.000/paket. Dengan metode pre-start inspection ini, kita dapat saving biaya pengiriman sebesar: Rp 15.000/paket x 116 paket= Rp 1.740.000 untuk 1 hari. Jika dikalikan 30 hari, maka kita saving biaya pengiriman sebesar: Rp 1.740.000 x 30= Rp 52.200.000.</t>
  </si>
  <si>
    <t>Monitoring pelaksanaan pre-start inspection tersebut.</t>
  </si>
  <si>
    <t>CS-BC</t>
  </si>
  <si>
    <t>Erich Evander Da Costa;  Hafiz faturrahman;  yoserizal</t>
  </si>
  <si>
    <t>Form evaluasi after training/refreshment kertas ke Survey Monkey</t>
  </si>
  <si>
    <t>1.Penggunaan kertas untuk form evaluasi training/sosialisasi/refreshement cukup banyak    2.Membutuhkan waktu yang cukup lama untuk pemindahan data hasil evaluasi untuk diolah di excel</t>
  </si>
  <si>
    <t>1.All agent BLITS saat ini berjumlah 120 orang (exclude TL), setiap agent akan mendapat 2 lembar kertas evaluasi setiap refreshment, setiap agent rata-rata mengikuti 2 kali refreshment setiap bulan, total kertas yang digunakan setiap bulan 480 lembar.   2.Setiap lembar kertas evaluasi dipindahkan ke excel untuk diolah, pemindahan per lembar form evaluasi membutuhkan waktu 60 detik/form evaluasi (yang terdiri dari 2 lembar) x jumlah agent 120 orang, total dibutuhkan waktu 7200 detik atau 120 menit</t>
  </si>
  <si>
    <t>1.Target pengurangan penggunaan kertas 70%  2.Efisiensi pengurangan waktu input hasil ke excel sebesar 50%</t>
  </si>
  <si>
    <t>1.Peserta training/refreshment/sosialisasi harus memberikan insight terkait dengan materi, pemateri dan kondisi kelas training dengan mengisi form kertas   2.Form evaluasi yang sudah diisi harus diinput ulang ke excel untuk menghitung persentase kepuasan peserta terhadap training</t>
  </si>
  <si>
    <t>1.Peserta yang sudah mengikuti training/sosialisasi/refreshment mengisi evaluasi training melalui link Survey Monkey yang sudah disediakan: https://www.surveymonkey.com/r/YRBNMXB    2.Form evaluasi Survey Monkey yang sudah diisi kemudian di export ke excel dan di copy ke form excel akhir yang sudah di setting dengan formula perhitungan kepuasan peserta. Setiap bulan rata-rata diadakan 20 kali sesi training/sosialisasi/refreshment. Data evaluasi ditarik per sesi refreshement, dengan waktu 60 detik per sesi.</t>
  </si>
  <si>
    <t>1.Evaluasi training/sosialisasi/refreshment tidak menggunakan kertas, dialihkan ke Survey Monkey (sebelumnya menggunakan kertas 480 lembar.   2.Pengurangan waktu pemindahan data sebesar 6000 detik atau 100 menit</t>
  </si>
  <si>
    <t>1.Penghematan kertas sebanyak 480 lembar/bulan.Harga 1 rim kertas paper one 70gr berkisar Rp. 31.000 - 33.000, harga per lembar kertas di kisaran Rp. 66. Saving diperkirakan sebesar 66 x 480 = Rp. 31.680/bulan (dengan patokan harga Rp. 33.000/rim)   2.Saving waktu pengerjaan pemindahan hasil evaluasi sebanyak 6000 detik atau 100 menit per bulan</t>
  </si>
  <si>
    <t>Penerapan penggunaan evaluasi dengan link Survey Monkey secara bertahap akan diimplementasikan ke seluruh training/sosialisasi/refreshment yang membutuhkan evaluasi kepuasan peserta</t>
  </si>
  <si>
    <t>Yudi Haryanto; ervien suseno; danang.febrianto</t>
  </si>
  <si>
    <t>Penyederhanaan Report AWB All Logistic dengan Pivot with Slicer</t>
  </si>
  <si>
    <t>Terlalu banyak File Report 3PL dan admin Rekap data outbound berulang kali (setiap hari) membuat Pivot Table pada Report 3PL tersebut.</t>
  </si>
  <si>
    <t>1.Report masih terpecah ke beberapa file tertentu karena terbagi dalam beberapa logistik   2.Berbagai macam data tersebut  disatukan ke dalam suatu sistem tertentu, sehingga harus dikerjakan secara manual di masing-masing file.   3.Perlu ada mekanisme yang memudahkan/menyederhanakan proses yang membuang waktu.</t>
  </si>
  <si>
    <t>Menjadikan satu File AWB All Logistik setiap bulannya dengan tambahan Pivot with Slicer</t>
  </si>
  <si>
    <t>1.Saat pembuatan Report 3PL All AWB,setiap harinya, terjadi pengulangan hal yang dilakukan   2.Banyak nya File jika Report 3PL All AWB dibuat setiap harinya</t>
  </si>
  <si>
    <t>1.Improvement dilakukan dengan menggunakan slicer yang terhubung ke pivot dari masing-masing report  tersebut.   2.Slicer ini akan langsung memotong tanggal yang kita pilih untuk periode report tersebut.   3.Improvement ini seharusnya akan mengeliminasi proses membuka dan menghitung pada file-file sumber.</t>
  </si>
  <si>
    <t>Waktu pengerjaan untuk pembuatan report 3PL menjadi 15 detik.</t>
  </si>
  <si>
    <t>Dengan asumsi rata-rata pengerjaan sebelum improvement 65 detik setiap harinya menjadi 15 detik. Saving yang didapat per hari adalah 50 Detik</t>
  </si>
  <si>
    <t>Mensosialisasikan pada semua Outbound dan tim distribusi</t>
  </si>
  <si>
    <t>maman hanafie;  dony setyawan;  joko susilo</t>
  </si>
  <si>
    <t>RE-ORGANIZE ALAT KERJA &amp; PENGEMASAN PLASTIK BAG BEKAS PENGIRIMAN</t>
  </si>
  <si>
    <t>1.Alat kerja dan material  pelengkap yang tidak tersusun rapi dan tercecer memperlambat proses Inward &amp; Sorting paket juga persiapan Delivery Messenger.2.Proses pencarian alat membutuhkan waktu yang cukup lama, padahal harus segera digunakan.3.Semua alat harus tersimpan secara rapi dengan posisi tetap (tidak berpindah-pindah), sedangkan ada beberapa alat yg tersebar.4.Plastik Bag tercecer di beberapa tempat</t>
  </si>
  <si>
    <t>1.Alat tersebar di beberapa tempat.2.Proses penyimpanan alat tidak rapi &amp; berpindah-pindah.3.Proses pencarian alat membutuhkan cukup lama</t>
  </si>
  <si>
    <t>1.Mengelompokan alat dalam satu tempat.2.Memudahkan Identifikasi alat.3.Meminimalisir waktu pencarian alat agar dapat segera digunakan.4.Plastik Bag terlipat rapi dan dimasukkan dalam satu kemasan, untuk persiapan dikirim kembali ke BES Tubun</t>
  </si>
  <si>
    <t>1.Alat yang tersimpan berasal dari aktivitas project ad hoc.2.Alat tidak terindex/ teridentifikasi.3.Alat  yang tersebar di beberapa tempat penyimpanan menghambat efektifitas kerja selanjutnya.4.Plastik Bag tercecer, riskan robek &amp; rusak</t>
  </si>
  <si>
    <t>1.Menyusun, merapikan dan menyimpan semua alat ke dalam satu kemasan dan satu posisi.2.Alat ditempatkan pada posisi mudah terlihat, mudah terjangkau dan diketahui semua personel.3.Waktu pengambilan alat menjadi lebih cepat untuk segera digunakan, sehingga mempercepat proses kerja selanjutnya.4.Melipat dan mengemas Plastik Bag dalam satu kemasan untuk persiapan kirim nalik Ke Bes Tubun</t>
  </si>
  <si>
    <t>1.Alat dikelompokan dalam beberapa kemasan namun masih satu lokasi/posisi. 2.Pencarian alat lebih cepat dari aktivitas sebelumnya.3.Susunan alat menjadi lebih rapi, kerja lebih cepat, lingkungan kerja menjadi bersih</t>
  </si>
  <si>
    <t>1. Reducing time untuk pencarian alat menurun hingga 70% dari aktivitas sebelumnya.   2. Kemasan alat menjadi lebih ringkas, kerja lebih cepat, lingkungan kerja menjadi lebih bersih</t>
  </si>
  <si>
    <t>1. Memindahkan alat ke dalam kemasan yang bersesuaian.2. Mengingatkan personel agar mengembalikan alat ke tempat asalnya setelah selesai digunakan.3. Mengingatkan personel agar tidak memindah posisi/letak penyimpanan alat</t>
  </si>
  <si>
    <t>al lubis umri arvin pohan</t>
  </si>
  <si>
    <t>Efisiensi Waktu Penarikan Data Jasper STO011</t>
  </si>
  <si>
    <t>Server dan jaringan internet warehouse medan tidak stabil. Admin order, QC, dan Outbound melakukan penarikan data STO011</t>
  </si>
  <si>
    <t>WarehouseMedan_Data Before Kaizen VI.xlsx</t>
  </si>
  <si>
    <t>Menghemat waktu penarikan data jasper STO011 di warehouse medan</t>
  </si>
  <si>
    <t>Server WH Medan belum stabil. Admin order, QC dan outbound melakukan penarikan data STO011</t>
  </si>
  <si>
    <t>Penarikan data jasper STO011 hanya dilakukan oleh admin order</t>
  </si>
  <si>
    <t>WarehouseMedan_Data After Kaizen VI.xlsx</t>
  </si>
  <si>
    <t>Efisiensi waktu yang diperoleh dari improvement yang sudah dilakukan sebanyak 21 menit</t>
  </si>
  <si>
    <t>Next activity yang dilakukan adalah penarikan data hanya dilakukan oleh admin order dan dilakukan file sharing kepada QC &amp; outbound.</t>
  </si>
  <si>
    <t>Lusyana Wijaya;  Sherly Setiawan;  angela cherie</t>
  </si>
  <si>
    <t>Speed up process of sharing internal data</t>
  </si>
  <si>
    <t>Membutuhkan waktu yang lama untuk memperbaharui data</t>
  </si>
  <si>
    <t>1.Membuka data tagihan logistik 59.04s     2.Membuka File Kompilasi 59.04s     3.Mengupdate data Tagihan Ke File Kompilasi 2400s    4.Menyimpan file data File Kompilasi 37.84s     5.Mengirimkan Data Kompilasi via email ke Team Internal lain 25s     6.Proses menarik file klaim CR dari confluence 38.91s    7.Proses memperbaharui data Klaim 15609.74s    8.Proses meng-upload file klaim terbaru 24.81s</t>
  </si>
  <si>
    <t>Efisiensi waktu hingga 50 %</t>
  </si>
  <si>
    <t>1. Proses memperbaharui data membutuhkan waktu yang lama.   2.Adanya langkah yang dilakukan secara bergantian pada saat memperbaharui data.   3.File source yang digunakan tim rekon hanya 1 file berupa Excel Offline.</t>
  </si>
  <si>
    <t>Menggunakan Microsoft Teams 365 sebagai sarana pertukaran informasi dengan divisi lain.</t>
  </si>
  <si>
    <t>1. Proses membuka Microsoft Teams 46.52s
2. Proses memperbaharui data 1200 s</t>
  </si>
  <si>
    <t>Team Recon dapat mengakses dan memperbaharui data secara bersamaan.</t>
  </si>
  <si>
    <t>Mensosialisasikan ke semua Team Recon dan Divisi bersangkutan</t>
  </si>
  <si>
    <t>Ferdhianto Ibnugroho; Udi Suardi; Rodons dan Seteven Chandra</t>
  </si>
  <si>
    <t>Penghematan waktu proses pengecekkan barang IR Photoshoot yang sudah difoto</t>
  </si>
  <si>
    <t>Lamanya waktu penngecekkan barang IR Photoshoot yang sudah difoto</t>
  </si>
  <si>
    <t>Waktu Siklus proses pemeriksaan barang IR Photoshoot adalah 2 menit 8 detik per koli (1koli = 12 SKU)</t>
  </si>
  <si>
    <t>Waktu Siklus proses pemeriksaan barang IR Photoshoot adalah 1 menit per koli (1koli = 12 SKU)</t>
  </si>
  <si>
    <t>1. Pengecekkan dilakukan manual (mata) dengan mencocokan SKU di barang dan package list     - belum diterapkan kaizen pada proses ini  2. Harus mencari SKU barang di package list yang ada  - untuk mencocokan apakah fisik barang yang sudah difoto sesuai dengan package list yang ada - masih manual    3. Urutan barang IR dalam box belum tentu sama dengan package list - tidak diurutkan oleh Tim Foto setelah selesai proses foto</t>
  </si>
  <si>
    <t>1. Pengecekkan dilakukan dengan melakukan scan SKU di barang,tidak lagi dicocokan menggunakan mata manusia (rentan human error atau kelelahan apalagi jika jumlah SKU per koli banyak)     2. Tidak lagi mencari SKU barang, karena sudah dibarcode dengan menggunakan scanner barcode di smartphone yang berisi file excel yang telah di-highlight-duplicate values     3. Urutan barang IR dalam box tidak lagi menjadi masalah karena tidak lagi mencari SKU barang di package list</t>
  </si>
  <si>
    <t>Waktu Siklus proses pemeriksaan barang IR Photoshoot yang sudah difoto adalah 1 menit 27 detik per koli (1koli = 12 SKU)</t>
  </si>
  <si>
    <t>Saving yang didapat per bulan sebesar 1,6 jam kerja jika rata-rata 7 koli dengan masing-masing koli berisi 12 SKU</t>
  </si>
  <si>
    <t>Anna Maria Jessica;   Satrio Gunawan Wibiseno;  Vilia Sylvia;  Chaiyren Olivia Herman</t>
  </si>
  <si>
    <t>Space utilization Warehouse Ceper</t>
  </si>
  <si>
    <t>Terbatasnya space Warehouse Ceper</t>
  </si>
  <si>
    <t>Abdul Rakhman; dannu.permana</t>
  </si>
  <si>
    <t>Pengaturan Jadwal Kerja Berdasarkan Waktu Kedatangan Supplier</t>
  </si>
  <si>
    <t>Penumpukan kedatangan suplayer di siang hingga sore hari menyebankan proses penerimaan membutuhkan waktu lama sehingga menyebabkan overtime.</t>
  </si>
  <si>
    <t>1.Tingginya itensitas kedatangan supplier pada satu waktu tertentu.   2.Proses jam kerja 10 jam (8:00 s/d 18:00) dengan jam kerja personal 8 jam dalam 1 hari membuat interval 2 jam beroperasi tidak dalam keadaan full team .</t>
  </si>
  <si>
    <t>Memaksimalkan jumlah personil pada jam padat untuk kedatangan Supplier.</t>
  </si>
  <si>
    <t>1.Beradasarkan kepada data kedatangan Supplier (yang diambil dari Jesper) dapat disimpulkan pergeseran kedatangan Supplier yang cenderung di siang hari.   2.Dengan rata-rata pemrosesan penerimaan sampai ke Putaway dari Januari sampai April 2:56:45</t>
  </si>
  <si>
    <t>Melakukan pemetaan personil merujuk pada jam padat kedatangan Supplier sesuai data kedatangan supplier bulan sebelumnya.</t>
  </si>
  <si>
    <t>1.Pembagian jadwal, jadwal pertama dapat dipercayakan kepada 2 personil (Admin dan Labeler) pada jam 08:00 dikarenakan secara keseluruhan proses inbound hanya 14% dari keseluruhannya, dan 8 personil akan masuk jam 10:00 untuk menghandle 86% proses inbound.    2.Personil Putaway dapat diterapkan pada jam 11:00, selain memberikan spare waktu 1 jam untuk proses putaway, secara data keseluruhan terdapat 9% proses putaway yang dilakukan di bawah jam 11:00</t>
  </si>
  <si>
    <t>1.Menghilangkan potensi overtime.   2.Meminimalisir outstanding Inbound.   3.Memaksimalkan jam kerja personal dengan office hours.</t>
  </si>
  <si>
    <t>Booking Slot</t>
  </si>
  <si>
    <t>SCM-WH Cawang + New Team 5</t>
  </si>
  <si>
    <t>Arya W.A. Bhaskara   ; Charles    ; Jeffry Setyawan Pribadi</t>
  </si>
  <si>
    <t>Efisiensi kertas dengan Print Package List &amp; Retur jadi 1 lembar bolak-balik</t>
  </si>
  <si>
    <t>penggunaan kertas untuk print package list &amp; retur dilakukan masing2 sehingga memerlukan 2 lembar kertas</t>
  </si>
  <si>
    <t>fullfil paket order WH.Cawang bulan Mei sebesar 13.194 paket AWB,   jumlah kertas digunakan = 2 x 13.194 = 26.388,   (52.7 Rim) x 19.000 = Rp 1.002.744</t>
  </si>
  <si>
    <t>Penggunaan kertas turun 30%</t>
  </si>
  <si>
    <t>1.print list &amp; retur dilakukan masing2 sehingga memerlukan 2 lembar kertas   2.Penggunaan kertas retur bagi konsumen tidak significant sehingga cenderung dibuang.</t>
  </si>
  <si>
    <t>Retur di print di bagian sisi belakang packinglish</t>
  </si>
  <si>
    <t>penerapan Print Package List &amp; Retur jadi 1 lembar bolak-balik menghemat kertas sebesar 50 % sehingga dapat menurunkan biaya</t>
  </si>
  <si>
    <t>Dapat menurunkan  biaya operasional sebesar Rp 501.372/bulan</t>
  </si>
  <si>
    <t>Penerapan ke gudang-gudang Blibli lainnya</t>
  </si>
  <si>
    <t>Customer Management 1</t>
  </si>
  <si>
    <t>Umi Zahrah ; Emilia Rizky ; Jiswel Eral;   Danang Limantoro</t>
  </si>
  <si>
    <t>Efisiensi waktu untuk pengecekan kode voucher pada CRM</t>
  </si>
  <si>
    <t>Waktu create dan pengecekan CASEMGMT untuk kendala kode voucher membutuhkan waktu cukup lama
Kode voucher tidak diperkenankan diinput pada comment di CASEMGMT
Belum ada security pada kode voucher yang berkendala
berpotensi untuk dapat di salah gunakan oleh oknum yang tidak bertanggung jawab
Jika team XO belum konfirmasi kode voucher maka team Internal belum bisa melakukan pengecekan</t>
  </si>
  <si>
    <t>Untuk follow up CASEMGMT mengenai kendala kode voucher hingga solved membutuhkan waktu 200 (s) dan membutuhkan 8 Process.</t>
  </si>
  <si>
    <t xml:space="preserve"> Untuk penginputan kode voucher di CASEMGMT lebih ringkas dan tidak membutuhkan waktu lama
Target kaizen untuk efisiensi pengecekan kode voucher pada CRM 60% dari data before (flow process)</t>
  </si>
  <si>
    <t>1 Waktu penyampaian kode voucher relative lama dan butuh beberapa step 
- Kode voucher tidak boleh di tulis pada kolom "comment" pada CASEMGMT dan harus di buatkan excel lock oleh XO
2 Tidak adanya fitur atau kolom untuk input kode voucher pada CASEMGMT 
- Belum ada improvement untuk penyediaan kolom atau fitur yang aman untuk input kode voucher 
3 Cara menyampaikan kode voucher dari inbound CS ke XO masih manual 
- Penyampaian kode voucher customer yang berkendala baru dilakukan via Slack saja 
4 Masih belum ada system pada CASEMGMT yang menjaga kerahasiaan kode voucher 
- Jika kode voucher di tulis pada comment di CASEMGMT maka siapa saja bisa melihat 
- Dikhawatirkan ada pihak-pihak yang tidak bertanggung jawab menggunakan voucher yang di tulis pada CASEMGMT</t>
  </si>
  <si>
    <t>- Melakukan improvement dengan mengajukan penambahan kolom pada CASEMGMT 
 untuk penginputan kode voucher (pengajuan ke IT pada tanggal 05/05/2017) 
- Adanya security pada kolom kode voucher 
- setiap username yang menginput &amp; melakukan pengecekan kode voucher akan terecord 
- Bulan Juli 2017 kolom untuk kode voucher sudah release 
- Sosialisasi ke All CS untuk kode voucher dapat di input pada kolom voucher code melalui 
briefing, Slack dan sosialisasi ke TL</t>
  </si>
  <si>
    <t>1. CS create CASEMGMT 
2. XO check CASEMGMT dan eskalasi ke Team Internal 3. Team Internal Check pada CASEMGMT dan informasikan untuk solusi dari kendala customer 
4. menulis update ke outbound untuk di sampaikan ke customer dan berikan label outbound.other 5. Outbound telpon customer</t>
  </si>
  <si>
    <t>Membuat simple proses pembuatan CASEMGMT dari 8 step menjadi 5 step
Waste flow process, before 8 step menjadi 5 step
Mempercepat proses 62.5% dari proses sebelumnya
penghematan waktu per CASEMGMT untuk input kode voucher adalah 113 (s)</t>
  </si>
  <si>
    <t>Customer Management 2</t>
  </si>
  <si>
    <t>Jason Gabriel Jonathan;  Tinton Aribowo, Febrina Larasati, Sendhika Anggraini</t>
  </si>
  <si>
    <t>Efisiensi Penggunaan User ID Comm100</t>
  </si>
  <si>
    <t>Agent membutuhkan waktu persiapan untuk online yang lama dikarenakan distribusi backup account tidak berjalan secara efisien
Akun comm100 tidak digunakan secara optimal</t>
  </si>
  <si>
    <t>Rata-rata waktu yang dibutuhkan empat agent untuk melakukan persiapan hingga online ketika load balancing channel adalah 69 menit 19 detik dengan total 51 langkah pengerjaan
Akun comm100 yang available tidak terdata</t>
  </si>
  <si>
    <t>Efisiensi waktu persiapan 4 agent ketika load balancing untuk online dari rata-rata 69 menit menjadi 8 menit
Menambah rata-rata kapasitas agent dari 16 agent per hari menjadi 20 agent per hari menggunakan load balancing
Membantu meningkatkan service level yang turun akibat Que, dari rata0rata SLA 82% menjadi 85%</t>
  </si>
  <si>
    <t>Tidak semua agent mempunyai Akun comm 100 (hanya agent chat saja)
Alamat email akun comm 100 tidak terlihat di dashboard sehingga tidak terdeteksi siapa saja yang menggunakan akun Akun comm 100 hanya bisa di cek di dashboard untuk nama online saja
Data Utility agent  tidak akurat
Belum ada ketentuan mengenai user ID load balancing comm 100</t>
  </si>
  <si>
    <t>Membuat ketentuan mengenai penggunaan akun comm 100, seperti akun comm 100 agent S4 (11:00 – 07:00) tidak boleh di gunakan
Akun comm 100 yang avail (agent yang sedang libur) akan di share melalui confluence. Avg agent akun comm 100 yang libur periode 1-7 agustus 2017 ada 4 akun yang avail dan bisa di gunakan untuk 4 agent new tranning/load balancing
Ketentuan penginputan confluence: Agent harus menginput data seperti nama, channel dan waktu start time. Jika sudah selesai maka harus input End timenya dan comm 100 sudah harus di log out
Note : selama end time belum di isi berarti akun comm 100 masih aktif di gunakan untuk load balancing</t>
  </si>
  <si>
    <t>WFM input data comm 100 di confluence
Link confluence akan di share melalui slack
Untuk load balancing agent input nama dan start time
Masuk ke website comm 100 live.chat.blibli.com untuk mengubah nama online klik “get online &amp;chat”
Ganti macross nama online dan mulai chatting</t>
  </si>
  <si>
    <t>Mempercepat waktu empat agent untuk online ketika load balancing dari rata-rata 69 menit 19 detik menjadi 6 menit 59 detik
Tidak membutuhkan waktu dan biaya tambahan untuk akun comm100 dalam load balancing channel, karena terdapat list akun comm100 yang avail (menghemat 4 akun berdasarkan perhitungan data 1-7 Agustus 2017)
Meningkatkan kapasitas agent ketika load balancing sebesar 25%, dari 16 agent menjadi 20 agent
SLA mengalami kenaikan dari 82% menjadi 87% pada tanggal 9-15 Agustus 2017</t>
  </si>
  <si>
    <t>Customer Management 3</t>
  </si>
  <si>
    <t>Charles Charles;  Alexandrea Rency Reges
M Fiqri Kholifah Eunike Virgie</t>
  </si>
  <si>
    <t>Efisiensi pengecekkan availibitias trainer</t>
  </si>
  <si>
    <t>Lamanya waktu yang dibutuhkan untuk mengecek avaibilitas trainer.</t>
  </si>
  <si>
    <t>Waktu yang dibutuhkan untuk mengecek avaibilitas per trainer adalah 180 menit (3 jam) per hari.</t>
  </si>
  <si>
    <t>(1) Mengurangi waktu pengecekkan availabilitas hingga 50%. (2) Jadwal trainer tersusun dengan rapi dan transparan.</t>
  </si>
  <si>
    <t>(1) Kebutuhan akan training yang tinggi. (2) Jumlah trainer yang terbatas. (3) Jadwal training padat. (4) Training dilakukan dibeberapa kota yang berbeda.</t>
  </si>
  <si>
    <t>Membuat calender aktivitas training yang ditempel di dinding sehingga semua anggota team dapat dengan mudah melakukan pengecekkan availibilitas trainer.</t>
  </si>
  <si>
    <t>Waktu pengecekkan availabilitas per trainer adalah 1 menit / hari.</t>
  </si>
  <si>
    <t>Menghemat waktu sebanyak 2 jam 59 menit per hari / trainer.</t>
  </si>
  <si>
    <t xml:space="preserve">Risk Management </t>
  </si>
  <si>
    <t xml:space="preserve">Thomas Jumanjaya
Lusyana Wijaya
Vinny Angela
</t>
  </si>
  <si>
    <t>Mempercepat proses Cancel Installment</t>
  </si>
  <si>
    <t>Proses cancel installment membutuhkan langkah yang sama berulang kali</t>
  </si>
  <si>
    <t>1. Export data X-Finance dari Jaspersoft memerlukan waktu 34s
2. Menyiapkan 'Data Bersih' memerlukan waktu sebesar 482s
3. Mengupdate database cancellation installment memerlukan waktu sebesar 64s
4. Mengecek kelengkapan atas data bersih memerlukan waktu sebesar 97s
5. Memisahkan data per masing-masing bank 1,701s</t>
  </si>
  <si>
    <t>Mempercepat proses cancel installment sebanyak 50%</t>
  </si>
  <si>
    <t>1. Proses cancel installment membutuhkan langkah yang sama berulang kali
- Proses filter data dilakukan berulang kali
- Data cancel installment memiliki banyak kriteria
- Sesuai dengan kebijakan berlaku
2. Proses cancel installment membutuhkan langkah yang sama berulang kali
- Adanya proses pemisahan file per bank
- Cancel installment diajukan ke banyak bank
- Fasilitas Installment Blibli berlaku untuk banyak bank</t>
  </si>
  <si>
    <t>1. Mengganti proses filter manual dengan macro
2. Proses memisahkan file per bank dilakukan oleh macro</t>
  </si>
  <si>
    <t>1. Export data X-Finance dari Jaspersoft memerlukan waktu 34s
2. Menyiapkan 'Data Bersih' memerlukan waktu sebesar 426s
3. Mengupdate database cancellation installment memerlukan waktu sebesar 64s
4. Mengecek kelengkapan atas data bersih memerlukan waktu sebesar 97s
5. Memisahkan data per masing-masing bank 128s</t>
  </si>
  <si>
    <t>1. Mempercepat proses cancel installment (before vs after) sebesar 68.5% atau setara dengan :
- 1,629 s (27menit 9 detik) per hari
- 13,032 s (3jam 37menit 12detik) per bulan
2. Penghematan per tahun sebesar 156,384 s (43jam 26menit 24detik)</t>
  </si>
  <si>
    <t>Customer Resolution 1</t>
  </si>
  <si>
    <t>Yesica Prayogi ;Shofiana Fauzy ; Dessita Rahmah ; Ratnasari Dewi ; Bony ;</t>
  </si>
  <si>
    <t xml:space="preserve"> Efisiensi proses pengemasan produk untuk outbound retur (pengiriman ke merchant)</t>
  </si>
  <si>
    <t>- Terlalu banyak proses pengecekan untuk list barang serah terima
- Pencarian barang dan pengemasan memakan banyak waktu
- Banyak barang yang di reschedule karena barang tidak ditemukan</t>
  </si>
  <si>
    <t>- Proses pengecekan sebanyak 16 proses
- Total waktu pencarian dan pengemasan sebanyak 5:48:49
- Rata-rata jumlah barang yang di reschedule sebanyak 5 produk setiap minggu</t>
  </si>
  <si>
    <t>- Proses pengecekan barang berkurang sebanyak 50%
- Total waktu pencarian dan pengemasan berkurang 25%
- jumlah barang yang di reshedule 0</t>
  </si>
  <si>
    <t xml:space="preserve">- Pencarian barang tercampur oleh hasil QC lainnya di hari sebelumnya
- Barang hasil QC dikirim H+1
</t>
  </si>
  <si>
    <t>- Perubahan proses pengiriman ke merchant menjadi hari H
- Barang yang selesai di QC pada hari itu langsung di packing untuk dijadwalkan</t>
  </si>
  <si>
    <t>- Proses pengecekan sebanyak 11 proses
- Total waktu pencarian dan pengemasan sebanyak 4:15:32
- Rata-rata jumlah barang yang di reschedule sebanyak 2 produk setiap minggu</t>
  </si>
  <si>
    <t>- Proses pengecekan barang berkurang sebanyak 31.25% (dari 16 proses menjadi 11 proses)
- Total waktu pencarian dan pengemasan berkurang 26.74% (1: 33:17)
- Jumlah barang yang di reshedule karena barang tidak ditemukan menjadi 2 per week atau 0.4 paket per day</t>
  </si>
  <si>
    <t>Customer Resolution 2</t>
  </si>
  <si>
    <t>Annissa Meuthia Kasih Daulay; Dicky Darmawan; Ridwan Handoko; Dandy A. Putra</t>
  </si>
  <si>
    <t xml:space="preserve">Penetepan Standar Pengecekan Produk Intermittent Pada Produk Retur Kategori C (Defect) </t>
  </si>
  <si>
    <t>1.Pengecekan produk kategori C (defect) terlalu lama.
2.Tidak ada batas waktu yang ditetapkan untuk melakukan pengecekan produk-produk kategori C ( defect) tersebut.
3.Banyak barang yang akhirnya tidak ditemukan kerusakannya, padahal sudah dihabiskan waktu berjam-jam untuk melakukan pengecekan.</t>
  </si>
  <si>
    <t>1.Proses pengecekan sebanyak 16 proses
2.Total waktu pengecekan produk kategori C (defect) selama 8641 detik.</t>
  </si>
  <si>
    <t>1.Proses pengecekan produk kategori C (defect) berkurang sebesar 45% (3600 detik)
2.Tidak ada barang intermittent yang dikembalikan ke customer dan akhirnya dikembalikan lagi oleh customer ke warehouse retur.</t>
  </si>
  <si>
    <t xml:space="preserve">1.Produk defect sering mengalami kerusakan intermittent.
2.Kerusakan intermittent ini merupakan keruskaan yang tidak terjadi secara konstan/terus-menerus. Seringnya kerusakan terjadi secara tiba-tiba.
Umumnya produk yang intermittent ini sering tidak ditemukan kendalanya saat dilakukan pengecekan oleh tim QC. Sering terjadi setelah dilakukan pengecekan hingga berjam-jam, namun kendala produk tetap tidak ditemukan. Akan tetapi saat produk dikembalikan ke customer, ternyata produk kembali memunculkan kendala yang sama.  </t>
  </si>
  <si>
    <t>1.Pendefinisian produk intermittent yang dapat disimpulkan dari kendala produk yang diinfokan customer pada laporan retur.
2.Penetapan maksimal waktu pengecekan produk intermittent pada kategori C (produk defect).</t>
  </si>
  <si>
    <t>1.Penghematan waktu (before vs after) sebesar 76.8% (konsumsi waktu turun dari 8641 detik menjadi 2002 detik)</t>
  </si>
  <si>
    <t>&gt; Penghematan waktu dalam pengecekan produk kategori C (defect). 
&gt; Penambahan jumlah hasil pengecekan produk retur, terutama produk kategori C.
&gt; Penambahan kecepatan pemberian solusi untuk customer.</t>
  </si>
  <si>
    <t>Express Delivery 1</t>
  </si>
  <si>
    <t>Cicilia Valenciana, Susanti A. Marpaung, Yordy Yordy, Michelle Gunawan</t>
  </si>
  <si>
    <t>Efisiensi Proses Pengerjaan Data Customer VVIP</t>
  </si>
  <si>
    <t>(1) Sumber data berasal dari 9 logistik partner yang berarti ada 9 file berbeda.
(2) Data dari 9 file perlu digabung menjadi satu agar pengerjaannya 1x sekaligus. 
(3) Pengolahan data cukup lama karena data gabungan berat  dan masih manual. 
(4) Hasil pengolahan data dipisah lagi per logistik untuk dikirimkan ke masing-masing logistik/</t>
  </si>
  <si>
    <t xml:space="preserve"> Total waktu yang dibutuhkan untuk proses pengerjaan data customer VVIP  untuk semua logistik adalah sekitar 3.988 (s) / 66 menit.</t>
  </si>
  <si>
    <t>Efisiensi waktu 50% dalam proses pengerjaan data customer VVIP</t>
  </si>
  <si>
    <t>1. Pengolahan data lama.
2. Banyak file yang dibuka.
3. Proses Pengecekan sesuai dengan logistik masing-masing.
4. Reason feedback setiap logistik berbeda-beda.
5. Tidak ada sistem yang menggabungkan file tersebut.</t>
  </si>
  <si>
    <t>Membuat macro untuk menggabungkan dan memisahkan filem serta mempercepat proses pengolahan data.</t>
  </si>
  <si>
    <t>Penghematan waktu (before vs after) sebesar 52,8% (konsumsi waktu turun dari 3988 detik menjadi 1884 detik).Pencapaian target vs after sebesar 106% (2104 detik vs 1994 detik)</t>
  </si>
  <si>
    <t>Benefit yang didapat adalah Penghematan waktu dalam pengolahan data.Mengurangi proses penggabungan data secara manual setiap feedback dari logistik , dan tidak perlu membuka semua file dalam mengerjakan data customer VVIP .</t>
  </si>
  <si>
    <t>Express Delivery 2</t>
  </si>
  <si>
    <t>Randy Hazemi; Hendro Purnomo, Irene Kesuma Dewi Saputro, Firsty Kartika</t>
  </si>
  <si>
    <t> Efisiensi Pembuatan Report Data Over ETD Max Logistic</t>
  </si>
  <si>
    <t>Terlalu banyak file yang digunakan, Loading data yang memerlukan waktu yang cukup banyak, Banyaknya varian (Logistik) yang perlu di email</t>
  </si>
  <si>
    <t>Total waktu yang dibutuhkan untuk proses pengerjaan report ETD Max untuk logistik adalah sekitar 3.984 (s) / 66.4 menit</t>
  </si>
  <si>
    <t> Efisiensi waktu 49% (2.029 detik) dalam proses pengerjaan report ETD Max</t>
  </si>
  <si>
    <t>Proses pengerjaan lama, Terlalu banyak file yang dibuka, Banyak data yang diambil dari banyak file, Datanya terpisah-pisah, Karena tidak bisa tarik data yang diperlukan sekaligus dalam 1 file dari sistem</t>
  </si>
  <si>
    <t>Membuat macro untuk pengerjaan report daily data over SLA</t>
  </si>
  <si>
    <t>Penghematan waktu (before vs after) sebesar 38% (konsumsi waktu turun dari 3984 detik menjadi 1497 detik), Pencapaian target vs after sebesar 77% (1955 detik vs 1497 detik)</t>
  </si>
  <si>
    <t>Benefit yang didapat adalah Penghematan waktu dalam pengolahan data, Tidak banyak file yang cukup berat yang dibuka, Mengurangi proses manual Vlook Up dan Copy Paste</t>
  </si>
  <si>
    <t>Fleet Management JKT 1</t>
  </si>
  <si>
    <t>Anna Maria Jessica;
@wahyudi1
Yohanes Elniko Dimas Brahmantyo
Dhamaswara</t>
  </si>
  <si>
    <t>Penggunaan tali karet untuk menggantikan penggunaan isolasi</t>
  </si>
  <si>
    <t>Isolasi merupakan alat bantu untuk membawa barang di motor namun bersifat consumable sedangkan tali karet dapat digunakan kembali.</t>
  </si>
  <si>
    <t>Penggunaan Lakban 24 roll / Hari. Untuk semua HUB :
•Tubun  : 8 roll
•Ceper  : 4 roll  
•Cakung  : 4 roll
•Cilandak  : 4 roll
•Cawang  : 4 roll. Total harga 24 roll adalah 192,000 per hari. Atau 5,760,000 per 30 hari</t>
  </si>
  <si>
    <t>Menurunkan biaya hingga 25% dari biaya yang ada sebelum improvement atau 1,440,000</t>
  </si>
  <si>
    <t>•Penggunaan lakban hanya bisa untuk sekali pakai
•Pemesanan barang harus dilakukan berkala karena penggunaan lakban yang sangat sering</t>
  </si>
  <si>
    <t>•Melakukan subtitusi penggunaan lakban dengan tali karet
•    Lakban hanya dibutuhkan untuk kebutuhan baging 
•    linehaul, jadi pemesanan lakban tidak akan terlalu sering.</t>
  </si>
  <si>
    <t>Pergantian lakban menjadi tali karet sebagai pengikat paket untuk pengirman messenger dapat menekan biaya perbulan hingga Rp 1,663,455 yaitu sebesar 28,8 %
Permohonan untuk pengadaan lakban akan berkurang karena sebagian lakban sudah disubtitusikan dengan tali karet.</t>
  </si>
  <si>
    <t>Fleet Management JKT 2</t>
  </si>
  <si>
    <t xml:space="preserve"> Alvin Hadibowo;
Muhammad Sudibjo
Refa Siregar
Arliandi Arifin</t>
  </si>
  <si>
    <t>Perhitungan kebutuhan bahan bakar untuk kurir motor</t>
  </si>
  <si>
    <t>Dengan jumlah pengiriman yang bertambah berpotensi area pengiriman yang lebih rapat (density increases) sehingga jatah BBM dapat dikurangi</t>
  </si>
  <si>
    <t>Jatah BBM untuk Kurir Motor yang sekarang ini diberikan sebanyak
3 Liter/Kurir/Hari terlalu banyak dikarenakan oleh jumlah delivery yang meningkat yang membuat lokasi pengiriman semakin rapat (Dense).
Banyak kurir jadi meng-salah gunakan jatah BBM yang berlebih ini.</t>
  </si>
  <si>
    <t>1.Menurunkan operational cost sebesar 8.3 Juta Rupiah sampai akhir tahun 2017</t>
  </si>
  <si>
    <t>Mendukung kurir motor untuk lebih efficient dalam mengantar/mengambil barang</t>
  </si>
  <si>
    <t xml:space="preserve">Meng-alokasi jatah BBM
Dari 3 Liter/Kurir/Hari menjadi 2.25 Liter/Kurir/Hari </t>
  </si>
  <si>
    <t>1.Berdasarkan average jarak tempuh 62.31 Km, kami berasumsi bahwa setiap 1 Liter BBM dapat digunakan untuk menempuh 30 Km (1L:30Km). Untuk jarak tempuh ini, memperlukan 2.07 Liter BBM.
2.Kami menghitung buffer sebesar 5.5 Km (0.18 Liter)</t>
  </si>
  <si>
    <t>Benefit yang diperoleh :
1. Improvement yang dilakukan adalah menurunkan biaya operational BES melalui penurunan jatah BBM kurir motor di HUB Tubun dari 3 Liter/Orang/Hari menjadi 2 Liter/Orang/Hari.
●
2.Total Cost Savings: Rp. 7,813,474 sampai dengan akhir tahun</t>
  </si>
  <si>
    <t>Fleet Management Medan</t>
  </si>
  <si>
    <t>Maryo Benhard Tuas
Eka Rizky Kurniawan</t>
  </si>
  <si>
    <t>Re- Standard Packaging BES untuk menekan biaya Claim Insurance Kerusakan dan kepuasan pelanggan.
Produk spesifik:
1. High Value
2.Destructive Goods.</t>
  </si>
  <si>
    <t>1. Tingkat Klaim Barang rusak, dan atau meng hindari / Preventif action untuk kategori Produk High Value.
2.Tingginya Potensi Kerusakan Barang yg terjadi akibat kurang diperhatikannya standard packaging untuk barang DG dan Culinery goods.</t>
  </si>
  <si>
    <t xml:space="preserve">Jumlah paket yg di claim rusak jan s/d juli = 22 pcs (produk rusak/penyok/tertimpa di airline dll)
Dari segi nominal penggatian (14.888.325,asumsi pengembalian dari pihak Insurance corporate &gt;=90 = 13.399.411 ), terjadi deviasi sebesar (1.488.824) = selama 6 bln.
</t>
  </si>
  <si>
    <t xml:space="preserve"> Target Waktu akan berkurang &gt;= 40 % dari waktu normal, dan target biaya akan bertambah dalam hal dimensi dan berat aktual paket &gt;= 15 % (pxlxt)/6000
Akan tetapi tingkat kerusakan barang akan berkurang &gt;=90 %,berdampak pada reduce biaya claim &gt;=90 %.
90 % dari deviasi tingkat pengembalian claim dari pihak insurance = 1.339.941
Costumer satisfaction juga akan bertambah &gt;= 80% karena safety paket dan keamanan paket.</t>
  </si>
  <si>
    <t>1.Packaging paket dari Merchant yg belum standard.
2.Dari WH : belum semua paket kategori DG dan Desctructive goods diperhatikan secara maksimal dari sudut pandang standard packaging.
3.Material ; mungkin penggunaan material harus se efisien dan se efektif mungkin.</t>
  </si>
  <si>
    <t xml:space="preserve"> 1.Advice untuk melakukan perbaikan standarisasi packaging untuk high value dan Destructive Goods.
2.Re calculate untuk biaya standard packaging se efisien mungkin, tetapi memenuhi kualifikasi standard minimun packaging.
3.Informasi kepada Merchant agar lebih memperhatikan standard packaging sama seperti standard BLIBLI.(khusus untuk paket High value).Jakarta-Medan,di Bandara cukup beresiko untuk paket yg tidak di packaging secara baik.
4.Sosialisasi kepada Internal team WH dan BES untuk memperhatikan standard packaging.</t>
  </si>
  <si>
    <t>1.Data jumlah paket DG ke Medan &gt;- 45 % dari total shipment/bln.
2.Data spesifik waktu normal packaging untuk sampel shipment ke medan / bln = 57 menit/hari = 106.020 second /bln.
3.Tingginya tingkat kerusakan /destructive karena paket berada pada pihak ke 3 atau airplane/partner logistik.</t>
  </si>
  <si>
    <t>Benefit yang di peroleh :
1.Penghematan dari segi waktu perhari = 2.520 sec ( 42 menit )
2.Penghematan per bulan (waktu ) = 78.120 sec ( 1302 menit )
3.Penghematan biaya material packaging recycle Rp.1.000.000 / bln
4.Penghematan biaya claim asuransi per bulan = Rp.1.064.000 / bln
5.Kepuasan pelanggang meningkat dan berbanding lurus dengan peningkatan orderan dan
kepercayaan serta loyalitas costumer.</t>
  </si>
  <si>
    <t>Fleet Management Surabaya</t>
  </si>
  <si>
    <t>Maman Hanafie
Dony Setyawan
Joko Susilo</t>
  </si>
  <si>
    <t>Penghematan Biaya KALOG untuk pengiriman kembali material bekas Surabaya-Jakarta</t>
  </si>
  <si>
    <t>1. Ada Minimum Charge
2.Pengiriman paket tidak memenuhi Quota Minimum Charge
3.In-efisiensi Biaya operasional</t>
  </si>
  <si>
    <t>1. Minimum Charge pengiriman Paket via Kalog adalah Rp.50.000 (setara dengan 18 Kg ) 2. Tarif pengiriman Rp.2.800/kg 3. Paket yang dikirmkan ke Jakarta kadang kadang kurang dari 18 Kg, sehingga pembayaran tetap sesuai Minimum Charge yaitu Rp.50.000 4. Disiapkan Karung Plastik Biru Blibli yang sdh dikemas dalam beberapa box untuk menambah berat kirim minimal, memaksimalkan Quota Minimum Charge.</t>
  </si>
  <si>
    <t>1. Berat pengiriman memenuhi quota Minimum Charge 2. Biaya lebih efisien karena berat pengiriman memenuhi quota Minimum Charge 3.Karung Plastik Biru Blibli dapat dikirim ke Jakarta tanpa biaya tambahan/biaya tersendiri 3.Kegiatan Operasional tetap dapat dilakukan secara normal</t>
  </si>
  <si>
    <t>1.Tarif pengiriman Rp.2.800/kg
Minimum Charge Rp.50.000
Corporate Rates ≥16 Kg = (Rp.50.000 + ((Kg-10) X Rp.2.800)) X discount 25%
Contoh :
1.1 ≤ a ≤ 16 Kg
Charge = Rp.50.000.-
2.15 Kg
(15 X Rp.2.800) = Rp.48.000
Charge = Rp.50.000.-
3.16 Kg
(16 X Rp.2.800) = Rp.50.100
Charge = Rp.50.100.-
2.Berat pengiriman minimal =16 Kg untuk mendapatkan efisiensi Minimum Charge</t>
  </si>
  <si>
    <t>Mengemas Karung Plastik Biru Blibli dalam beberapa box untuk persiapan menambah berat kirim minimal 2. Jika pengiriman paket hasil Pick Up Merchant Partner ke Jakarta &lt; 16 Kg, ditambah Karung Plastik Biru Blibli agar dapat memenuhi quota Minimum Charge</t>
  </si>
  <si>
    <t>1.Biaya lebih efisien karena berat pengiriman melebihi Minimum Charge 2.Efisiensi biaya Operasional</t>
  </si>
  <si>
    <t>Reconcile</t>
  </si>
  <si>
    <t xml:space="preserve">Verencia Permatasari
Ulfa Melissa Handoko Putri
Sherly Setiawan
Angela Destha Cherie
</t>
  </si>
  <si>
    <t xml:space="preserve"> Efficiency Tokio Marine's Settlement</t>
  </si>
  <si>
    <t>Proses Manual untuk Pengecekan Origin dan Destinasi Yang Sama.</t>
  </si>
  <si>
    <t>1. Durasi Pengecekan Origin dan Destination membutuhkan waktu 2453 s (Ceper, Cawang, Tubun, Cakung dan dilakukan oleh 3 orang)
2. Durasi Melepas Filter Data tarikan membutuhkan waktu 48 s (Ceper, Cawang, Tubun, Cakung dan dilakukan oleh 3 orang)</t>
  </si>
  <si>
    <t>Mengurangi Proses Manual Pengecekan Origin dan Destinasi yang sama sebesar 50%</t>
  </si>
  <si>
    <t>Membutuhkan waktu yang lama untuk melakukan proses pengecekan Origin dan Destinasi Pengiriman
Memfilter data secara manual 
Memberikan remarks untuk data Origin dan Destinasi yang sama</t>
  </si>
  <si>
    <t>Menyederhanakan proses  dengan menggunakan macro.</t>
  </si>
  <si>
    <t>1. Proses Pengecekan Origin dan Destinasi tidak perlu lagi dilakukan.
2. Proses Melepas Filter Data tidak perlu lagi dilakukan.
3. Proses Memberikan Remaks untuk Origin dan Destinasi Pengirim tidak perlu lagi dilakukan.</t>
  </si>
  <si>
    <t>1. Penghematan sebesar 96.78%:
2. 7478.22 s (2jam 4menit 38 detik) per bulan
3. Penghematan per tahun sebesar 89738.64s (24 jam 55 menit 38detik)</t>
  </si>
  <si>
    <t>WH Ceper 1</t>
  </si>
  <si>
    <t>Vilia Sylvia, Raimi Noor, Rommy Putra Gazali</t>
  </si>
  <si>
    <t>Efisiensi pembuatan list cycle count untuk moving product</t>
  </si>
  <si>
    <t>Lamanya waktu yang dibutuhkan untuk membuat list cycle count untuk moving product</t>
  </si>
  <si>
    <t xml:space="preserve">Waktu yang dibutuhkan untuk membuat list cycle count untuk moving product adalah 37 menit </t>
  </si>
  <si>
    <t>Mengurangi waktu proses pembuatan list cycle count untuk moving product sebanyak 50 %</t>
  </si>
  <si>
    <t>Lamanya waktu yang dibutuhkan untuk menarik Jasper STO-12 karena data yang berat, serta pengolahan data yang cukup rumit</t>
  </si>
  <si>
    <t>Request jasper untuk mengetahui moving product</t>
  </si>
  <si>
    <t>Waktu yang dibutuhkan untuk membuat list cycle count untuk moving product setelah improvement adalah 14 menit </t>
  </si>
  <si>
    <t>Asumsi 1 bulan = 22 hari kerja. Waktu yang dapat disaving tiap bulan adalah 506 menit / 8 jam 26 menit </t>
  </si>
  <si>
    <t>WH Ceper 2</t>
  </si>
  <si>
    <t>Jeffry Setyawan Pribadi; Ronny Ahmad Mutter; Piping Christiawan; Satrio Wibiseno;</t>
  </si>
  <si>
    <t>Efisiensi waktu Putaway &amp; Fulfill order status 3 sejak dari kedatangan supplier di Inbound</t>
  </si>
  <si>
    <t>Tidak efisiennya proses fulfill order jika barang status 3 yang baru datang dari supplier harus putaway ke dalam gudang
Banyaknya label yang harus diprint untuk barang status 3 ini</t>
  </si>
  <si>
    <t>Total waktu yang dibutuhkan mencapai 5.9 jam untuk proses fulfill barang status 3 yang baru datang dari suplier (tgl 1-10 Ags 2017)
Total label yang diperlukan mencapai 2041 pcs untuk fulfill barang status 3 yang baru datang dari supplier (tgl 1-10 Ags 2017)</t>
  </si>
  <si>
    <t>Mengurangi total waktu yang dibutuhkan dan label yang diperlukan sebesar 50%</t>
  </si>
  <si>
    <t>Tanpa memperhatikan status 3, semua barang dari supplier masuk ke storage gudang
Barang untuk fulfill order tidak perlu lagi ditempel label SKU</t>
  </si>
  <si>
    <t>Membandingkan barang yang datang dari supplier dengan list status 3, jika ada barang dengan status 3 maka tidak perlu masuk ke storage gudang tetapi cukup sampai di area transit putaway dan tidak perlu ditempel label SKU</t>
  </si>
  <si>
    <t>Total waktu yang dibutuhkan menjadi hanya 2,8 jam untuk proses fulfill barang status 3 yang baru datang dari suplier (tgl 1-10 Ags 2017)
Print label hanya sebanyak 33 pcs untuk proses fulfill barang status 3 yang baru datang dari suplier (tgl 1-10 Ags 2017)</t>
  </si>
  <si>
    <t>Save time per 10 hari 3,15 jam
Save label per 10 hari 2008 pcs label
Save time per 30 hari 9,45 jam
Save label per 30 hari 6024 pcs label
Cost jam kerja 30.000 Rp / jam
Cost label 26 Rp / pcs label
Total Save Cost 440.021 Rp / bulan
Jika implement all gudang 1.320.064 Rp / bulan</t>
  </si>
  <si>
    <t>WH Ceper 3</t>
  </si>
  <si>
    <t>Adi Surya Indra Kharisma
Bambang Eko Rahardjo
Ferdi Ferdi
Tri S Wibowo
Muhammad Rizki G</t>
  </si>
  <si>
    <t>Efisiensi penggunaan bubble wrap untuk packing minyak kartonan</t>
  </si>
  <si>
    <t>Borosnya penggunaan bubble Wrap saat proses pembungkusan Minyak Kartonan</t>
  </si>
  <si>
    <t>&gt; 1 Gulung Bubble Wrap ukuran 125 cm x 5000 cm  hanya dapat digunakan untuk membungkus 40 karton minyak
&gt; average QT Order minyak kartonan dalam sebulan 10936 karton ( data bulan Mei - juni ) untuk all logistik dibutuhkan 274 gulung bubble wrap</t>
  </si>
  <si>
    <t>efisiensi penggunaan bubble wrap gulung untuk membungkus minyak kartonan 50 %</t>
  </si>
  <si>
    <t>1 karton minyak membutuhkan bubble Wrap ukuran 125 cm x 120 cm ( 2 lapis bubble wrap ) untuk semua logistik</t>
  </si>
  <si>
    <t>&gt; Berdiskusi dengan BES untuk pengiriman minyak kartonan tidak menggunakan bubble wrap
&gt; Berdiskusi dengan tim Logistik selain BES untuk packing minyak kartonan hanya menggunakan 1 lapis bubble wrap</t>
  </si>
  <si>
    <t xml:space="preserve"> &gt; 1 Gulung bubble wrap ukuran 125 cm x 5000 cm dapat digunakan untuk membungkus sebanyak 80 karton minyak
&gt; logistik BES tidak menggunakan Bubble wrap untuk Product minyak kartonan
</t>
  </si>
  <si>
    <t>average QT Order minyak kartonan ( data mei - juni ) :
- 10936 ( all logistik ) :
- 5121 ( BES ) = sudah tidak menggunakan Bubble Wrap
- 5815 (Non BES ) = membutuhkan 73 Bubble Wrap
sebelum Kaizen dalam sebulan Warehouse membutuhkan : 274 Gulung Bubble Wrap
Setelah Kaizen dalam sebulan Warehouse membutuhkan : 73 Gulung Bubble Wrap
Jika di hitung dalam rupiah : ( harga 1 gulung bubble Wrap Rp 122.500,- )
- 274 Gulung Bubble Wrap total harganya Rp 33.493.031
- 73 Gulung Bubble Wrap total harganya Rp 8.904.984
saving warehouse dalam sebulan : 33.493.031 - 8.904.984 = Rp 24.588.046</t>
  </si>
  <si>
    <t>WH Cakung</t>
  </si>
  <si>
    <t>Martinus Andry; Kenny Buntara; Iwan Setiadi; Morly</t>
  </si>
  <si>
    <t>Perubahan metode persiapan material Bubble Wrap untuk order minyak</t>
  </si>
  <si>
    <t>Pemotongan Bubble wrapping untuk packing produk minyak membutuhkan 2 orang setiap pengerjaannya. Hal ini masih dapat di-efisiensikan dari sisi manpower</t>
  </si>
  <si>
    <t> Rata-rata selembar Bubble wrap membutuhkan 9-12 detik waktu pemotongan dengan 2 orang. dalam satu hari 2 orang ini dapat memotong Bubble wrap sampai 20 roll.</t>
  </si>
  <si>
    <t>Dengan metode baru, diharapkan produktivitas pemotongan Bubble wrap meningkat setidaknya 1.5x</t>
  </si>
  <si>
    <t>&gt; pemotongan bubble wrap dilaksanakan di tengah meja packer
&gt; Tangan Picker sulit menjangkau lebar bubble wrap sehingga dibutuhkan dua orang agar lebih mudah dan cepat memotong</t>
  </si>
  <si>
    <t>&gt; Bubble wrap akan disanggah oleh tools (dapat menggunakan tali atau holder seperti pada Cling wrap), seorang picker berada di ujung meja sehingga seluruh lebar bubble wrap dapat terjangkau.
&gt; pisau silet harus lebih sering diganti/dipatahkan agar produktivitas tidak menurun</t>
  </si>
  <si>
    <t>WH Cawang 1</t>
  </si>
  <si>
    <t>Ignacia Ciara Irawan; Ervin Suseno; Kinta</t>
  </si>
  <si>
    <t>Efisiensi Proses Capture Weight</t>
  </si>
  <si>
    <t>Proses Capture Weight masih terpisah antara proses timbang dan input data sehingga manpower dan space yang digunakan menjadi lebih banyak</t>
  </si>
  <si>
    <t>Meja yang dipakai untuk proses timbang berat total ada 4 meja dengan total manpower 4 orang. Lama waktu yang diperlukan untuk perpindahan package sebesar 2 detik per package. Total waktu yang diperlukan untuk perpindahan adalah 32 menit/ hari atau 960 menit / bulan</t>
  </si>
  <si>
    <t>Mengurangi waktu proses perpindahan sebesar 100%</t>
  </si>
  <si>
    <t>&gt; Meja untuk alat timbang dan komputer untuk input berat berbeda
&gt; Diperlukan tambahan orang untuk 2 meja yang berbeda
&gt; Diperlukan proses perpindahan antar 2 meja</t>
  </si>
  <si>
    <t>Menggunakan 1 meja untuk proses timbang dan input berat di Stockholm</t>
  </si>
  <si>
    <t>Aspek yang dapat dihemat:
&gt; Jumlah manpower dapat dihemat 2 orang per hari
&gt; Tidak ada proses perpindahan package</t>
  </si>
  <si>
    <t>Biaya yang dapat dihemat IDR 900k / bulan (1 jam x 30 hari x 30,000/ jam)</t>
  </si>
  <si>
    <t>WH Cawang 2</t>
  </si>
  <si>
    <t>Aditya Prakoso; dannu.permana ; riky desriyanto ; vikri fathullah</t>
  </si>
  <si>
    <t>Penghematan penggunaan kardus blibli khusus pengiriman via BES.</t>
  </si>
  <si>
    <t>Pengiriman SKU dengan quantity order 1 pcs yang sudah memiliki kardus yang cukup kuat dan aman ditambahkan kardus blibli lagi, sehingga dianggap berlebihan.</t>
  </si>
  <si>
    <t>Biaya packaging untuk SKU berupa flashdisk,rice cooker, cooker dan blender pada order yang hanya memiliki 1 order item dan 1 pcs adalah sebesar Rp 3,187,880 /bulan. Data diambil dari rata-rata penjualan selama 3 bulan (Mei, Juni, Juli 2017).</t>
  </si>
  <si>
    <t>Mengurangi biaya penggunaan kardus untuk SKU tertentu sebesar 30%.</t>
  </si>
  <si>
    <t>Seluruh SKU yang dapat menggunakan kardus blibli dikirim menggunakan kardus blibli meskipun belum tentu diperlukan atau dapat menggunakan packaging lain.</t>
  </si>
  <si>
    <t>Flashdisk dapat menggunakan amplop 037 dibandingkan menggunakan box 009 atau 010. Rice cooker, cooker dan blender tidak perlu menggunakan kardus blibli lagi, melainkan hanya menggunakan stretch film (di-wrap).</t>
  </si>
  <si>
    <t>Biaya packaging untuk SKU berupa flashdisk, rice cooker, cooker dan blender pada order yang hanya memiliki 1 order item dan 1 pcs adalah sebesar Rp 557,426. Data diambil dari rata-rata penjualan selama 3 bulan (Mei, Juni, Juli 2017).</t>
  </si>
  <si>
    <t>Penghematan biaya packaging sebesar Rp 2,630,454/bulan.</t>
  </si>
  <si>
    <t>Umri ; Dhanu Adrian Saputra ; Chandra Irwansyah ; Okto Billi</t>
  </si>
  <si>
    <t>Efesiensi proses weight capture dengan menggunakan Format Tabel Skala yang baku pada produk Filma Minyak Goreng Pouch [2000 ml x 6 pcs]</t>
  </si>
  <si>
    <t>1. Terjadi nya proses penimbangan barang Original Packing secara berkala dengan berat yang sama pada tiap orderan, 2. Memakan waktu yang lama pada proses packing</t>
  </si>
  <si>
    <t>Waktu yang di butuhkan dalam proses QC claim sampai pada weight capture memakan waktu rata-rata hingga 214 s per orderan pada produk Filma Minyak Goreng Pouch [2000 ml x 6 pcs]</t>
  </si>
  <si>
    <t>Mengefisiensikan waktu pada saat proses Weight Capture dari 214 s menjadi 180 s pada original packing produk Filma Minyak Goreng Pouch [2000 ml x 6 pcs]</t>
  </si>
  <si>
    <t>&gt; Tidak ada table data ukuran dan berat untuk product Filma Minyak Goreng Pouch [2000 ml x 6 pcs]
&gt; Pada product Filma Minyak Goreng Pouch [2000 ml x 6 pcs] selalu dilakukan penimbangan</t>
  </si>
  <si>
    <t>Dengan adanya tabel data ukuran dan berat, proses penimbangan dapat di lakukan 1 kali untuk product Filma Minyak Goreng Pouch [2000 ml x 6 pcs dengan Original Packing</t>
  </si>
  <si>
    <t>Waktu yang di hemat pada saat proses packing oleh QC adalah 2 menit, setelah adanya tabel data ukuran dan berat.</t>
  </si>
  <si>
    <t>Quality Control telah melakukan penghematan waktu dari Claim Order sampai Weight Capture pada orderan Filma Minyak Goreng Ctn [2000 mL/ 6 pcs] selama 2 menit dengan rata-rata waktu 75 detik per-orderan.</t>
  </si>
  <si>
    <t>Ferdhianto Ibnugroho   Romayudin Udi Suardi  Seteven Chandra </t>
  </si>
  <si>
    <t>Penghematan waktu proses pengecekan jumlah order material packaging dipesan merchant partner dengan menggunakan format dan pivot table</t>
  </si>
  <si>
    <t xml:space="preserve">&gt; Waktu download file report lama (STO011-Sales Order Status dan MTA030 - MTA Package ID
&gt; Masih membandingkan  2 file excel (QC Material Packaging dan MTA030 - MTA Package ID) dalam proses </t>
  </si>
  <si>
    <t>Waktu proses pengecekan jumlah order material packaging yang dipesan per batch adalah 17 menit 36 detik</t>
  </si>
  <si>
    <t>Waktu proses pengecekan jumlah order material packaging yang dipesan per batch adalah 8 menit</t>
  </si>
  <si>
    <t>1. Data yang ada dalam STO011-Sales Order Status memuat semua status order
a. Ada status order yang tidak dibutuhkan dalam pengecekan 
2. Data yang di-download pada MTA030-MTA Package ID terlalu besar 
 a. Berisi data 1 bulan sebelumnya 
3. Membandingkan jumlah order yang masuk ke merchant dengan order yang dipesan oleh merchant dengan 2 file excel 
a. Belum disederhanakan 
b. Belum digabung antara 2 file excel tersebut</t>
  </si>
  <si>
    <t>&gt; Menggunakan pivot tabel dalam 1 file excel untuk membandingkan jumlah order yang masuk ke merchant dengan order yang dipesanoleh merchant
&gt; Mengganti report STO011-Sales Order Status ke STO054 - Pending Order karena yang hanya memuat status order yang dibutuhkan 
&gt; Mengubah range data MTA030-MTA Package ID yang di-download dari per bulan menjadi per hari karena: 
1. sudah menggunakan format dan pivot tabel
2. ukuran file juga lebih kecil
3. kecepatan download lebih cepat</t>
  </si>
  <si>
    <t>Waktu proses pengecekan jumlah order material packaging yang dipesan per batch adalah 8 menit 42 detik</t>
  </si>
  <si>
    <t>Penghematan per bulan sebesar 98658 detik = 27,41 jam/bulan</t>
  </si>
  <si>
    <t>OBD</t>
  </si>
  <si>
    <t>Kenny Buntara</t>
  </si>
  <si>
    <t>Automization of Report Generation for Pending Orders in Cakung</t>
  </si>
  <si>
    <t xml:space="preserve">An Excel-based report in Cakung is created twice daily to closely monitor the pending orders for that current time window. The time taken to generate the report is too long even though it always needs the same steps to generate that report.
</t>
  </si>
  <si>
    <t>1.Reduce time taken to create the report by 50%
2.Reduce the amount of storage space for each file by 70%</t>
  </si>
  <si>
    <t>Waiting: Time wasted on waiting for processes to finish
Over Processing: Repetitive processes
Inventory: Large size for a simple file</t>
  </si>
  <si>
    <t>1.Created a macro to simplify processes:
2.Decrease the number of steps due to repetitive processing
3.Reduced the amount of overall time to generate the report</t>
  </si>
  <si>
    <t>Umi Zahrah ; Emilia Rizky ; Jiswel Eral ; Eugene Gabriel</t>
  </si>
  <si>
    <t>Penambahan #solvedddmmyy sebagai parameter pengerjaan case di XO Caller</t>
  </si>
  <si>
    <t>'Belum adanya parameter dalam pengerjaan CASEMGMT di team XO Caller sehingga jika XO Callernya lama, maka semakin lama juga case close nya, hal tersebut bisa berdampak makin banyak SLA Failed. Perlu diketahui juga bahwa salah satu KPI XO adalah SLA pada CASEMGMT </t>
  </si>
  <si>
    <t>Untuk 1 casemgmt setelah XO memberikan label outbound, memerlukan masa tunggu 106919 atau 37 Jam, 8 menit, 8 detik (sample 2 casemgmt) untuk bisa di fu ke cust oleh team XO Caller. Belum ada parameter untuk XO Caller sehingga case selesai di fu ke cust oleh team XO Caller adalah H+1.</t>
  </si>
  <si>
    <t>Dengan XO Caller menambahkan #solvedddmmyy maka bisa di tarik secara data tanggal XO menginstruksikan hubungi customer. Dan dapat dibuat parameter untuk XO Caller bahwa pengerjaan casemgmt dilakukan one day closed. Penghematan 85%, yaitu 15154 atau 4 Jam, 12 menit, 34 detik (2 sample casemgmt)</t>
  </si>
  <si>
    <t>Belum ada parameter pengerjaan CASEMGMT dan XO Caller masih di pisahkan menjadi 4 team (Payment, Other, Shipping dan Fulfillment)</t>
  </si>
  <si>
    <t>(1) Penambahan Hastag #solvedddmmyy untuk setiap case yang akan di hubungi oleh XO Caller. (2) #solvedddmmyy dikerjakan oleh team XO Caller secara bersamaan dengan target one day closed. (3) Jika #solvedddmmyy belum selesai dikerjakan setelah H+1, maka XO Caller terkena finding dan sanksi (nilai performance team akan turun)</t>
  </si>
  <si>
    <t>Dengan menambahkan #solvedddmmyy untuk setiap case yang ingin di hubungi oleh team XO Caller, maka dapat dibuat parameter baru dan saving 25 Jam per Casemgmt</t>
  </si>
  <si>
    <t>Eunike Virgie Mansur Nawawi Alexandrea Rency Reges</t>
  </si>
  <si>
    <t>Mempercepat Proses Pencarian Modul Training BLITS College</t>
  </si>
  <si>
    <t>(1) Membutuhkan waktu yang cukup lama dalam mencari sebuah modul, (2) Membutuhkan waktu yang cukup lama dalam mencari versi terbaru dari suatu modul</t>
  </si>
  <si>
    <t>Waktu rata-rata yang diperlukan untuk mencari satu modul adalah 54 detik.</t>
  </si>
  <si>
    <t>(1) Mengurangi waktu pencarian modul hingga 50%, (2) Modul training tersusun dengan lebih rapih</t>
  </si>
  <si>
    <t>(1) Tidak ada folder khusus untuk menyimpan modul, (2) Modul-modul untuk satu jenis training dapat tersedia di beberapa folder berbeda, (3) terdapat berbagai versi untuk setiap modul, (4)perubahan pada modul dapat dilakukan di folder manapun</t>
  </si>
  <si>
    <t>(1) Mengalokasikan folder tertentu untuk penyimpanan seluruh modul training, (2) Memberikan kode yang terstandarisasi untuk setiap modul dalam suatu jenis training (contoh: training anak baru CS= NHT/ Newly Hired Training), (3) Memberikan kode yang terstandarisasi apabila ada revisi (contoh: revisi pertama = REV1)</t>
  </si>
  <si>
    <t>Waktu rata-rata yang diperlukan untuk mencari satu modul adalah 11 detik.</t>
  </si>
  <si>
    <t>Dengan membuat folder tertentu dan standarisasi kode yang rapih dapat menghemat watu sebanyak 5.7 menit per hari atau 125.4 menit = 2 jam (asumsi 1 minggu = 22 hari kerja)</t>
  </si>
  <si>
    <t>Sonia Pratama ; Rifa Ratnaningtyas ; Titis Ekky Krisnanda</t>
  </si>
  <si>
    <t>Mempercepat proses rekap database update installment</t>
  </si>
  <si>
    <t>Proses merekap database update installment membutuhkan waktu yang lama</t>
  </si>
  <si>
    <t>1. Mengcopy paste attachment pada email cicilan bank dari email speedorder memerlukan waktu 2,235 s
2. Memfilter &amp; meng - copy data cicilan bank per hari ke rekap database update memerlukan waktu sebesar 39 s
3. Merapikan format rekap database update memerlukan waktu sebesar 45 s</t>
  </si>
  <si>
    <t>Mempercepat proses rekap database update installment sebanyak 50%</t>
  </si>
  <si>
    <t>&gt; Proses mengcopy paste attachment email cicilan bank membutuhkan waktu yang lama
&gt; Banyaknya email cicilan yang dikirimkan speedorder ke bank setiap harinya
&gt; Banyaknya transaksi di blibli yang menggunakan cicilan kartu kredit
&gt; Blibli bekerjasama dengan 18 bank</t>
  </si>
  <si>
    <t>1. Mengganti proses copy paste attachment dengan auto download attachment 
2. Proses menggabungkan attachment menggunakan Visual Basic for Application</t>
  </si>
  <si>
    <t>1. Mengcopy paste attachment pada email cicilan bank dari email speedorder memerlukan waktu 111 s
2. Memfilter &amp; meng - copy data cicilan bank per hari ke rekap database update memerlukan waktu sebesar 39 s
3. Merapikan format rekap database update memerlukan waktu sebesar 45 s</t>
  </si>
  <si>
    <t>Penghematan sebesar 91.59%:
2,124 s (35 menit 24 detik) per hari
63,720 s (17 jam 42 menit) per bulan --&gt; menghemat senilai dengan Rp 531,000
Penghematan per tahun sebesar 764,640 s (212 jam 24 menit) --&gt; senilai Rp 6,372,000</t>
  </si>
  <si>
    <t>Hardian Ruben Tobing Steven Liauw Dina Anggraini Amanda Amanda</t>
  </si>
  <si>
    <t>Efisiensi pengerjaan pemberian solusi barang datang dengan proses bulk</t>
  </si>
  <si>
    <t>Proses pengerjaan pemberian solusi masih dengan memantau hasil QC terus menerus sehingga tidak ada waktu untuk mengerjakan pekerjaan lain</t>
  </si>
  <si>
    <t>Proses pemberian solusi dikerjakan oleh 2 orang; Waktu yang dihabiskan adalah 8 jam kerja untuk pemberian solusi</t>
  </si>
  <si>
    <t>Proses pemberian solusi dikerjakan oleh 1 orang saja; Proses pengerjaan menjadi 4 jam kerja</t>
  </si>
  <si>
    <t>&gt; Belum adanya sistem yang dapat support pengerjaan pemberian solusi secara bersamaan
&gt; Tidak ada jadwal khusus untuk tim BD mengecek kasus-kasus yang barangnya sudah selesai di QC
&gt; Proses pemberian solusi memakan cukup banyak waktu jika dikerjakan per satu kasus</t>
  </si>
  <si>
    <t>Pengerjaan pemberian solusi akan dikerjakan sesuai dengan jadwal yang ditentukan dan pemberian solusi akan dilakukan dengan bulk (bersamaan)</t>
  </si>
  <si>
    <t>&gt; Proses pemberian solusi dikerjakan oleh 1 orang saja
&gt; Pengerjaan pemberian solusi menjadi 5 jam kerja</t>
  </si>
  <si>
    <t>Penghematan sebesar 11 jam kerja per hari atau 220 jam per bulan dapat dilakukan dengan proses pengerjaan solusi yang baru</t>
  </si>
  <si>
    <t>Saras Kartika Dewi
Joudy Arifin
Anggi Nugroho
Lottar Matheus</t>
  </si>
  <si>
    <t>Efisiensi proses pencarian barang untuk kategori aksesoris handphone pada storage AS</t>
  </si>
  <si>
    <t>Proses pencarian maupun opname untuk kategori aksesoris handphone masih memakan waktu yang cukup lama karena semua produk terdapat dalam satu bin</t>
  </si>
  <si>
    <t>Proses pencarian untuk 5 produk dapat memakan waktu sampai 30 menit</t>
  </si>
  <si>
    <t>Proses pencarian produk dapat berkurang menjadi 15 menit</t>
  </si>
  <si>
    <t xml:space="preserve">Saat ini jenis produk untuk kategori aksesoris cukup banyak
Belum adanya pemisahan bin untuk kategori tersebut
</t>
  </si>
  <si>
    <t>Adanya pemisahan bin untuk kategori aksesoris hp berdasarkan jenis produk yang banyak saat ini sehingga pencarian lebih mudah dan cepat</t>
  </si>
  <si>
    <t>Proses pencarian untuk 5 produk menjadi 15 menit</t>
  </si>
  <si>
    <t>Nova Permatasari
Yordy Yordy
Firsty Kartika</t>
  </si>
  <si>
    <t>Mempercepat Pembuatan Report Performance 3PL Dropship</t>
  </si>
  <si>
    <t>Pembuatan Report Performance 3PL Dropship membutuhkan waktu yang lama</t>
  </si>
  <si>
    <t>Proses pembuatan report performance 3PL Dropship membutuhkan waktu kurang lebih sebesar 12 jam dimana waktu terbanyak digunakan untuk melakukan vlookup data SLA 3PL (terdapat ratusan origin dropship)</t>
  </si>
  <si>
    <t>Mempercepat proses pembuatan report performance 3PL Dropship sebesar 50%</t>
  </si>
  <si>
    <t>Maryo Benhard Tuas
Eka Rizky Kurniawan
Rahadiansyah
Budi Winoto</t>
  </si>
  <si>
    <t>Efisiensi Bbm Kurir dengan meminimalisir Delivery Unsuccsesfull dan optimalisasi kurir untuk mengantisipasi kirimanan fluktuatif.</t>
  </si>
  <si>
    <t>Perlunya melakukan efisiensi BBM dan melakukan pekerjaan dengan efektif dan seoptimal mungkin, dalam hal biaya Bbm dan pengaturan sdm untuk mengantisipasi kiriman fluktuatif</t>
  </si>
  <si>
    <t>Data pendukung :
1.Jumlah awb /bln
2.jumlah DUS /bln
3.jumlah average bbm perbln.
4.jumlah sdm
5.jumlah armada/fasilitas suport.
6.Total coverage area.</t>
  </si>
  <si>
    <t>Optimalisasi sdm dan penghematan Bbm kurir dan pengalokasian sdm untuk beradaptasi dengan kiriman yg fluktuatifdan dengan constraint yang ada.</t>
  </si>
  <si>
    <t>1.Tidak melakukan confirm secara keseluruhan untuk cst spesifik, baik itu dari segi frekuensi pengiriman dari cst regular maupun dari segi quantity paket yang di delivery
2.Belum semua nya  personel yang dapat mengetahui semua coverage area hantaran, secara keseluruhan
3.Mapping dan konsolidasi dari pic coordinator ke kurir/driver.</t>
  </si>
  <si>
    <t>1.Melakukan mapping confirmation kepada cst untuk sebagian besar jika memungkinkan
2.Semua personel /sdm harus mampu menguasai coverage area BES Medan</t>
  </si>
  <si>
    <t>Jumlah DUS/bln rata-rata = 31.2 = 2.7 % dari total shipment/bln
Jumlah shipment/bln=931.2
Jumlah biaya rata-rata,ops(Bbm+parkir+tol) Mobil dan kurir = 1.935.000
Jumlah sdm saat ini =8
jumlah fasilitas= 1 unit mobil &amp;8 spdmotor milik kurir.</t>
  </si>
  <si>
    <t>Jumlah saving cost untuk case DUS,2.7 %
1.Saving cost Rp.58.020/bln
2.Estimated waktu antar kedatangan paket dari Hub Medan ke Cst direduced, karena ada skaloa prioritas
3.Cst satisfaction</t>
  </si>
  <si>
    <t>EFISIENSI WAKTU &amp; MAN POWER DALAM PENGUKURAN DIMENSI BERAT &amp; VOLUMETRIK PAKET BENTUK STANDAR BERATURAN HASIL PICKUP MERCHANT PARTNER</t>
  </si>
  <si>
    <t>&gt; Paket yang diterima dari hasil Pickup Merchant Partner harus ditimbang dan diukur volumetrik sebagai dasar input proses Line Haul 
&gt; Setelah paket ditimbang untuk mengetahui Berat, selanjutnya diukur Volumetrik (Panjang,Lebar &amp; Tinggi), sehingga terjadi 2 kali pengukuran
&gt; Pekerjaan dengan 2 kali pengukuran dianggap kurang efisien dalam hal waktu &amp; tenaga.
&gt; Pengukuran membutuhkan waktu lebih lama dan personel lebih banyak (minimal 2 orang)</t>
  </si>
  <si>
    <t>&gt; Pengukuruan dimensi dilakukan 2 sesi, agar barang tidak tercampur antar Merchant Partner juga Logistik Partner
&gt; Sesi penimbangan berat oleh satu orang, selanjutnya sesi pengukuran volumetrik oleh satu orang yang lain
&gt; Penimbangan berat per paket memerlukan waktu rata-2 = 7.5 detik
&gt; Pengukuran volumetrik per paket memerlukan waktu rata-2 = 18.1 detik 
&gt; Total waktu diperlukan untuk pengukuran dimensi berat dan volumetrik per paket rata-2 = 25.6 detik</t>
  </si>
  <si>
    <t>&gt; Waktu untuk pengukuran dimensi berat dan volumetrik dapat lebih dipercepat
&gt; Jumlah Man power untuk pengukuran dimensi berat dan volumetrik dapat dikurangi
&gt; Proses pengukuran dimensi berat dan volumetrik dapat lebih efisien waktu dan tenaga, sehingga proses Line  Haul secara keseluruhan dapat lebh dipercepat.
&gt; Kegiatan Operasional tetap dapat dilakukan secara normal</t>
  </si>
  <si>
    <t xml:space="preserve">&gt; Proses Penimbangan berat  dan Pengukuran volumetrik membutuhkan 2 (dua) tahap 
&gt; Proses Penimbangan berat  dan Pengukuran volumetrik membutuhkan tenaga minimal 2 (dua) orang 
&gt; Penimbangan berat per paket memerlukan waktu rata-rata 7.5 detik 
&gt;Pengukuran volumetrik per paket memerlukan waktu rata-rata 23.5 detik 
&gt; Total waktu diperlukan untuk pengukuran dimensi berat dan volumetrik per paket rata-rata 31 detik
</t>
  </si>
  <si>
    <t>&gt; Memasang alat ukur volumetrik (sisi panjang, lebar &amp; tinggi ) pada alat timbang berat 
&gt; pengukuran dimensi berat dan volumetrik paket menjadi hanya satu sesi 
&gt; pengukuran dimensi berat dan volumetrik paket menjadi hanya dilakukan satu orang 
&gt; waktu pengukuran dimensi berat dan volumetrik paket menjadi lebih cepat</t>
  </si>
  <si>
    <t>&gt; Rata-rata waktu pengukuran dimensi berat dan volumetrik per paket menjadi 21.7 detik 
&gt; Pengukuran dimensi berat dan volumetrik paket dilakukan hanya oleh 1 (satu) orang dan 1 (satu) tahap saja 3.Efisiensi pengukuran dimensi berat dan volumetrik paket sebesar 30%</t>
  </si>
  <si>
    <t>&gt; Waktu pengukuran dimensi berat dan volumetrik paket menjadi lebih cepat
&gt; Pengurangan jumlah personel untuk pengukuran menjadi hanya 1 orang 
&gt; Kegiatan Operasional tetap dapat dilakukan secara normal 3.Penimbangan berat  dan Pengukuran volumetrik hanya membutuhkan 1 (satu) tahap</t>
  </si>
  <si>
    <t>Ulfa Melissa Handoko Putri
Sherly Setiawan
Verencia Permatasari
Angela Destha Cherie</t>
  </si>
  <si>
    <t>Efficiency of Checking Reimbursement's Insurance Cost</t>
  </si>
  <si>
    <t>Mengecek price/kg, service, dan biaya asuransi untuk AWB yang memiliki selisih data antara API dengan sistem Blibli dilakukan secara manual</t>
  </si>
  <si>
    <t>&gt; Durasi Pengecekan Price/Kg membutuhkan waktu 19584 s
&gt; Durasi Pengecekan Service yang digunakan membutuhkan waktu 1440 s.
&gt; Durasi Pengecekan Biaya Asuransi membutuhkan waktu 7776 s</t>
  </si>
  <si>
    <t>Mengurangi Proses Manual Pengecekan sebesar 40%</t>
  </si>
  <si>
    <t>Membutuhkan waktu yang lama untuk melakukan proses pengecekan biaya asuransi, price/kg dan service yang direimburse.
&gt; Menghitung biaya asuransi secara manual
&gt; Menghitung  price/kg secara manual
&gt; Mengecek service yang digunakan dalam pengiriman secara manual ke website JNE</t>
  </si>
  <si>
    <t>Request data ke pihak JNE terkait price/kg, service, dan biaya asuransi yang digunakan MP.</t>
  </si>
  <si>
    <t>&gt; Proses mengecek price/kg secara manual tidak perlu lagi dilakukan
&gt; Proses mengecek service secara manual tidak perlu lagi dilakukan
&gt; Proses mengecek biaya asuransi secara manual tidak perlu lagi dilakukan</t>
  </si>
  <si>
    <t>Penghematan sebesar 94.56%</t>
  </si>
  <si>
    <t>Vilia Sylvia; Ignacia Ciara Irawan; Rommy Putra Gazali; Raimi Noor</t>
  </si>
  <si>
    <t>Efisiensi proses picking untuk barang-barang promo</t>
  </si>
  <si>
    <t>Lokasi yang tersebar untuk barang-barang promo</t>
  </si>
  <si>
    <t>Total waktu yang dibutuhkan untuk proses picking sampai picker meletakkan container di conveyor adalah 28.380 detik / 7 jam 53 menit</t>
  </si>
  <si>
    <t>Mempercepat proses picking untuk barang promo sebanyak 30%</t>
  </si>
  <si>
    <t>Storage yang tersebar untuk barang-barang promo</t>
  </si>
  <si>
    <t>Centralize barang-barang promo di 1 area yang sama</t>
  </si>
  <si>
    <t>Total waktu yang dibutuhkan untuk proses picking sampai picker meletakkan container di conveyor adalah 15.487 detik / 4 jam 18 menit 7 detik</t>
  </si>
  <si>
    <t>Total saving 1 minggu = 12.893 detik.
Asumsi 1 bulan = 4 minggu.
Total saving 1 bulan = 51.572 detik setara dengan Rp 430.000
Total saving akan meningkat apabila total order promo regular meningkat</t>
  </si>
  <si>
    <t>Jason Gabriel Jonathan
Piping Christiawan
Ronny Ahmad Mutter
@win purwanto</t>
  </si>
  <si>
    <t>Efisiensi proses checking - labelling Inbound</t>
  </si>
  <si>
    <t>Banyaknya langkah kerja dan jarak tempuh yang harus dilakukan sejak proses checking hingga proses labelling</t>
  </si>
  <si>
    <t>untuk menyelesaikan proses checking - labelling hingga siap untuk putaway membutuhkan : 1.Waktu 51,43 menit,  2.langkah kerja 29 langkah dan 3. jarak tempuh hingga 180 langkah</t>
  </si>
  <si>
    <t>Mengurangi rata-rata waktu yang dibutuhkan untuk proses checking - labelling hingga siap untuk Putaway dari 51.43 per ASN  menjadi 26 menit per ASN (reduce 50%)</t>
  </si>
  <si>
    <t>Lokasi area checking dan labelling yang berjauhan menjadi faktor utama lamanya proses checking - labelling hingga siap utuk putaway</t>
  </si>
  <si>
    <t>Memindahkan proses labelling dan alat kerja dari lokasi saat ini (lantai 3) ke area checking inbound di lantai 1</t>
  </si>
  <si>
    <t>1. Reduce waktu kerja menjadi 40,1 Menit (Reduce 22%) 2. Reduce langkah kerja menjadi 23 langkah kerja 3. Reduce jarak tempuh menjadi 85 langkah</t>
  </si>
  <si>
    <t>Total saving time 0.19Jam/ASN atau 46.79 Jam/Bulan
Total saving Cost Rp 1.403.750/Bulan
Dengan Average 250 ASN/Bulan</t>
  </si>
  <si>
    <t>Indra Akbar
Hendra
Muhammad Sofri
Al Hadied Lubis</t>
  </si>
  <si>
    <t>Efisiensi Waktu Picker Pada Proses Packing Produk Filma Minyak Goreng Ctn (2000Ml x 6 pcs)</t>
  </si>
  <si>
    <t>Jarak antara storage dengan QC Berjarak sejauh 26m ; Produk  Filma Minyak Goreng CTN (2000ml x 6pcs) memiliki berat 11,53kg / CTN ; Kapasitas daya angkut troley Picker Terbatas</t>
  </si>
  <si>
    <t>Data Before Improvement Kaizen VIII Warehouse Medan.xlsx</t>
  </si>
  <si>
    <t>Mengefisiensikan Waktu Picker Pada Proses Packing Produk Filma Minyak Goreng Ctn (2000Ml x 6 pcs)</t>
  </si>
  <si>
    <t>Jarak antara storage dengan QC sejauh 26m mengakibatkan waktu yang dibutuhkan untuk mempacking barang menjadi lama ; Produk filma memiliki bobot sebesar 11,53kg/CTN yang mengakibatkan kesulitan dalam membawa barang ; Meskipun memiliki fasilitas troley, tetapi troley tersebut memiliki kapasitas daya angkut terbatas sehingga apabila mendapat order dalam jumlah yang besar maka picker akan mengalami kesulitan dalam mempickup barang</t>
  </si>
  <si>
    <t>Memindahkan storage sehingga dekat dengan QC menjadi sejauh 3m ; Memaksimalkan menu "STO031 - Process Order Timestamp" yang ada di jasper untuk memantau orderan agar di standby kan produk sebelum orderan masuk ke sistem stockholm ; Memanfaatkan fasilitas handpallet apabila terdapat orderan dengan jumlah besar</t>
  </si>
  <si>
    <t>Data After Improvement Kaizen VIII Warehouse Medan.xlsx</t>
  </si>
  <si>
    <t>Benefit yang diperoleh dari kaizen yang telah dibuat adalah sebesar 121 (S) atau 66,48% dari total waktu picking sebelum dilakukan kaizen</t>
  </si>
  <si>
    <t>Aktivitas yang dilakukan selanjutnya untuk mengefisiensikan waktu picker pada proses packing produk filma minyak goreng CTN (2000ml x 6pcs) adalah melanjutkan improvement yang sudah dilakukan sebelumnya</t>
  </si>
  <si>
    <t>Efisiensi waktu,Bbm Kurir dan Driver dan mapping area by sequences operation delivery/pickup atau by size product delivery/pickup</t>
  </si>
  <si>
    <t>Tinggi nya biaya Bbm untuk delivery baik oleh sepeda motor atau mobil.
Frequensi dan tingkat kedekatan antara 1 pickup point dan delivery point.
Maksimalkan jumlah SDM untuk satu area baik delivery/pickup</t>
  </si>
  <si>
    <t>1.Biaya Bbm Kurir sepeda motor (1 bln )
2.Biaya Bbm Mobil (1 bln )
3.Jumlah shipment (1 bln )
4.Ukuran dimensi produk kiriman (1 bln)
5.Perbandingan biaya bbm speda motor dan mobil.</t>
  </si>
  <si>
    <t>1.Meminimalisir penggunaan BBM sepeda motor dan Mobil dengan melakukan pendekatan waktu dan zona area hantaran.
2.Dari aspek Bbm, kondisi existing, diasumsikan biaya per Shipment = Rp.50,000 / ship dan nilai ini sangat tinggi.</t>
  </si>
  <si>
    <t>Masih ada kurir yang belum paham wilayah dan pendekatan jarak wilayah.
Melakukan mappaing wilayah.
PIC harus memaksimalkan penggunaan sepeda motor untuk hantaran mobil yang masih bisa di efektifkan dengan spd motor.(Mobil = 1 : 10/11 ) speda motor (1 : 30 )</t>
  </si>
  <si>
    <t>Melakukan pendekatan wilayah.
Memberikan arahan kepada PIC untuk memaksimalkan penggunaan sepeda motor.
Untuk delivery dan Pickup menggunakan sistem one stop ,dengan memanfaatkan jam kedatangan Lion parcel dan Caraka Log.</t>
  </si>
  <si>
    <t>1.Jumlah shipment agust = 1494.
2.Jumlah biaya bbm kurir spd motor agust = Rp1.498.000
3.Jumlah biaya Bbm mobil agust 17 = Rp 1.460.000
4.Ratio Mobil = 1 : 10 Km
Sepeda Motor = 1 : 30 Km</t>
  </si>
  <si>
    <t>Penghematan waktu sebesar
4.210 s atau sebesar 70.16 menit per hari
dan atau 126.300 s per bulan ( 2.105 menit ) /bln</t>
  </si>
  <si>
    <t>SCM - WH Medan</t>
  </si>
  <si>
    <t>Efisiensi waktu scan barcode Filma untuk picker</t>
  </si>
  <si>
    <t>Scan Barcode untuk produk Filma sering rusak sehingga tidak terbaca Scanner ; Resiko kerusakan tablet picker saat picking ; Jarak container dengan lokasi filma jauh -+15m ; Barcode Berada di lantai</t>
  </si>
  <si>
    <t>Mempermudah Scan Barcode Pada Saat Picking dan mempercepat waktu pickin</t>
  </si>
  <si>
    <t>Barcode sering terkena pijakan kaki, terkena sapu dan air pel sehingga rentan rusak/tidak terbaca ; Product filma memiliki bobot 11.53kg/CTN, mengakibatkan picker kesulitan dalam memegang tablet  dan bila di letakan di teroli  rentan terjatuh tertimpa product filma ; Jarak antara container dengan storage filma  sejauh 15 m mengakibatkan waktu yang dibutuhkan untuk mempacking  barang menjadi lama ; Storage product filma menggunakan palet, sehingga barcode berada dilantai</t>
  </si>
  <si>
    <t>Memindahkan barcode ke tablet picker khusus product filma ; Memindahkan container dekat dengan product filma ; Meletakan tablet sebelum mempicking product filma di meja admin order</t>
  </si>
  <si>
    <t>Dari improvement yang dilakukan, maka benefit yang diperoleh dari kaizen ini yaitu penghematan 5(s) atau 8,2% dari catatan waktu sebelum dilakukan kaizen</t>
  </si>
  <si>
    <t>Team Member</t>
  </si>
  <si>
    <t>Tema Kaizen</t>
  </si>
  <si>
    <t>Goal Statement</t>
  </si>
  <si>
    <t>Save/month</t>
  </si>
  <si>
    <t>Pengali</t>
  </si>
  <si>
    <t>Actual Save</t>
  </si>
  <si>
    <t>Kategori</t>
  </si>
  <si>
    <t>I</t>
  </si>
  <si>
    <t>Customer Management-1</t>
  </si>
  <si>
    <t xml:space="preserve">Mansur Nawawi Novita Rahmawati Deni Widendra Vicha Yuan  </t>
  </si>
  <si>
    <t xml:space="preserve">Efisiensi Waktu Kerja dengan Mengurangi Waktu untuk Mengambil Air Minum     </t>
  </si>
  <si>
    <t xml:space="preserve">'- Waktu untuk mengambil air minum bagi setiap orangnya cukup lama '- Missed dalam memenuhi deadline dikarenakan kurangnya efisiensi waktu kerja    </t>
  </si>
  <si>
    <t>Saat ini untuk sekali jalan mengambil air minum dibutuhkan ± 146 langkah (rata-rata 90s) dan mengisi botol air minum (500 ml) selama ± 30s = 120s Jika ditambah perkiraan delay time selama  ±35s, menjadi 155s. Sekali jalan air minum yang diambil adalah rata-rata satu botol minum ukuran 500 ml Jika jumlah BC = 7, CI = 8, dan SII = 4 orang (total 19 orang), maka : a. Jika setiap orang mengambil air sebanyak 4 kali (w/ delay) dalam sehari - 1org x 4 x 155s = 620s b. Total waktu yang dihabiskan oleh 19 orang (w/ delay)- 19org x 620s = 11780s (196.3 mins = 3.27 h)</t>
  </si>
  <si>
    <t xml:space="preserve">'Mempersingkat waktu proses pengambilan air minum menjadi 46s (± 70% lebih cepat) dengan: '- Mempersingkat waktu menuju galon air. '- Menghindari antrian '- Meningkatkan efisiensi waktu kerja (waktu tidak terbuang untuk mengambil air karena lokasi  yang cukup jauh)  </t>
  </si>
  <si>
    <t xml:space="preserve">Lokasi air minum yang cukup jauh (pantry belakang) Setiap individu menyediakan botol air minum yang bervariasi. Adanya waktu antri jika banyak orang yang mengambil waktu secara bersamaan dari banyak tim.   </t>
  </si>
  <si>
    <t xml:space="preserve">Menempatkan galon air di dekat area kerja. Menggunakan alat untuk mengalirkan air yang lebih cepat dan hemat energi (tidak menggunakan listrik sama sekali). Mensosialisakan penggunaan alat baru tersebut kepada tim BC, CI, dan SII, yang akan menjadi pengguna utama dari alat ini. Mengatur jadwal kerja untuk mencuci alat penutup galon/ keran air galon agar terjaga terjaga kebersihannya (higienis).  </t>
  </si>
  <si>
    <t>Setelah improvement, untuk sekali jalan mengambil air minum dibutuhkan hanya ± 36 langkah (rata-rata 24s) dan mengisi botol air minum (500 ml) serta prosesnya selama ± 25.5s = 49.5s Jika ditambah perkiraan delay time selama  ±13.5s, menjadi 63s. Sekali jalan air minum yang diambil adalah rata-rata satu botol minum ukuran 500 ml Jika jumlah BC = 7, CI = 8, dan SII = 4 orang (total 19 orang), maka : a. Jika setiap orang mengambil air sebanyak 4 kali (w/ delay) dalam sehari - 1org x 4 x 63s = 252s b. Total waktu yang dihabiskan oleh 19 orang (w/ delay)- 19org x 252s = 4788s (79.8 mins = 1.33 h)</t>
  </si>
  <si>
    <t xml:space="preserve">Penghematan waktu sebesar 59,3%: 92s x 4 = (6 menit 8 detik) per pekerja per hari Dengan 19 pekerja per hari dan 22 hari kerja, maka : penghematan per bulan sebesar 153,824 detik = 42.8 jam Maka jika penghematan waktu tersebut di-konversi menjadi nominal uang, dengan standar 1 jam = Rp 30.000, sehingga ada penghematan sebesar 42.8 x 30.000 = Rp 1,284,000 per bulan.    </t>
  </si>
  <si>
    <t xml:space="preserve">Pembuatan jadwal untuk melakukan maintenance terhadap alat baru untuk pengganti dispenser tersebut, terutama penutupnya. Mensosialisasikan kepada semua tim agar menggunakan alat ini dan jika memungkinkan agar menggunakan botol minum yang lebih besar.    </t>
  </si>
  <si>
    <t>CS</t>
  </si>
  <si>
    <t>Customer Management-2</t>
  </si>
  <si>
    <t>Abdurahman Wibowo Mega Sintia Yusuf Anindya Kirana Setiaji Temmy Helen MahieuFahmi RahmanMeyko Wahyu Fanny</t>
  </si>
  <si>
    <t xml:space="preserve">Efisiensi waktu untuk follow up customer konfirmasi dan closing ticket jira    </t>
  </si>
  <si>
    <t xml:space="preserve">issue redundant agent xoc saat call &amp; klaim bucket    </t>
  </si>
  <si>
    <t xml:space="preserve">Membutuhkan waktu ±900s untuk klaim sampai courtesy customer dan MP ± 4x attempt ticket x 7 xoc 6300 scd 105 mins = 1.75 hours bisa untuk 28 ticket di courtesy   </t>
  </si>
  <si>
    <t xml:space="preserve">Mempersingkat waktu proses klaim label yang di release xo meningkatkan jumlah case solved Efisiensi waktu kerja agar lebih cepat Meningkatkan jumlah case close  </t>
  </si>
  <si>
    <t xml:space="preserve">agent kadang klaim bucket setelah call sebelum di label lalu ke courtesy ulang oleh xoc lain durasi case closed dlm 1 courtesy tidak tentu waktu feedback dari customer tidak menentu, sehingga proses eskalasi case memerlukan waktu bisa lebih dari SLA casemanagment  </t>
  </si>
  <si>
    <t xml:space="preserve">penambahan label xoc perjam untuk mengukur jumlah case keluar dari xo dan CR cawang yang bisa di klaim dan courtesy oleh xoc (exp xoc090218_0900 xoc courtesy 2x attempt, call no answer, email &amp; sms ke cust dgn wording (penambahan batas konfirmasi balik ke Blibli u/ casenya) nb: case by case   </t>
  </si>
  <si>
    <t xml:space="preserve">CM Created Date 9/2/2018 - 14/02/18 = 202 Case = Longest Claim 1:37:30 , Fastes Claim 00:00:06, Average 0:15:47 setelah improvement agent xoc average klaim di angka 2 menit setelah di berikan label oleh xo  </t>
  </si>
  <si>
    <t xml:space="preserve">saving waktu agent claim case    </t>
  </si>
  <si>
    <t xml:space="preserve">0 meneruskan dan mengimplementasikan improvemnet yang ada dan mengukur seberapa efektifnya sosialisasi inbound CM untuk menggali informasi selengkapnya perihal customer agar xoc benar-benar efektif dalam courtesy dan closing case  </t>
  </si>
  <si>
    <t>II</t>
  </si>
  <si>
    <t>Customer Management-3</t>
  </si>
  <si>
    <t>Andi Rahman Hendra Saputra Arifah Manishati Iska Rizkariyani Dini Amelia Natasya Minatmaja</t>
  </si>
  <si>
    <t xml:space="preserve">Minimasi waktu pembuatan case pada case management     </t>
  </si>
  <si>
    <t xml:space="preserve">Dalam pendokumentasian kasus (pembuatan Case Management) agent membuat di notepad dahulu lalu menterjemahkannya kedalam casemanagement Setelah input di casemanagement, agent membuat report daily dalam bentuk excel    </t>
  </si>
  <si>
    <t xml:space="preserve">Dalam pendokumentasian kasus, agent langsung membuat laporan pada casemanagement, agar tidak menggulung pembuatan casemanagementnya Menghapus report daily yang dibuat dalam format excel menghapus penggunaan notepad pada saat komunikasi dengan merchant, agar langsung didokumentasikan di Casemanagement   </t>
  </si>
  <si>
    <t xml:space="preserve">Mempersingkat waktu pendokumentasian Casemanagement Merchant mendapatkan laporan permasalahannya Efisiensi waktu kerja agar tidak lama dalam proses pendokumentasian kasus   </t>
  </si>
  <si>
    <t xml:space="preserve">Menurut agent (call) notepad dapat membantu mencatat detail pertanyaan MP Menjadi backup bagi agent ketika terjadi error sistem ex: IDV Menjadi pengingat bagi agent ketika CM belum dibuat karena kondisi call dalam antrian Template excel berguna untuk mengetahui berapa banyak agent menerima incoming dalam satu hari Bisa memotivasi agent untuk meningkatkan quantitas penerimaan incoming </t>
  </si>
  <si>
    <t xml:space="preserve">Menyarankan agent langsung membuat CM jika call tidak dalam antrian (diperbolehkan menggunakan notepad jika kondisi call ramai) Menambahkan kelengkapan mandatory tambahan di IDV untuk membantu agent dalam membuat catatan    </t>
  </si>
  <si>
    <t>mengoptimalkan jam kerja teman2 agent dengan minimasi penggunaan notepad dan excel Dengan alasan tersebut kita akhirnya memutuskan utk tdk menggunakannya, karena hal tsb membuat jam kerja tidak optimal karena harus bekerja beberapa tahap Karena menurut pengamatan kita, dengan membuat excel dan notepad membuat agent pulang tidak selesai sesuai jam kerja Berdasarkan pengamatan kita agent membutuhkan waktu rata-rata 0:02:50 untuk membuat notepad dan excel dengan tujuan membuat report pada CM Setelah kita melakukan percobaan jika agent membuat CM tanpa excel dan notepad waktu kerja menjadi 0:01:32 Berdasarankan hasil pengamatan tsb kita dapat mengetahui perbedaan 0:01:17</t>
  </si>
  <si>
    <t xml:space="preserve">Jika diakumulasikan dalam waktu sehari dengan rata-rata sebanyak 23 case maka didapatkan penghematan waktu kerja sebanyak 0:29:39 per agent Jika diakumulasikan dalam waktu sebulan dalam rata-rata 22 hari kerja didapatkan penghematan biaya kerja sebanyak  Rp 326,121.40 Jika dikonversikan kedalam rupiah maka didapatkan penghematan sebesar Rp5,870,185.20 dengan asumsi 1 jam kerja senilai 30000 dengan 18 agent   </t>
  </si>
  <si>
    <t xml:space="preserve">menghapus pengisian pada notepad dan excel, dimana agent diharapkan dapat membuat langsung CMnya     </t>
  </si>
  <si>
    <t>III</t>
  </si>
  <si>
    <t>Risk Management</t>
  </si>
  <si>
    <t xml:space="preserve">Sonia Pratama Lusyana Wijaya Titis Ekky Krisnanda   </t>
  </si>
  <si>
    <t xml:space="preserve">Mempercepat proses Rekap Data Delete Token     </t>
  </si>
  <si>
    <t xml:space="preserve">Proses rekap data Delete token membutuhkan waktu yang lama     </t>
  </si>
  <si>
    <t xml:space="preserve">1. Membuka tiap email Request Delete Token Blibli.com yang dikirimkan secara otomatis dari Blibli ke tim Speedorder memerlukan waktu 246 S (rata - rata 246 Email/bulan) 2. Mengcopy paste content pada email Request Delete Token Blibli.com yang dikirimkan secara otomatis dari Blibli ke tim Speedorder memerlukan waktu 10.086 s 3. Merapikan format rekap database update memerlukan waktu sebesar 45 s   </t>
  </si>
  <si>
    <t xml:space="preserve">Mempercepat proses rekap data delete token sebanyak 50%     </t>
  </si>
  <si>
    <t>Proses rekap data Delete token membutuhkan waktu yang lama : - Proses copy paste data rekap delete token di body text email dilakukan secara berulang - Terdapat banyak email Delete Token yang dikirimkan sistem Blibli ke Speedorder - Maksimal data rekap Delete Token pada body email yang dikirimkan sistem Blibli ke Speedorder adalah 200 baris - Jika report delete token di body text email lebih dari 200 baris, report akan blank - Menyangkut kapabilitas aplikasi dari sistem untuk pengiriman report</t>
  </si>
  <si>
    <t xml:space="preserve">Mengganti proses rekap data delete token secara manual dan satu per satu dari body text email menggunakan VB macro     </t>
  </si>
  <si>
    <t xml:space="preserve">1. Memilih semua email Request Delete Token Blibli.com yang dikirimkan secara otomatis dari Blibli ke tim Speedorder memerlukan waktu 246 S (rata - rata 246 Email/bulan) 2. Menjalankan macro untuk menggabungkan content pada body email Request Delete Token memerlukan waktu 76.16 s 3. Merapikan format rekap Delete Token memerlukan waktu sebesar 60.43 s 4. Save Rekap Delete Token memerlukan waktu 3.25 s  </t>
  </si>
  <si>
    <t xml:space="preserve">Penghematan sebesar 96.28%: 9,994 s (2jam 47menit 35detik) per bulan Penghematan per tahun sebesar 119,933 s (33jam 18menit)   </t>
  </si>
  <si>
    <t xml:space="preserve">1. Implementasi metode baru dalam proses rekap data delete token 2. Sosialisasikan metode baru ke semua anggota Risk &amp; Payment Management 3. Update SOP Rekap Delete Token   </t>
  </si>
  <si>
    <t>IV</t>
  </si>
  <si>
    <t>Return Management-1</t>
  </si>
  <si>
    <t>Endang Cendaningrum Hardian Ruben Tobing Dina Anggraini Reny Reny Rheo Loridho Pratama</t>
  </si>
  <si>
    <t xml:space="preserve">Simplify dispute database    </t>
  </si>
  <si>
    <t xml:space="preserve">Pengisian database dispute sangat lama karena harus tarik label secara manual dan pengerjaan kasus dispute juga lama karena harus memasukkan banyak label    </t>
  </si>
  <si>
    <t xml:space="preserve">Pengisian database dispute :  Pengerjaan kasus dispute :  </t>
  </si>
  <si>
    <t xml:space="preserve">Menyederhanakan kategori dispute dan mengurangi waktu pengerjaan database dispute    </t>
  </si>
  <si>
    <t xml:space="preserve">0    </t>
  </si>
  <si>
    <t>Return</t>
  </si>
  <si>
    <t>V</t>
  </si>
  <si>
    <t>Return Management-2</t>
  </si>
  <si>
    <t>Yesica Prayogi Shofiana Fauzy Ni Ketut Nuari Yuri Yudhistira Bony</t>
  </si>
  <si>
    <t xml:space="preserve">Efisiensi waktu email notifkasi klaim dropship ke merchant partner    </t>
  </si>
  <si>
    <t xml:space="preserve">Pengiriman email dropship yang memakan waktu lama dan manual.    </t>
  </si>
  <si>
    <t xml:space="preserve">Proses pengiriman email dropship untuk per 1 email adalah 210 detik Proses pengiriman email dropship membutuhkan 11 langkah pengerjaan disetiap kasus yang terjadi   </t>
  </si>
  <si>
    <t xml:space="preserve">mengurangi waktu pengerjaan email dropship sebesar 50 % Mengurangi langkah proses pengerjaan sebanyak 20%   </t>
  </si>
  <si>
    <t xml:space="preserve">Template tidak tersedia langsung (karena harus edit disetiap kali email) Pengerjaannya harus satu per satu, tidak bisa langsung bersamaan Foto yang dilampirkan harus dicari dan didownload dahulu baru di attach ke email  </t>
  </si>
  <si>
    <t xml:space="preserve">Template sudah disediakan sama untuk seluruh email dropship pengerjaan menggunakan mail merge sehingga bisa digabungkan bersama-sama Foto yang diperlukan akan di refrensikan berdasarkan email lain yang sudah mengandung foto yang sama  </t>
  </si>
  <si>
    <t xml:space="preserve">Proses pengiriman email dropship untuk per 1 email adalah 49 detik Proses pengiriman email dropship membutuhkan 8 langkah pengerjaan disetiap kasus yang terjadi   </t>
  </si>
  <si>
    <t xml:space="preserve">Penghematan waktu yang terjadi sebesar 161 detik (untuk setiap kasus dropship). Rata-rata kasus dropship setiap hari adalah 8.3 kasus = 183 kasus/ bulan. Waktu yang bisa dihemat adalah sebesar = 29,463 detik atau sebesar 8.13 jam  </t>
  </si>
  <si>
    <t xml:space="preserve">Melengkapi database alamat email merchant    </t>
  </si>
  <si>
    <t>VI</t>
  </si>
  <si>
    <t>Express Delivery-1</t>
  </si>
  <si>
    <t>Deltha Fiani Riswanda Firsty Kartika Leonardus Andrean</t>
  </si>
  <si>
    <t xml:space="preserve">Efisiensi pengerjaan update report manual   </t>
  </si>
  <si>
    <t xml:space="preserve">Pengerjaan report manual lama karena harus vlookup dan copy satu per satu   </t>
  </si>
  <si>
    <t xml:space="preserve">0   </t>
  </si>
  <si>
    <t xml:space="preserve">Mengurangi waktu pengerjaan report sampai 30 %   </t>
  </si>
  <si>
    <t>Update status order NCS, Si cepat, dan lion parcel masih manual Tanggal terima di report Si cepat tidak berbentuk tanggal sehingga harus diganti satu per satu Report si cepat harus di compare dengan rekap order pengambilan untuk di pisahkan order status yang berubah dan yang tidak berubah Data order yang statusnya berubah harus di copy satu per satu ke template report NCS, Si Cepat, dan lion parcel</t>
  </si>
  <si>
    <t xml:space="preserve">Mengganti proses pengerjaan dengan macro, sehingga tidak perlu vlookup dan copy 1 per 1. Hanya memasukan data dan order yang berubah statusnya atau yang bisa di upload ke sistem otomatis keluar di tamplate report logistik    </t>
  </si>
  <si>
    <t xml:space="preserve">Dengan adanya macro report manual ini pengerjaan report berkurang 415 (s) / 6 Menit 55 Detik Perhari, 8300 (s) / 2 Jam 18 Menit Per bulan, 99.600 (s) / 27 Jam 40 Menit Per tahun. Jika di komversikan ke Ruiah 2 Jam x Rp. 30.000 = Rp. 60.000 Per Bulan   </t>
  </si>
  <si>
    <t xml:space="preserve">Sosialisasi ke team cara kerja macro   </t>
  </si>
  <si>
    <t>Express Delivery</t>
  </si>
  <si>
    <t>VII</t>
  </si>
  <si>
    <t>Fleet Mgmt - Jkt 1</t>
  </si>
  <si>
    <t>Nebrian Hardika Agus Tryono Muhammad Sudibjo</t>
  </si>
  <si>
    <t xml:space="preserve">Reducing package handling during inward by using wheeled scale  </t>
  </si>
  <si>
    <t xml:space="preserve">Saat proses weight dimension di TMS, paket harus dibawa ke dekat timbangan.  </t>
  </si>
  <si>
    <t xml:space="preserve">Waktu yang dibutuhkan untuk proses Weight dimension 1 paket adalah 15 - 17 Detik.  </t>
  </si>
  <si>
    <t xml:space="preserve">Mengurangi 50 % waktu yang dibutuhkan untuk proses weight dimension per 1 paket.  </t>
  </si>
  <si>
    <t xml:space="preserve">Ketika proses penimbangan paket harus diangkat ke dekat timbangan.  </t>
  </si>
  <si>
    <t xml:space="preserve">Membuat timbangan agar dapat berjalan mendekati paket yang akan ditimbang.  </t>
  </si>
  <si>
    <t>1. Timbangan Tanpa Roda 2. Timbangan Dengan Roda 3. Desain alas timbangan</t>
  </si>
  <si>
    <t>Saving Waktu yang didapat untuk proses 1 paket adalah 1.359 s. Untuk data perhari pickupan merchant BES Jakarta rata - rata sekitar 200 paket Sehingga untuk satu bulan (30 Hari) waktu yang dapat di saving sekitar 8154 s (135.9 menit)</t>
  </si>
  <si>
    <t xml:space="preserve">Mendesain timbangan agar dapat berjalan lebih efisien.  </t>
  </si>
  <si>
    <t>BES</t>
  </si>
  <si>
    <t>Fleet Mgmt - Jkt 2</t>
  </si>
  <si>
    <t xml:space="preserve">Lindo Hari Sandi Wahyudi1 Wahyudi1 Seteven Chandra  </t>
  </si>
  <si>
    <t xml:space="preserve">Modifikasi alat timbangan menjadi alat ukur 4D    </t>
  </si>
  <si>
    <t xml:space="preserve">Lamanya waktu proses pengukuran weight &amp; dimension    </t>
  </si>
  <si>
    <t xml:space="preserve">Waktu proses pengukuran 4D/weight &amp; dimension (p,l,t dan berat) per koli adalah 30,4 detik/koli    </t>
  </si>
  <si>
    <t xml:space="preserve">Mengurangi waktu proses ukur 4D/weight &amp; dimension sebesar 20 detik/koli    </t>
  </si>
  <si>
    <t>1. Pengukuran 4 dimensi dilakukan satu per satu a. Menggunakan 2 alat ukur yang belum "2 in 1" berdasarkan fungsinya b. Belum diimprovisasi alat ukurnya 2. Menggunakan 2 alat ukur yang terpisah (meteran &amp; timbangan) a. Saat ini di BES belum ada alat ukur yang bisa mengukur berat dan dimensi sekaligus</t>
  </si>
  <si>
    <t xml:space="preserve">Pengukuran 4 dimensi (p,l,t dan berat) dilakukan sekaligus dengan alat ukur yang sudah dimodifikasi    </t>
  </si>
  <si>
    <t xml:space="preserve">Waktu proses pengukuran 4D/weight &amp; dimension (p,l,t dan berat) per koli adalah 25,2 detik/koli    </t>
  </si>
  <si>
    <t xml:space="preserve">Saving yang didapat per bulan adalah Rp. 3.960.000,- (data dari AWB BES Desember 2017 = 3071 awb/hari)    </t>
  </si>
  <si>
    <t xml:space="preserve">- Rencana aktivitas yang masih akan dilakukan adalah mencari bahan yang lebih kuat dan murah untuk bagian"stopper" - Proses pengukuran dimensi dan berat dengan alat timbangan ini bisa ditetapkan sebagai prosedur kerja jika ada support dari atasan   </t>
  </si>
  <si>
    <t>Fleet Mgmt Medan</t>
  </si>
  <si>
    <t xml:space="preserve">Maryo Benhard Tuas Eka Rizky Kurniawan Roji Budi    </t>
  </si>
  <si>
    <t xml:space="preserve">Reduced cost Bbm Mobil &amp; Spd Motor. aproach : Sequences operation dan Size package Vehicle Blind Van      </t>
  </si>
  <si>
    <t xml:space="preserve">1.Pengulangan delivery untuk area yang sama atau bersinggungan. 2.Jumping area delivery dengan area pickup retur. 3.Vehicle blind van di minimalisir untuk package size yang masih bisa diakomodir spd motor.     </t>
  </si>
  <si>
    <t>1.Cost ops BBm Spd Motor kurir, average = Rp.1.311.166 / bln (sampel data 3 bln last update ( Oct / nov , Dec 2017 ) 2.Cost Ops Bbm Vehicle, average = Rp.1.433.166/bln (sampel data 3 bln last update (Oct,Nov,Dec 2017) 3.Untuk season Delivery peningkatan cost Bbm nya &gt; 70 % ( Ex : 10.10 / 11.11 // 12.12 ) 4.Jumlah shipment per bln ( average 1.666,6 awb / bln ) data oct , nov, dec 17 5.Peningkatan shipment oct ke Nov ke Dec 17 diatas rata rata juli , agust, sept 17.( 1339 awb / bln )</t>
  </si>
  <si>
    <t xml:space="preserve">1.Minimalisir repetition delivery untuk area yang sama dan atau berdekatan. 2.Maxsimize kurir spd motor untuk package size yang masih bisa diakomodir. 3.Stabil SLA     </t>
  </si>
  <si>
    <t xml:space="preserve">1.Masih ada kurir yang belum paham wilayah dan pendekatan jarak wilayah. Melakukan mapping wilayah. 2.PIC harus memaksimalkan penggunaan sepeda motor untuk hantaran mobil yang masih bisa di efektifkan dengan spd motor.(Mobil = 1 : 10/11 ) speda motor (1 : 30 ). 3.Tidak melakukan confirm secara keseluruhan untuk cst spesifik, baik itu dari segi frekuensi pengiriman dari cst regular maupun dari segi quantity paket yang di delivery 4.Belum semua nya  personel yang dapat mengetahui semua coverage area hantaran, secara keseluruhan 5.Mapping dan konsolidasi dari pic coordinator ke kurir/driver.  </t>
  </si>
  <si>
    <t xml:space="preserve">1.Melakukan maping confirmation kepada cst untuk sebagian besar jika memungkinkan 2.Maping area zona Timur,barat,utara,selatan. Ring 1, Ring 2 dan Ring 3 3..Semua personel /sdm harus mampu menguasai coverage area BES Medan   </t>
  </si>
  <si>
    <t xml:space="preserve">0       </t>
  </si>
  <si>
    <t xml:space="preserve">Benefit / saving cost yang didapat : 1.Untuk regularitas monthly Rp.759.675. 2.Untuk opsi 10.10.11.11.12.12 / 2018 saving cost = Rp.2.043.166.   </t>
  </si>
  <si>
    <t xml:space="preserve">1.Eliminated perulangan hantaran. 2.pendekatan jarak wilayah. 3.PIC harus memaksimalkan penggunaan sepeda motor untuk hantaran mobil yang masih bisa di efektifkan dengan spd motor. 4.Mapping dan konsolidasi dari pic coordinator ke kurir/driver.    </t>
  </si>
  <si>
    <t>Fleet Mgmt Surabaya</t>
  </si>
  <si>
    <t>Maman Hanafie Dony Setyawan Sutan Rasyid Joko Susilo</t>
  </si>
  <si>
    <t xml:space="preserve">Efisiensi Biaya Pengambilan Paket Line Haul Kalog   </t>
  </si>
  <si>
    <t xml:space="preserve">1.Paket melalui Kalog  harus dilakukan Pick Up di Stasiun Pasar Turi Surabaya. 2.HUB Brebek melakukan Pickup paket Kalog di Pasarturi. 3.Pickup menggunakan mobil   </t>
  </si>
  <si>
    <t xml:space="preserve">1.Penggunaan jenis armada yg sesuai untuk Pick Up. 2.Efisiensi Biaya   </t>
  </si>
  <si>
    <t xml:space="preserve">1.Armada yang digunakan oleh HUB Brebek untuk Pick Up Paket Kalog di Stasiun Pasarturi menyesuaikan dengan jumlah &amp; dimensi koli. 2.     Jika paket =&lt; 2 Koli &amp; berdimensi kecil (standard muatan motor) maka Pick Up menggunakan motor, dengan mengirim makismal 2 orang kurir. 3. Jika paket &gt; 2 Koli  atau berdimensi besar maka Pick Up menggunakan mobil   </t>
  </si>
  <si>
    <t xml:space="preserve">1. Meminta chapture dimensi barang dari team Angke, agar dapat diperkirakan kebutuhan jenis Armada yang diperlukan untuk Pick Up. 2.        menentukan jenis armada untuk Pick Up sesuai dimensi Paket dari Chapture yang dikirim oleh HUB Angke. 3. penggunaan jenis armada yg sesuai untuk Pick Up. 3. Efisiensi Biaya    </t>
  </si>
  <si>
    <t xml:space="preserve">- Mencari jalur alternatif untuk efisensi biaya tol, dengan jarak &amp; waktu tempuh yg setara, - Memperkecil dimensi packaging jika paket hanya 1 koli, agar barang bisa diangkut oleh motor   </t>
  </si>
  <si>
    <t>Fleet Mgmt Bandung</t>
  </si>
  <si>
    <t xml:space="preserve">Satya Putra Galih Kartiwa  </t>
  </si>
  <si>
    <t xml:space="preserve">Entry data Pickup Merchant Point dengan menggunakan Excel-Macro   </t>
  </si>
  <si>
    <t xml:space="preserve">Melakukan entry data paket pickup dari Merchant yang setiap hari dilakukan memakan waktu yang cukup lama dengan excel manual.   </t>
  </si>
  <si>
    <t xml:space="preserve">'- Saat ini waktu yang dibutuhkan dalam melakukan entry 1 paket Pickup Merchant adalah ± 50 s. '- Dalam 1 hari paket Pickup yang dientry mencapai ± 40 paket, maka waktu yang dihabiskan adalah 40 x 50 s = 2000 s = 33.3 mins. (Dalam 1 bulan mencapai 60000 s = 166 hours)  </t>
  </si>
  <si>
    <t xml:space="preserve">Melakukan entry data paket pickup merchant dengan penggunaan excel-macro diharapkan dapat reduce waktu mencapai 50% (25s per paket)   </t>
  </si>
  <si>
    <t xml:space="preserve">Masih proses analisa entry data Paket Pickup Merchant sebanyak 50 paket / hari dengan excel manual (Excel-Macro in progres)   </t>
  </si>
  <si>
    <t xml:space="preserve">Pembuatan Excel-Macro untuk entry data paket pickup merchant yang berkuantitas banyak agar lebih cepat tercopy dan tersimpan   </t>
  </si>
  <si>
    <t xml:space="preserve">User Interface Excel-Macro  Running File </t>
  </si>
  <si>
    <t xml:space="preserve">1. Saving Waktu yang didapat untuk proses entry 1 paket adalah 25 s 2. Data Entry Pickup Merchant per hari untuk BES Bandung mencapai rata-rata 40 paket 3. Dalam satu bulan (30 hari) saving waktu yang di dapat sekitar 30000 s (500 menit) </t>
  </si>
  <si>
    <t xml:space="preserve">Menambahkan source code Macro agar dapat menbaca format awb (JNE) type angka sehingga bisa tercopy dan tersave di sheet (Database) sesuai dengan awb yang di input.   </t>
  </si>
  <si>
    <t>Verencia Permatasari Angela Destha Cherie Ulfa Melissa Handoko Putri Sherly Setiawan</t>
  </si>
  <si>
    <t>Efficiency Storage Hardcopy Invoice Logistic</t>
  </si>
  <si>
    <t xml:space="preserve">Mengubah berat pada system membutuhkan waktu yang lama   </t>
  </si>
  <si>
    <t xml:space="preserve">- Waktu mencari 100 SKU pada IDV adalah ± 12379s   </t>
  </si>
  <si>
    <t xml:space="preserve">Mempercepat waktu mengubah data berat pada sistem dengan mengurangi hingga ±312s per SKU   </t>
  </si>
  <si>
    <t xml:space="preserve">'-Mencari SKU memakan waktu yang lama, mencari SKU manual dengan mencari di IDV, '-Mengubah berat masih dilakukan satu per satu dengan MTA, mengubah berat 100 SKU tidak dapat dilakukan dengan 1 langkah saja   </t>
  </si>
  <si>
    <t xml:space="preserve">Request Fitur untuk download dan upload data produk yang akan di ganti secara Bulky   </t>
  </si>
  <si>
    <t>WH Batuceper 1</t>
  </si>
  <si>
    <t xml:space="preserve">Raimi Noor; Vilia Sylvia; Rommy Putra Gazali; kukuh   </t>
  </si>
  <si>
    <t xml:space="preserve">Efisiensi Penempatan Barang –barang Inbound berdasarkan booking slot   </t>
  </si>
  <si>
    <t xml:space="preserve">Banyak barang yang belum ada tempat di area storage . Proses Transfer storage yang memakan waktu baik fisik maupun system. Lamanya barang di transit area karena menunggu area yang kosong . </t>
  </si>
  <si>
    <t xml:space="preserve">Saat ini ketika barang inbound datang harus menunggu di area transit sampai dengan 59 Menit 40 detik. Adanya team tambahan untuk mencari dan merapikan tempat yang akan dipakai.  </t>
  </si>
  <si>
    <t xml:space="preserve">Memudahkan penempatan barang Proses perpindahan barang yang cepat. Sirkulasi area transit berjalan dengan baik. </t>
  </si>
  <si>
    <t>Banyak barang yang belum ada tempat di area storage . Proses Transfer storage yang memakan waktu baik fisik maupun system. Lamanya barang di transit area karena menunggu area yang kosong . Adanya team tambahan untuk mencari dan merapikan tempat yang akan dipakai.</t>
  </si>
  <si>
    <t xml:space="preserve">Prepare area storage untuk barang datang dari inbound berdasarkan booking slot 2 hari kedepan Pengechekan berkala untuk booking slot dan cetak booking slot tersebut agar dapat di monitor  </t>
  </si>
  <si>
    <t xml:space="preserve">-Tidak ada proses menunggu di area transit . -Lebih cepat proses putaway yaitu sebesar 1200 detik. -Tidak adanya team tambahan karena proses pecarian tempat -dilakukan bersamaan dengan proses cycle count di zona masing-masing </t>
  </si>
  <si>
    <t xml:space="preserve">1.avarage rata-rata dari penerimaan inbound per minggu 38 pallet x 20 menit = 760 menit atau 12 jam dalam seminggu Tidak adanya team tambahan karena proses pecarian tempat dilakukan bersamaan dengan proses cycle count di zona masing-masing.  </t>
  </si>
  <si>
    <t xml:space="preserve">Melakukan Check data di booking Slot Inbound 2 hari kedepan untuk prepare di storage Proses cycle count bersamaan dengan mencari area sesuai kebutuhan dari hasil booking slot.   </t>
  </si>
  <si>
    <t>Warehouse</t>
  </si>
  <si>
    <t>WH Batuceper 2</t>
  </si>
  <si>
    <t>Adi Surya Indra Kharisma Ferdi Ferdi Tri S Wibowo Satrio Wibiseno Bambang Eko Rahardjo</t>
  </si>
  <si>
    <t xml:space="preserve">Efisiensi Penggunaan Kertas Karbon 3ply (1 lembar 3 rangkap) untuk pencetakan dokumen GIN serah terima dengan logistik    </t>
  </si>
  <si>
    <t xml:space="preserve">Borosnya penggunaan kertas karbon 3ply untuk pencetakan dokumen GIN dan Lamanya proses mencetak dokumen GIN menggunakan kertas karbon 3 ply    </t>
  </si>
  <si>
    <t xml:space="preserve">1. data dari bulan november 2017, rata-rata dalam sehari gudang melakukan 90 kali GIN ( rata-rata penggunaan kertas karbon 3ply 1 lembar digunakan untuk 1x GIN) 2. Membutuhkan waktu untuk mencetak dokumen selama 40 detik per 1 lembar kertas karbon 3ply   </t>
  </si>
  <si>
    <t xml:space="preserve">menghilangkan penggunaan Kertas karbon 3 Ply dan mengurangi durasi mencetak Dokumen sebesar 20 detik ( 50% )    </t>
  </si>
  <si>
    <t xml:space="preserve">Terdapat waste:   1. Penggunaan kertas karbon 3 ply terlalu banyak   ( Biaya cetak per lembar Rp 375 ) 2. Waktu menunggu proses mencetak Dokumen GIN terlalu lama  </t>
  </si>
  <si>
    <t xml:space="preserve">1.Menggunakan kertas A5 untuk mencetak Dokumen GIN 2. mengganti Printer dot matrix Epson LQ-2190 dengan Epson M100   </t>
  </si>
  <si>
    <t xml:space="preserve">1. Tidak lagi menggunakan kertas karbon 3 ply untuk mencetak dokumen serah terima dengan logistik 2. Membutuhkan waktu untuk mencetak dokumen selama 15 detik per 2 lembar kertas A5   </t>
  </si>
  <si>
    <t xml:space="preserve">1. penghematan Rp 297 / cetak 2 lembar surat jalan serah terima dengan logistik 2. penghematan 25 detik / cetak surat jala nserah terima dengan logistik 3. Penghematan dalam sebulan : Rp 801.900 dan 18 jam 45 menit </t>
  </si>
  <si>
    <t xml:space="preserve">1. berkoordinasi dengan tim PIR untuk mensosialisasikan penggunaan kertas A5 menggantikan kertas karbon 3ply ke semua warehouse dengan menggunakan Printer Epson M100    </t>
  </si>
  <si>
    <t>WH Cakung 1</t>
  </si>
  <si>
    <t xml:space="preserve">Irwan Juliana Morly Hasibuan H. M. Steve Kenny Buntara Iwan Setiadi </t>
  </si>
  <si>
    <t xml:space="preserve">Effisiensi pengumulan report di bagian fulfillment     </t>
  </si>
  <si>
    <t xml:space="preserve">1) Tidak meratanya proses kerja yang dilakukan 2) Beban kerja yang berlebihan 3) Pemborosan proses dan cost   </t>
  </si>
  <si>
    <t xml:space="preserve">1) Total waktu untuk input data di QC: 420 detik/ 6 proses QC     </t>
  </si>
  <si>
    <t xml:space="preserve">1) Total waktu untuk input data di proses QC: 210 detik/ 6 proses QC     </t>
  </si>
  <si>
    <t xml:space="preserve">1) QC harus mencatat report untuk keberpentingan kalkulasi capacity dan pekerjaan mereka. 2) Dengan mengunakan Excel, harus ada yang rekonsiliasi data yang dikirim per QC per shift    </t>
  </si>
  <si>
    <t xml:space="preserve">1) Mengunakan Google Forms untuk input data dan rekonsiliasi yang lebih effisien.     </t>
  </si>
  <si>
    <t xml:space="preserve">0     </t>
  </si>
  <si>
    <t>Time Savings: 100 detik per 6 proses QC → ~730 Order di QC per hari → 3.4jam per hari → 365 hari per tahun → 1,238 jam per tahun → est. Rp37,006,944 per tahun</t>
  </si>
  <si>
    <t xml:space="preserve">1) Mulai mengunakan Google Forms untuk proses yang lain (tidak harus di bagian outbound fulfillment)     </t>
  </si>
  <si>
    <t xml:space="preserve">Hananto Wibowo Indra Gunawan Piping Christiawan    </t>
  </si>
  <si>
    <t xml:space="preserve">Efektifitas Kerja Picker dan QC Packer      </t>
  </si>
  <si>
    <t xml:space="preserve">1). Banyak tools QC packer yang hilang setelah pemakaian atau berpindah tempat tanpa sepengetahuan penggunanya. 2). Kurang Efektifnya jam kerja operator jika harus menyiapkan material packaging di mejanya saat awal jam kerja. 3). Operator kesulitan menyiapkan gadget (Tab, Handy Talky, M-Tic) saat mulai kerja karena tidak dikembalikan ke tempatnya oleh shift sebelumnya.    </t>
  </si>
  <si>
    <t xml:space="preserve">1). Total waktu yang dibutuhkan picker untuk menyiapkan gadget adalah 04:29 (269 detik) 2). Total waktu yang dibutuhkan QC Packer adalah 35:03 (2103 detik)     </t>
  </si>
  <si>
    <t xml:space="preserve">1). Total waktu yang dibutuhkan picker untuk menyiapkan gadget adalah 2 menit 2). Total waktu yang dibutuhkan QC Packer adalah 15 menit     </t>
  </si>
  <si>
    <t xml:space="preserve">1). Picker harus mencari Tab yang sesuai dengan user yang tertera di Tab. 2). Ada Beberapa Meja QC dipakai oleh beda shift yang terkadang ada sebagian tools yang hilang atau berpindah tempat, kerena kepedulian operator berbeda. 3). Faktor lain jika dari luar divisi QC akan meminjam tools tidak adanya konfirmasi ke operator, sehingga tidak terecord dengan baik.    </t>
  </si>
  <si>
    <t>1). Picker dibuatkan ceklist agar peminjaman atau pengembalian gadget dapat terecord dengan baik. 2). Dibuatkan Tab Station masing-masing Tab agar letak Tab terstruktur dengan baik dan mempermudah Picker mencari Tab yang akan digunakan. 3). Tools QC dibuatkan Tools Box yang terdiri dari 1 Set alat packing yang dibutuhkan Packer dengan masing-masing Tools Box sudah diberi nomor box. 4). Dibuatkan ceklist penggunaan Tools Box agar terecord dengan baik jika terjadi kerusakan atau kehilangan. 5). Tools Box terdiri dari 2 kategori yaitu yang pertama kategori active terdiri dari 20 set Tools Box dan kategori cadangan terdiri dari 15 set Tools Box.</t>
  </si>
  <si>
    <t xml:space="preserve">1). Total waktu yang dibutuhkan Picker untuk menyiapkan gadget adalah 03:22 (202 detik). 2). Total waktu yang dibutuhkan QC Packer untuk persiapan kerja adalah 17:02 (1022 detik).   </t>
  </si>
  <si>
    <t xml:space="preserve">1). Saving waktu Picker : 1.6 jam per bulan 2). Saving waktu QC Packer : 27 jam per bulan Total saving adalah 28,6 jam    </t>
  </si>
  <si>
    <t xml:space="preserve">1) Penulisan cek list pemakaian tools dan gadget dengan tertib. 2) Pengisian material packaging di masing-masing station pada akhir jam kerja shift. 3) Tools terdiri dari dua kategori (active dan cadangan) agar bila terjadi tools rusak atau hilang maka tools active yang bermasalah ditarik satu set dan diganti dengan satu set tools box cadangan agar dari sisi produksi tetap jalan dan monitoring perbaikan juga berjalan    </t>
  </si>
  <si>
    <t xml:space="preserve">Abdul Rakhman Dannu Permana Danang Febrianto Riki Desriyanto     </t>
  </si>
  <si>
    <t xml:space="preserve">Optimalisasi Pintu Unloading Inbound Dalam Proses Unloading Supplier.        </t>
  </si>
  <si>
    <t xml:space="preserve">Pengiriman Partial Supplier dengan jumlah barang Unloading sedikit.        </t>
  </si>
  <si>
    <t xml:space="preserve">Sebelumnya setiap supplier datang selalu membuka Loading Dock dengan menggunakan Generator 3 Phase 380V/ 2,2KW. Pembukaan Loading Dock memakan waktu 88/79 detik ( proses keseluruhan/lamanya listrik berjalan) dan menggunakan daya listrik dalam 1 kali proses buka/ tutup.        </t>
  </si>
  <si>
    <t xml:space="preserve">Efisiensi waktu dan biaya, saat penerimaan barang Supllier max 100 unit dengan pengecualian barang Big Product.        </t>
  </si>
  <si>
    <t xml:space="preserve">1. Pintu sudah disediakan tetapi belum digunakan optimal untuk proses unloading. 2. Pengiriman parsial dari supplier dalam jumlah kurang dari 100 unit. 3. Rata - rata pengiriman dibawah 100pcs mencapai 149 kali pengiriman ( berdasarkan ASN )      </t>
  </si>
  <si>
    <t xml:space="preserve">1. Memaksimalkan Pintu kecil dalam penerimaan ASN yang kurang dari 100pcs dan bukan big product. 2. Menghilangkan penggunaan Listrik dalam proses pembongkaran.       </t>
  </si>
  <si>
    <t xml:space="preserve">Pembongkaran hanya membutuhkan 42 detik untuk 1 kali proses unloading. Tidak ada proses penggunaan Listrik untuk pembongkaran di bawang 100 pcs.        </t>
  </si>
  <si>
    <t xml:space="preserve">0        </t>
  </si>
  <si>
    <t xml:space="preserve">1. Sosialisasi penggunaan pintu untuk supplier dibawah 100 pcs dan bukan big produk.        </t>
  </si>
  <si>
    <t xml:space="preserve">Berlis Digo Simanjuntak Arvin Faisal Pohan Saiful Amri Hasanuddin   </t>
  </si>
  <si>
    <t xml:space="preserve">Penggunaan Barcode Untuk Log In ID Picker.   </t>
  </si>
  <si>
    <t xml:space="preserve">Input manual User dan password pada tablet. Resiko kesalahan input user dan password yang memakan waktu.   </t>
  </si>
  <si>
    <t>Data Before Improvement Proses 25 Order 150.96 detik Data before diperoleh dari priode tanggal 1 Januari sampai 31 Januari 2018 dengan jumlah orderan 25 Orderan.</t>
  </si>
  <si>
    <t xml:space="preserve">Mengefesiensikan waktu picking dan mempermudah input user dan password pada tablet picker.   </t>
  </si>
  <si>
    <t xml:space="preserve">Input manual user dan password pada tablet picker memakan waktu yang cukup lama. - Kesalahan input user dan password secara manual mengakibatkan pengulangan input. - Memperpanjang durasi antara satu orderan dengan orderan berikutnya dalam satu waktu yang sama.   </t>
  </si>
  <si>
    <t xml:space="preserve">Mengubah user dan password picker dengan bentuk barcode. - Menempelkan barcode user tersebut di ID Card. - Melakukan scan barcode tersebut untuk login di tablet saat handling order.   </t>
  </si>
  <si>
    <t>Data After Improvement Proses 3 Order 140 detik Data after diperoleh dari priode tanggal 01 sampai 15 2018 dengan jumlah orderan 3 Order.</t>
  </si>
  <si>
    <t xml:space="preserve">Benefit yang diperoleh dari kaizen ini adalah sebesar 10 detik per order.   </t>
  </si>
  <si>
    <t xml:space="preserve">Aktivitas yang dilakukan selanjutnya untuk mengefisiensikan waktu handling order oleh picker adalah melanjutkan improvement yang sudah dibuat.   </t>
  </si>
  <si>
    <t>WH Berbek</t>
  </si>
  <si>
    <t>Gafar Razak Al Hasni Setioko Raka Andika Permadi Gilang Wahyu Kuswanto Aris Indra Sasongko</t>
  </si>
  <si>
    <t xml:space="preserve">Pengaturan Layout meja kerja Packer/ efficiency waktu prosess packer    </t>
  </si>
  <si>
    <t xml:space="preserve">Data Before Improvement:    </t>
  </si>
  <si>
    <t xml:space="preserve">Pengurangi waktu process Quality check dan packing prosess menjadi 200 detik    </t>
  </si>
  <si>
    <t xml:space="preserve">1.Melakukan Perubahan layout tempat kerja Packer . 2. Menempatkan Packing material di masing Packer area   </t>
  </si>
  <si>
    <t>Novita Rahmawati Mansur Nawawi Deni Widendra Vicha Yuan</t>
  </si>
  <si>
    <t>Penggunaan Google Form untuk Pelaksanaan Quiz yang tipenya Multiple Choice</t>
  </si>
  <si>
    <t>Pelaksanaan Quiz sebelumnya menggunakan survey monkey tetapi untuk menggunakan fungsi pengecekan otomatis harus menggunakan versi yang berbayar</t>
  </si>
  <si>
    <t xml:space="preserve">Efisiensi pengerjaaan Report SLA (XO Team)    </t>
  </si>
  <si>
    <t xml:space="preserve">Pembuatan Report SLA XO Team dilakukan sebanyak 4 kali (Pukul 09:00, 13:00, 17:00 dan 20:00). Proses pengerjaan SLA cukup memakan banyak waktu    </t>
  </si>
  <si>
    <t xml:space="preserve">1.Total Waktu 4X Pengerjaan SLA makan waktu hingga ±1177 (s)    </t>
  </si>
  <si>
    <t xml:space="preserve">Mempersingkat waktu proses pembuatan SLA untuk jam 13.00, 17.00 dan 20.00,     </t>
  </si>
  <si>
    <t xml:space="preserve">- Membuat master report SLA (excel online) dalam satu folder yang bisa di akses oleh semua agent, sehingga tidak perlu input ulang data-data yang sudah ada    </t>
  </si>
  <si>
    <t xml:space="preserve">Setelah Penggunaan Excel online waktu yang dibutuhkan hanya ± 297(s)    </t>
  </si>
  <si>
    <t xml:space="preserve">penghematan waktu pembuatan report SLA adalah 880 (s)  </t>
  </si>
  <si>
    <t>Penggunaan Aplikasi Kuis Online untuk Pelaksanaan Test</t>
  </si>
  <si>
    <t xml:space="preserve">Sonia Pratama        </t>
  </si>
  <si>
    <t xml:space="preserve">Efisiensi pembuatan daily report RM            </t>
  </si>
  <si>
    <t xml:space="preserve">Proses membuat daily report RBA membutuhkan waktu yang lama            </t>
  </si>
  <si>
    <t>7.      Save dan kirim Daily Report RBA 3s</t>
  </si>
  <si>
    <t xml:space="preserve">Mengefisiensi proses pembuatan daily report RBA            </t>
  </si>
  <si>
    <t xml:space="preserve">- Filter dilakukan secara manual untuk masing-masing data         </t>
  </si>
  <si>
    <t xml:space="preserve">Mengganti proses filter untuk perhitungan daily report RBA menggunakan macro            </t>
  </si>
  <si>
    <t xml:space="preserve">0            </t>
  </si>
  <si>
    <t>Proses Efisiensi Rekap Data Penjadwalan Kurir BES Return</t>
  </si>
  <si>
    <t>efisiensi proses upload foto hasil Qc di RMA dan di subtask Pengecekan Barang Retur di CM</t>
  </si>
  <si>
    <t>Efisiensi Proses Follow up Bukti Pick Up Logistik</t>
  </si>
  <si>
    <t xml:space="preserve">Eka Rizky Kurniawan                </t>
  </si>
  <si>
    <t>4.Belum include insurance retur ke origin</t>
  </si>
  <si>
    <t xml:space="preserve">0                  </t>
  </si>
  <si>
    <t>Deny Irawan</t>
  </si>
  <si>
    <t xml:space="preserve">1. HUB Brebek melakukan Pickup paket Kalog di Pasarturi dengan armada mobil. 2.Kondisi lalu lintas sangat memperngaruhi tercapainya target ketepatan waktu pengiriman. 3. Lewat jalur Tol merupakan salah satu cara untuk memenuhi target ketepatan waktu pengiriman ketepatan waktu pengiriman. 4.Namun tidak selalu jalur Tol dapat mempercepat perjalanan, terutama Tol Panjang dimana kurir harus melalui beberapa Gerbang Tol. 5.Jika terjadi hambatan, kurir harus mampu membaca situasi dan mencari alternatif jalur perjalanan yang lain agar waktu tidak banyak terbuang      </t>
  </si>
  <si>
    <t xml:space="preserve">1.Kurir melakukan perjalanan melalui Tol. 2.Perjalanan mengikuti kondisi lalu lintas yang ada. 3.Biaya mengikuti jalur yang ditempuh di Tol      </t>
  </si>
  <si>
    <t xml:space="preserve">1.kurir mendapatkan alternatif jalur perjalanan yang lain. 2.jarak &amp; waktu tempuh dipastikan setara. 3.mendapatkan efisiensi Biaya      </t>
  </si>
  <si>
    <t xml:space="preserve">1. Lewat jalur Tol merupakan salah satu cara untuk memenuhi target ketepatan waktu pengiriman. 2.Namun tidak selalu jalur Tol dapat mempercepat perjalanan, terutama Tol Panjang, dimana kurir harus melalui beberapa Gerbang Tol. 3.Jika terjadi hambatan, kurir harus mampu membaca situasi dan mencari alternatif jalur perjalanan yang lain agar waktu tidak banyak terbuang      </t>
  </si>
  <si>
    <t xml:space="preserve">1.Jika kondisi Tol padat , kurir mendapatkan alternatif jalur perjalanan yang lain. 2.jarak &amp; waktu tempuh dipastikan setara. 3.keluar dari gerbang Tol tertentu. 4. 3 hari dalam seminggu dapat menggunakan jalur alternatif. 5.Efisiensi Biaya      </t>
  </si>
  <si>
    <t xml:space="preserve">0      </t>
  </si>
  <si>
    <t xml:space="preserve">rahadyansyah </t>
  </si>
  <si>
    <t xml:space="preserve">Pengukuran volumetrik paket dengan menggunakan Mica Box   </t>
  </si>
  <si>
    <t xml:space="preserve">Saat ini pengukuruan volumetrik paket hanya dengan menggunakan Measuring Tape dan memakan waktu yang lama   </t>
  </si>
  <si>
    <t xml:space="preserve">'- Dalam sehari paket yang diukur mencapai ± 40 paket, maka waktu yang dihabiskan adalah 40 x 10 detik = 4000 detik = 66.67 menit. (Dalam 30 hari mencapai 2000 menit) </t>
  </si>
  <si>
    <t xml:space="preserve">Melakukan pengukuran dimension (P,L,T) dengan Mica Box diharapkan dapat reduce waktu mencapai 50% per paket   </t>
  </si>
  <si>
    <t xml:space="preserve">Masih memakan waktu lama ketika pengukurun dimension 1 paket harus selalu menarik pita ukur Measuring Tape untuk mendapatkan nilai angka (P,L,T)  </t>
  </si>
  <si>
    <t xml:space="preserve">Membuat Mica Box sebagai alat ukur dimension paket agar mempercepat waktu proses untuk dapatkan nilai angka (P,L,T) per paket   </t>
  </si>
  <si>
    <t>Saving waktu per bulan ( 22 HK) : 4400 detik = 1 jam 13 menit</t>
  </si>
  <si>
    <t xml:space="preserve">Masih akan melakukan upgrate alat ukur Mica Box agar dapat digunakan untuk pengukuran paket dengan P,L, dan T lebih dari 30 cm   </t>
  </si>
  <si>
    <t>Simplify process of Marine Cargo's Claim </t>
  </si>
  <si>
    <t xml:space="preserve">Vilia Sylvia; Rommy Putra Gazali; Raimi Noor    </t>
  </si>
  <si>
    <t xml:space="preserve">Efisiensi Pencarian Lokasi Putaway    </t>
  </si>
  <si>
    <t xml:space="preserve">Lamanya proses pencarian lokasi untuk putaway    </t>
  </si>
  <si>
    <t xml:space="preserve">Proses putaway membutuhkan waktu 32.596 detik atau sekitar 9 jam 3 menit per harinya    </t>
  </si>
  <si>
    <t xml:space="preserve">Mempercepat proses putaway sebanyak 20%    </t>
  </si>
  <si>
    <t xml:space="preserve">Pencarian lokasi kosong dengan cara berkeliling gudang    </t>
  </si>
  <si>
    <t xml:space="preserve">Penggunaan makro untuk menentukan lokasi putaway    </t>
  </si>
  <si>
    <t xml:space="preserve">Setelah menggunakan makro, waktu yang dibutuhkan untuk melakukan proses putaway adalah 22.948 detik atau 6 jam 22 menit    </t>
  </si>
  <si>
    <t>Saving per bulan dalam IDR = IDR 1.920.000</t>
  </si>
  <si>
    <t xml:space="preserve">Discuss with IT untuk menaikkan fitur ini di Stockholm    </t>
  </si>
  <si>
    <t xml:space="preserve">Satrio Wibiseno; Ferdi Ferdi; Muhammad Rizki G; Vilia Sylvia; Aenul Hakim        </t>
  </si>
  <si>
    <t xml:space="preserve">Efisensi Proses handover Produk Gosend        </t>
  </si>
  <si>
    <t xml:space="preserve">Lamanya proses handover produk Gosend        </t>
  </si>
  <si>
    <t xml:space="preserve">Dibutuhkan waktu selama 7.16 Menit, 19 proses kerja dan jarak tempuh hingga 71 langkah untuk proses handover produk Gosend        </t>
  </si>
  <si>
    <t xml:space="preserve">Mengurangi rata-rata waktu yang dibutuhkan untuk proses handover dari 7.16 menit per paket Gosend menjadi hanya 3.38 menit  (reduce 50%)        </t>
  </si>
  <si>
    <t xml:space="preserve">Jauhnya jarak antara meja outbound, lokasi penempatan produk dan meja security menjadi salah satu penyebab lamanya serah terima produk Gosend        </t>
  </si>
  <si>
    <t xml:space="preserve">Merubah layout area kerja untuk produk Gosend menjadi one pieces flow        </t>
  </si>
  <si>
    <t>*untuk proses 1 paket Gosend</t>
  </si>
  <si>
    <t>3. benefit lainnya adalah bentuk layout tempat kerja lebih baik dan one pieces flow</t>
  </si>
  <si>
    <t xml:space="preserve">Monitoring layout area kerja dan kecepatan proses handover untuk di analisa apakah masih bisa diimproved kembali        </t>
  </si>
  <si>
    <t xml:space="preserve">Didik Suprianto   </t>
  </si>
  <si>
    <t xml:space="preserve">Efisiensi Picking Produk KKE     </t>
  </si>
  <si>
    <t xml:space="preserve">Posisi storage produk KKE terdapat di berbagai tempat     </t>
  </si>
  <si>
    <t xml:space="preserve">Perhitungan waktu PP - GIN dilakukan dari bulan Nov-17 sampai Feb-18     </t>
  </si>
  <si>
    <t xml:space="preserve">Increase PP-GIN time up to 50%     </t>
  </si>
  <si>
    <t>4. Space kurang terutilisasi dengan baik</t>
  </si>
  <si>
    <t xml:space="preserve">Peletakan SKU-SKU KKE ke satu tempat saling berdekatan.   </t>
  </si>
  <si>
    <t xml:space="preserve">1. Savings up to 65% waktu mulai dari Pick Package sampai GIN   </t>
  </si>
  <si>
    <t xml:space="preserve">Monitoring untuk memastikan area gampang untuk picking.   </t>
  </si>
  <si>
    <t>Aditia Mardani
Ervien Suseno
Piping Christiawan</t>
  </si>
  <si>
    <t>Penanganan khusus GOSEND &amp; Expres</t>
  </si>
  <si>
    <t>Order GOSEND dan Express jauh dar I target KPI
Orderan Gosend dan express di perlakukan seperti orderan biasa</t>
  </si>
  <si>
    <t xml:space="preserve">Saat ini belum ada waktu actual dalam proses. Mulai dari QC submit sampai GIN. Di karenakan berkaitan dengan kedatangan driver GOSEND untuk pick up barang. 
</t>
  </si>
  <si>
    <t>Dengan metode penanganan khusus ini, diharapkan akan tercapainya KPI 2018
Dengan Follow up secara rutin Driver datang lebih cepat, dan pencapaian Target KPI lebih terpenuhi</t>
  </si>
  <si>
    <t>Mempersingkat proses orderan khusus GOSEND dan express
Agar setiap orderan GOSEND dan express mendapatkan perhatian dan penanganan khusus</t>
  </si>
  <si>
    <t>Picker menggunakan container Hijau khusus orderan GOSEND dan Express
QC memprioritaskan orderan yang menggunakan container Hijau
QC membungkus dengan tanda Khusus GOSEND dan Express
Outbound segera memproses paket dengan tanda khusus GOSEND dan express
Khusus Express outbound langsung proses serah terima
Khusus GOSEND outbound meletakkan pada rak khusus yang setiap selvingnya sudah tertempel nomor
Belakang AWB. Dan menggeser kartu Jam pada depan paket</t>
  </si>
  <si>
    <t>Dengan diberlakukanya cara ini, lebih menghemat waktu 58%
Jika saja ada support untuk memfollowup ke pihak driver maka akan lebih cepat lagi prosesnya</t>
  </si>
  <si>
    <t>Mensosialisasikan program kaizen ini kepada PIC Gosend dan tim outbound agar dijalankan supaya KPI order gosend menjadi lebih baik.</t>
  </si>
  <si>
    <t xml:space="preserve">Johan Wahyudi                </t>
  </si>
  <si>
    <t xml:space="preserve">Efisiensi Tempat Penyimpanan Sementara/Gudang Transit Paket UNDEL Regular                        </t>
  </si>
  <si>
    <t xml:space="preserve">Lokasi penyimpanan paket UNDEL Regular berada di LT.1 sedangkan proses inbound dan outbound paket UNDEL Regular di LT.2 sehingga kurang efisiensinya proses penyimpanan dan pengerjaan paket UNDEL Regular                        </t>
  </si>
  <si>
    <t xml:space="preserve">Total Biaya yang dikeluarkan manhour dan Electricity Utility charges = 20.160.830   </t>
  </si>
  <si>
    <t xml:space="preserve">Mempercepat proses penyimpanan sementara dan pengerjaan paket retur UNDEL Regular sebesar 50%                        </t>
  </si>
  <si>
    <t xml:space="preserve">Lokasi penyimpanan paket UNDEL Regular berada di LT.1 sedangkan proses inbound dan outbound paket UNDEL Regular di LT.2                         </t>
  </si>
  <si>
    <t xml:space="preserve">Memindahkan tempat penyimpanan sementara paket retur UNDEL regular ke lantai 1                         </t>
  </si>
  <si>
    <t xml:space="preserve">0                        </t>
  </si>
  <si>
    <t xml:space="preserve">Dengan memindahkan tempat penyimpanan dari Lantai 2 ke Lantai 1 sehingga menghilangkan proses penggunaan lift yang dapat menghemat waktu proses sampai manhour sebanyak 50 Jam / Tahun, Biaya Penggunaan listrik + Rp 16 Juta / Tahun                 </t>
  </si>
  <si>
    <t xml:space="preserve">Mensosialisasikan program kaizen ini kepada seluruh tim agar dapat secara terus menerus melakukan continues improvement di area kerja inbound &amp; outbound Warehouse Return                        </t>
  </si>
  <si>
    <t xml:space="preserve">Al hadid Lubis Dhanu Ardian SaputraChandra Irwansyah Zebua Okto Billi       </t>
  </si>
  <si>
    <t xml:space="preserve">Efisiensi Penggunaan Material Kertas Pada Laporan Draft GIN       </t>
  </si>
  <si>
    <t xml:space="preserve">Banyak material kertas untuk print draft GIN yang terbuang jika orderan sudah di pick up.       </t>
  </si>
  <si>
    <t>Data before diperoleh dari bulan November 2017 sampai dengan Februari 2018</t>
  </si>
  <si>
    <t xml:space="preserve">Mengefisiensikan penggunaan material kertas pada laporan draft GIN       </t>
  </si>
  <si>
    <t xml:space="preserve">Banyak nya kertas yang terbuang setelah orderan di pick-up oleh masing-masing logistik. - Banyaknya kertas yang tercetak dikhawatirkan akan membuat bingung karyawan outbound       </t>
  </si>
  <si>
    <t xml:space="preserve">Improvement yang dilakukan adalah:  Membuat label nama logistic di setiap keranjang/palet sehingga tidak perlu lagi malakukan aktifitas print kertas Draft GIN sehingga dapat menghemat kertas secara keseluruhan.       </t>
  </si>
  <si>
    <t xml:space="preserve">Dari data after diperoleh improvisasi yang dilakukan    </t>
  </si>
  <si>
    <t xml:space="preserve">Dengan adanya improvement ini maka benefit yang dihasilkan adalah outbound warehouse medan tidak menggunakan material kertas lagi pada saat melakukan draft GIN.       </t>
  </si>
  <si>
    <t xml:space="preserve">Activity yang dilakukan selanjutnya adalah melanjutkan improvement yang telah dilakukan.       </t>
  </si>
  <si>
    <t xml:space="preserve">Laila Masrifah   </t>
  </si>
  <si>
    <t xml:space="preserve">Reduce waktu pengerjaan Complaint Go-send (Belum Pick Up) di Weekend        </t>
  </si>
  <si>
    <t>- Sebagian MP ada yang buka Toko pada weekend</t>
  </si>
  <si>
    <t xml:space="preserve">Total Distance 39       </t>
  </si>
  <si>
    <t xml:space="preserve">- meningkatkan proses pengiriman tanpa ada kendala di hari weekend   </t>
  </si>
  <si>
    <t xml:space="preserve">- produk customer yg kendala hanya bisa berjalan kembali jika ada proses triger </t>
  </si>
  <si>
    <t xml:space="preserve">- Melakukan sosialisasi ke All XO utk Go-Send menjadi prioritas pada weekend (sosialisasi pada saat briefing)      </t>
  </si>
  <si>
    <t xml:space="preserve">Total Distance 31       </t>
  </si>
  <si>
    <t xml:space="preserve">Penghematan sebesar 90% atau 173220 sec (2887 menit / 2 hari ) per 1 casemgmt / 1 XO        </t>
  </si>
  <si>
    <t xml:space="preserve"> lebih memantau cm gosend di waktu weekend dengan tujuan mengurangi angka complain di hari weekend        </t>
  </si>
  <si>
    <t>Pembuatan Training Request Oline &amp; Training Timeline Online</t>
  </si>
  <si>
    <t xml:space="preserve">Simplify Abusive Saving Calculation Process (Campaign ID)    </t>
  </si>
  <si>
    <t xml:space="preserve">manual process for every campaign ID used    </t>
  </si>
  <si>
    <t xml:space="preserve">manual process for every campaign ID used : 1 campaign ID need 1 hour processing time    </t>
  </si>
  <si>
    <t xml:space="preserve">1 click for many campaign ID    </t>
  </si>
  <si>
    <t>different rules for every campaign</t>
  </si>
  <si>
    <t xml:space="preserve">create macro for calculating the saving    </t>
  </si>
  <si>
    <t xml:space="preserve">manual process for every campaign ID used : many campaign ID need 5 min processing time    </t>
  </si>
  <si>
    <t>Efisiensi Proses Putaway Fisik Produk Sentwh di Warehouse Return</t>
  </si>
  <si>
    <t>reducing the printing process of QC general report documents</t>
  </si>
  <si>
    <t>Proses Efisiensi Penggunaan Kertas untuk Meeting Performance Logistic</t>
  </si>
  <si>
    <t>Roji</t>
  </si>
  <si>
    <t xml:space="preserve">1.Customer manipulasi kodepos agar mendapatkan free ongkir ; 2. Blibli mengeluarkan biaya tambahan untuk meretur paket tersebut; 3. Blibli kehilangan sales karena customer meminta refund    </t>
  </si>
  <si>
    <t xml:space="preserve">1.Pengiriman paket retur ke WHS Cawang karena customer meminta refund. Dapat dilihat CM-424076357 &amp; CM-424079048 Hub Medan retur barang ke Cawang disebabkan karena customer meminta refund sebesar 11 Kg. Pengiriman 1 Kg dari KNO - CGK = Rp 10,250 sehingga Blibli mengeluarkan biaya untuk meretur barang tersebut sebesar 11 Kg x Rp 10,250 = Rp 112,750; sedangkan biaya BBM kurir Motor yang melakukan delivery ke customer dengan jarak tempuh 30 KM hanya Rp 7,600    </t>
  </si>
  <si>
    <t xml:space="preserve">1.Mengurangi cost sebesar Rp 2,500 / Kg; 2. Blibli tidak kehilangan sales; 3. Kepuasan customer    </t>
  </si>
  <si>
    <t xml:space="preserve">1.Customer memanipulasi kodepos; 2. Biaya pengiriman barang retur ke WHS Cawang besar karena harus via udara    </t>
  </si>
  <si>
    <t xml:space="preserve">1.Daerah diluar area coverage BES Medan yang bersebelahan / berbatasan dengan Medan Barat, Timur dan Selatan dengan radius maksimal 15 KM akan tetap di delivery BES Medan; 2. Untuk Area yang lebih dari 15 KM dari perbatasan kota Medan akan ditawarkan opsi mengambil paket ke kantor Blibli Medan dengan syarat wajib orang yang bersangkutan (tidak dapat diwakilkan) dan wajib menunjukkan KTP    </t>
  </si>
  <si>
    <t xml:space="preserve">1. Data Before : Pengiriman diluar Area Coverage selama 6 bulan terakhir : 11 Kg, Biaya yang dikeluarkan untuk retur barang ke WHS Cawang : 11 x Rp 10,250 = Rp 112,750 ; 2.Data After : Dengan improvement yang dilakukan, biaya yang dikeluarkan delivery ke customer dengan jarak tempuh 15 KM hanya : 7,800 untuk satu kali pengantaran    </t>
  </si>
  <si>
    <t xml:space="preserve">Reduce Biaya yang diperoleh dengan skema / SOP yang baru : Rp 104,950/ 6 Bulan    </t>
  </si>
  <si>
    <t xml:space="preserve">1.Menjalankan sekema / SOP baru tersebut mulai April '18 ; 2. Melakukan briefing kepada operator Hub mengenai skema / SOP baru tersebut    </t>
  </si>
  <si>
    <t>Joko Susilo</t>
  </si>
  <si>
    <t xml:space="preserve">1.Paket untuk tujuan customer Surabaya &amp; Jakarta diterima dari :Merchant Partner, Warehouse Brebek. 2.Paket tujuan HUB Angke dikirim melalui Kalog. 3.Paket melalui Kalog  harus dilakukan Dropping di Stasiun Pasar Turi Surabaya. 4.Dropping Paket Kalog di Pasar Turi dilakukan setiap hari Senin-Jumat (5 hari kerja). 5.Dropping Paket Kalog di Stasiun Pasarturi dilakukan oleh Personel HUB Brebek      </t>
  </si>
  <si>
    <t xml:space="preserve">1.Belum dapat menentukan dimensi &amp; berat barang dari hasil PU MP maupun Warehouse sampai dengan jam 16.30, sehingga belum dapat  memperkirakan kebutuhan jenis Armada yang diperlukan untuk Pick Up. 2.Menyiapkan jenis armada berdasarkan data berat di Manifest, sedangkan dimensi belum dapat dipastikan, sehingga memungkinkan jenis armada yang dikirim tidak sesuai. 3.Komponen Biaya Pick Up Paket kalog      </t>
  </si>
  <si>
    <t xml:space="preserve">1.Mengirimkan jenis Armada yang pasti sesuai dengan jumlah &amp; dimensi barang untuk Dropping. 2.Efisiensi Biaya       </t>
  </si>
  <si>
    <t xml:space="preserve">1.Armada yang digunakan oleh HUB Brebek untuk Dropping Paket Kalog di Stasiun Pasartur menyesuaikan dengan jumlah &amp; dimensi koli. 2. Jika paket =&lt; 2 Koli &amp; berdimensi kecil (standard muatan motor) maka Dropping menggunakan motor, dengan mengirim 2 maksimal kurir. 3.Jika paket &gt; 2 Koli  atau berdimensi besar maka Dropping menggunakan mobil      </t>
  </si>
  <si>
    <t xml:space="preserve">1.penggunaan jenis armada yg sesuai untuk Dropping. 2.Efisiensi Biaya       </t>
  </si>
  <si>
    <t xml:space="preserve">1.Pengurangan rit menggunakan mobil. 2.Penambahan rit menggunakan motor      </t>
  </si>
  <si>
    <t xml:space="preserve">1.Sudah dapat menentukan jenis armada sebelum Dropping karena sudah diketahui dimensi Paket dari hasil PU MP dan barang WH. 2.Persiapan &amp; pemberangkatan armada dapat dilakukan lebih awal dan lebih cepat. 3.Efisiensi biaya sebesar 18 % per minggu      </t>
  </si>
  <si>
    <t xml:space="preserve">1. Mencari jalur alternatif untuk efisensi biaya tol, dengan jarak &amp; waktu tempuh yg setara. 2.Memperkecil dimensi packaging jika paket hanya 1 koli, agar barang bisa diangkut oleh motor. 3.Efisiensi biaya, waktu &amp; tenaga      </t>
  </si>
  <si>
    <t xml:space="preserve">Satya Putra   </t>
  </si>
  <si>
    <t xml:space="preserve">Efisiensi Jarak tempuh dan Biaya BBM untuk Delivery Paket dan Pickup ke area Kab.Bandung   </t>
  </si>
  <si>
    <t xml:space="preserve">Dengan adanya penambahan coverage area ke wilayah Kab.Bandung, maka Delivery paket ataupun Pickup Merchant ke area tersebut memakan jarak tempuh yang lebih jauh dan pengularan BBM yang lebih dibandingkan dengan coverage ke area Kota Bandung   </t>
  </si>
  <si>
    <t xml:space="preserve">Saat ini opsi Delivery paket dan Pickup Merchant ke area Kab.Bandung dengan menggunakan 2 armada motor atau 1 armada mobil.   </t>
  </si>
  <si>
    <t xml:space="preserve">Reduce waktu dan biaya dalam satu bulan  </t>
  </si>
  <si>
    <t>Jarak yang jauh dan waktu tempuh yang relatif lama apabila Pickup menggunakan armada motor (sedangkan paket akan Linehaul ke Jakarta +- pkl 17.00 WIB)</t>
  </si>
  <si>
    <t xml:space="preserve">Pemilihan armada yang tepat untuk sekaligus melakukan Delivery ke area Kota Bandung dan Pickup Merchant ke area Kab.Bandung   </t>
  </si>
  <si>
    <t xml:space="preserve">Reduce biaya BBM Mobil dan TOL </t>
  </si>
  <si>
    <t xml:space="preserve">Reduce jarak tempuh mencapai 28 % </t>
  </si>
  <si>
    <t xml:space="preserve">Masih akan melakukan review dan analisa waktu tempuh yang didapat agar bisa lebih cepat dengan mempertimbangkan Quantity dan Dimensi Paket Pickup Merchant apabila overload   </t>
  </si>
  <si>
    <t>Increase efficiency of putaway process for fashion products</t>
  </si>
  <si>
    <t>Dannu Permana
Indra Gunawan</t>
  </si>
  <si>
    <t>PENGHEMATAN PENGGUNAAN KERTAS PADA PROSES PRINTOUT BERKAS INBOUND</t>
  </si>
  <si>
    <t>Printout yang dilakukan hanya untuk 1 jenis berkas (Checklist Form, GR Form, GRN Form).</t>
  </si>
  <si>
    <t>Penghematan kertas pada printout Inbound</t>
  </si>
  <si>
    <t>Pembuatan printout sesuai dengan file menyebabkan terdapat area kosong yang dapat dimanfaatkan, pada area tersebut masih available untuk printout file yang lainnya sehingga kertas dapat digunakan secara maksimal.</t>
  </si>
  <si>
    <t>Printout 2 jenis file pada 1 kertas dengan syarat printout tidak lebih dari 1 halaman</t>
  </si>
  <si>
    <t>Penghematan sebesar 33% untuk setiap printout berkas yang digunakan sebagai arsip Inbound.</t>
  </si>
  <si>
    <t>Memanfaatkan proses tersebut untuk proses printout yang dapat disatukan</t>
  </si>
  <si>
    <t xml:space="preserve">Muhammad Sofri Umri Umri Hendra       </t>
  </si>
  <si>
    <t xml:space="preserve">Efisiensi Waktu Kerja Putaway       </t>
  </si>
  <si>
    <t xml:space="preserve">Proses putaway dengan menggunakan M-tik tidak efektif. - Alat putaway (M-tik) sering mengalami gangguan. - Terjadinya ketidaksinkronan data saat proses scan produk ke storage. - Rentan terjadinya kesalahan pada saat scan produk. - Rentan terjadinya kesalahan pada saat scan storage.       </t>
  </si>
  <si>
    <t xml:space="preserve">Data diambil berdasarkan PO dengan nomor OPT/IR/2/V-2017/0853.    </t>
  </si>
  <si>
    <t xml:space="preserve">Mengefisiensikan waktu kerja pada proses putaway       </t>
  </si>
  <si>
    <t xml:space="preserve">Menggunakan M-tik pada proses putaway menjadi tidak efektif dikarenakan: - Terjadinya ketidaksinkronan data pada proses scan produk ke storage. - Scan produk dilakukan satu per satu sehingga memakan waktu lama.       </t>
  </si>
  <si>
    <t xml:space="preserve">Improvisasi yang dilakukan untuk mengifisiensikan waktu putaway adalah: - Mengelompokkan produk berdasarkan SKU dan quantity yang ada di PO. - Menempatkan produk yang telah di sortir pada proses checker ke storage secara langsung. - Memproses putaway pada stockholm dengan cara melakukan putaway manual tanpa menggunakan M-tik.       </t>
  </si>
  <si>
    <t xml:space="preserve">Data diambil berdasarkan PO dengan nomor MCT/CF1/1711/10268.  </t>
  </si>
  <si>
    <t>Jika dikonversikan menjadi waktu atau rupiah menjadi 34 jam 28 menit atau 827.280</t>
  </si>
  <si>
    <t xml:space="preserve">Setelah dilakukan improvement dan diperoleh efisiensi waktu kerja putaway, maka aktivitas yang dilakukan selanjutnya adalah dengan tidak menggunakan M-tik dan melakukan kegiatan putaway secara manual.       </t>
  </si>
  <si>
    <t xml:space="preserve">Mansur Nawawi   </t>
  </si>
  <si>
    <t>Pembuatan Form Online untuk Pengajuan Tukar Jadwal &amp; Cuti (berlaku untuk semua divisi di CM yang menggunakan sistem shifting)</t>
  </si>
  <si>
    <t xml:space="preserve">2. Penggunaan kertas dan tinta printer jika menggunakan proses manual    </t>
  </si>
  <si>
    <t xml:space="preserve">Saat ini ada 2 macam test yang dilakukan oleh team BC yaitu Monthly Knowledge Test dan Pre &amp; Post test untuk Refreshment Training :     </t>
  </si>
  <si>
    <t xml:space="preserve">4. Meniadakan penggunaan kertas dan tinta printer karena test dilakukan secara online  </t>
  </si>
  <si>
    <t xml:space="preserve">1. Meniadakan proses koreksi secara manual     </t>
  </si>
  <si>
    <t xml:space="preserve">Pelaksanaan knowledge test dilakukan secara manual sehingga proses koreksi dan rekapnya cukup menyita waktu     </t>
  </si>
  <si>
    <t>Total waktu yang diperlukan adalah 30 menit</t>
  </si>
  <si>
    <t xml:space="preserve">Maka jika penghematan waktu tersebut di-konversi menjadi nominal uang, dengan standar 1 jam = Rp 30.000, sehingga ada penghematan sebesar 13,05 x 30.000 = Rp 391,500 per bulan  </t>
  </si>
  <si>
    <t xml:space="preserve">Penggunaan aplikasi online ini masih akan terus dilakukan dan dapat dilakukan penggantian aplikasi sesuai kebutuhan     </t>
  </si>
  <si>
    <t>Megawati</t>
  </si>
  <si>
    <t xml:space="preserve">penggunaan template email untuk agent XOC dan XOR      </t>
  </si>
  <si>
    <t xml:space="preserve">3. antrian case yang harus di konfirmasi ke cust    </t>
  </si>
  <si>
    <t xml:space="preserve">dalam proses outgoing email dan reply email ke cust rata2 XOC atau XOR membutuhkan waktu 8-10 menit sampai email di kirim ke cust  </t>
  </si>
  <si>
    <t xml:space="preserve">4. tidak ada jargon2 pribadi yang di gunakan   </t>
  </si>
  <si>
    <t xml:space="preserve">konfirmasi via email di lakukan jika cust tidak dapat di hubungi melalui telp      </t>
  </si>
  <si>
    <t xml:space="preserve">meyiapkan template email untuk case yang sering terjadi dan terus menambah template untuk semua case      </t>
  </si>
  <si>
    <t>Sapta</t>
  </si>
  <si>
    <t>Efektivitas penggunaan fitur Catatan pengiriman di website dan aplikasi untuk mengurangi request penambahan instruksi pengiriman</t>
  </si>
  <si>
    <t>Efisiensi Proses Rekap Data Installment</t>
  </si>
  <si>
    <t>Proses merekap data installment yang dikirimkan oleh Payment Gateway dilakukan manual dan membutuhkan waktu yang lama</t>
  </si>
  <si>
    <t>Return Management 1</t>
  </si>
  <si>
    <t>Efisiensi Pengerjaan Request Pick Up</t>
  </si>
  <si>
    <t>Return Management 2</t>
  </si>
  <si>
    <t>Efisiensi Pengerjaan Request ke Logistik Partner (Pengiriman ke Merchant, Pengiriman ke Customer, Pick Up Customer 2x sehari)</t>
  </si>
  <si>
    <t>Budi Winoto</t>
  </si>
  <si>
    <t xml:space="preserve">1.Operator BES Medan harus melakukan kegiatan yang sama berulang - ulang; 2. Pemborosan waktu untuk melakukan rekap data    </t>
  </si>
  <si>
    <t xml:space="preserve">1 (Satu) hari : 3 x 60 detik : 180 detik/ Hari ; 1 (Satu) Bulan : 180 detik x 30 Hari : 5400 detik = 90 Menit / Bulan  </t>
  </si>
  <si>
    <t xml:space="preserve">Proses rekapan data pickup MP hanya membutuhkan waktu 30 detik / AWB    </t>
  </si>
  <si>
    <t xml:space="preserve">1.Operator BES Medan harus melakukan kegiatan yang sama berulang - ulang; 2. Data tidak tersimpan di satu file    </t>
  </si>
  <si>
    <t xml:space="preserve">Membuat dan menjalankan program makro untuk memudahkan operator hub menyimpan data di satu file dan tidak melakukan kegiatan yang berulang - ulang    </t>
  </si>
  <si>
    <t xml:space="preserve">Setelah menggunakan makro, input data pickup MP mengalami reduce menjadi 30 detik/ AWB dan sebulan dapat reduce 45 Menit    </t>
  </si>
  <si>
    <t xml:space="preserve">Perhitungannya : 1 (Satu) hari : 3 x 30 detik : 90 detik/ Hari ; 1 (Satu) Bulan : 90 detik x 30 Hari : 2700 detik = 45 Menit / Bulan    </t>
  </si>
  <si>
    <t xml:space="preserve">Monitoring penggunaan makro untuk input data pickup MP agar operator Hub terbiasa menggunakan makro    </t>
  </si>
  <si>
    <t xml:space="preserve">Bambang Eko Rahardjo
Ferdi Ferdi
</t>
  </si>
  <si>
    <t>Perubahan Sistem shifting untuk fulfillment</t>
  </si>
  <si>
    <t>Pembagian jumlah personel yang tidak merata di tiap shift
Penyesuaian jumlah manpower dengan jumlah order yang muncul
Ada penumpukan manpower beberapa jam</t>
  </si>
  <si>
    <t>Saving 2 Manpower per bulan</t>
  </si>
  <si>
    <t xml:space="preserve">Berlis Digo Simanjuntak Saiful Amri Arvin Faisal Pohan Hasanuddin </t>
  </si>
  <si>
    <t>di area Storage</t>
  </si>
  <si>
    <t xml:space="preserve">Jadwal kebersihan setiap 1 minggu untuk 1 Lorong masih kurang efektif. - Penumpukan debu pada bin </t>
  </si>
  <si>
    <t>Jadwal kebersihan mingguan biasanya dilaksanakan setiap hari jumat pada jam 13.30 – 14.00</t>
  </si>
  <si>
    <t xml:space="preserve">Menjaga kebersihan produk dan area storage  </t>
  </si>
  <si>
    <t xml:space="preserve">Rak atau bin yang kosong sering ditemukan berdebu. - Kemasan produk yang ada dalam storage juga masih berdebu. - Pembagian tugas kebersihan kurang merata  </t>
  </si>
  <si>
    <t xml:space="preserve">Membuat jadwal kebersihan baru dengan waktu seminggu sekali namun mencakup 2 Lorong setiap minggunya.- Menambah jumlah karyawan yang ikut tugas kebersihan setiap minggunya. - Menambah jam kebersihan setiap minggunya dari setengah jam menjadi 1 jam </t>
  </si>
  <si>
    <t xml:space="preserve">area lorong kebersihan menjadi lebih luas di banding dengan sebelumnya. - barang lebih bersih dari sebelumnya </t>
  </si>
  <si>
    <t xml:space="preserve">Benefitnya ialah terjaga kebersihan seluruh produk yang ada di warehouse medan. </t>
  </si>
  <si>
    <t xml:space="preserve">setelah dilakukan iprovment dan di peroleh area kebersihan di lorong lebih luas dan lebih bersih. </t>
  </si>
  <si>
    <t xml:space="preserve">Rika Amanda                      </t>
  </si>
  <si>
    <t xml:space="preserve">Efisiensi Waktu Proses Pengembalian Dana untuk Order Tiket Pesawat                          </t>
  </si>
  <si>
    <t xml:space="preserve">- Keluhan customer atas lamanya proses refund                        </t>
  </si>
  <si>
    <t xml:space="preserve">Periode tarikan data 01 Februari - 28 Februari 2018 total case 102 dengan rata-rata case close 7 hari  </t>
  </si>
  <si>
    <t xml:space="preserve">Mempercepat Waktu Proses Pengembalian Dana untuk Order Tiket Pesawat                          </t>
  </si>
  <si>
    <t xml:space="preserve">2. Setelah refund maskapai selesai, Proses refund masih menunggu antrian finance ( disesuaikan dengan metode pembayaran yang digunakan customer)                         </t>
  </si>
  <si>
    <t xml:space="preserve">Pengisian basic fare (harga dasar tiket) di kolom total refund amount agar dapat di proses refund oleh finance terlebih dahulu                          </t>
  </si>
  <si>
    <t xml:space="preserve">Periode tarikan data 01 Maret - 31 Maret 2018 total case 225 dengan rata-rata case close 5 hari    </t>
  </si>
  <si>
    <t xml:space="preserve">Kesimpulan : Akumulasi dana yang bisa di simpan sebesar 1.440.000              </t>
  </si>
  <si>
    <t xml:space="preserve">Implementasi proses ini pada order Tiket.com ketika XO Digital sudah mendapatkan akses untuk info basic fare di portal tiket.com.                          </t>
  </si>
  <si>
    <t>Karmila Karmila</t>
  </si>
  <si>
    <t xml:space="preserve">Penggunaan fitur "Pin Tab" pada google chrome untuk mempercepat proses kerja       </t>
  </si>
  <si>
    <t xml:space="preserve">Banyak nya waktu yang di butuh kan pada saat membuka aplikasi atau website dalam proses kerja       </t>
  </si>
  <si>
    <t xml:space="preserve">1. membutuh kan waktu lama untuk log in terlebih dahulu sebelum lakukan aktifitas kerja      </t>
  </si>
  <si>
    <t xml:space="preserve">Mempercepat proses membuka aplikasi atau web saat bekerja       </t>
  </si>
  <si>
    <t xml:space="preserve">3. kita hanya perlu log in saja untuk aplikasi tertentu karena fitur tersebut akan mengunci link website atau link aplikasi.   </t>
  </si>
  <si>
    <t xml:space="preserve">Penambahan Pin Tab pada Link program kerja      </t>
  </si>
  <si>
    <t xml:space="preserve">penghematan per bulan sebesar 17700 detik = 4.45 Jam     </t>
  </si>
  <si>
    <t xml:space="preserve">'Saat ini aplikasi pin tab masih dalam tahap pengembangan penggunaan dan akan di sosialisasikan ke seluruh Team XO       </t>
  </si>
  <si>
    <t xml:space="preserve">Novita Rahmawati   </t>
  </si>
  <si>
    <t>Eliminasi proses rekap manual overtime oleh team WF</t>
  </si>
  <si>
    <t xml:space="preserve">2.Slack memiliki keterbatasan dimana pesan cepat hilang sehingga ada kemungkinan data yang tidak masuk rekapan manual.        </t>
  </si>
  <si>
    <t xml:space="preserve">0         </t>
  </si>
  <si>
    <t xml:space="preserve">Meniadakan proses rekap manual overtime oleh team WF         </t>
  </si>
  <si>
    <t xml:space="preserve">7  </t>
  </si>
  <si>
    <t xml:space="preserve">Menggunakan form online untuk penginputan overtime         </t>
  </si>
  <si>
    <t>2.Jumlah penghematan adalah 7 jam, jika per jam nya adalah Rp. 30.000,- maka total penghematan adaah : 7 * Rp. 30.000,- = Rp. 210.000,-</t>
  </si>
  <si>
    <t xml:space="preserve">1.Terus melakukan explore terhadap hal-hal yang dapat di-improve         </t>
  </si>
  <si>
    <t>Return Management</t>
  </si>
  <si>
    <t xml:space="preserve">Annissa Meuthia Kasih DaulayYuni WidiasihDandy A. PutraAri KurniawanDicky Darmawan  </t>
  </si>
  <si>
    <t xml:space="preserve">Efisiensi Pembuatan Database Inbound Retur.  </t>
  </si>
  <si>
    <t xml:space="preserve">Inbound database dibuat menggunakan dua data yang berbeda, yaitu data dari RMA11 dan RMA12 di Jasper yang harus digabungkan menggunakan macro terlebih dahulu.  </t>
  </si>
  <si>
    <t xml:space="preserve">0  </t>
  </si>
  <si>
    <t xml:space="preserve">Mengurangi waktu pengerjaan database inbound sebesar 25%.  </t>
  </si>
  <si>
    <t>3. Pembuatan database inbound retur menjadi lama karena harus menggabungkan kedua data ini menggunakan macro terlebih dahulu.</t>
  </si>
  <si>
    <t xml:space="preserve">Penyesuaian collection database yang digunakan oleh RMA11 sehingga tidak perlu lagi menggunakan macro untuk menggabungkan data dengan RMA12.  </t>
  </si>
  <si>
    <t xml:space="preserve">Penggunaan Partner Logistic Zoomitnow untuk mengurangi waiting time dalam pengiriman BES  </t>
  </si>
  <si>
    <t xml:space="preserve">Lamanya waktu tunggu paket yang mau dikirim (reach destination hub) sampai Out For Delivery 1st ke customer di Hub Angke pada sore hari  </t>
  </si>
  <si>
    <t xml:space="preserve">Waktu proses dari barang masuk sampai dikirim oleh kurir (reach destination hub sampai Out For Delivery 1st ke customer) di Hub Angke adalah 9 jam 4 menit 45 detik per batch  </t>
  </si>
  <si>
    <t xml:space="preserve">Mengurangi waktu tunggu paket yang mau dikirim (reach destination hub sampai out for delivery 1st) menjadi 5000 detik  </t>
  </si>
  <si>
    <t xml:space="preserve">Belum ada kurir yang balik ke hub setelah trip sebelumnya sehingga paket yang diinward setelahnya, baru dikirim besok harinya  </t>
  </si>
  <si>
    <t xml:space="preserve">Adanya kurir dari Partner Logistic Zoomitnow yang mengirimkan sisa paket di sore harinya di Hub Angke  </t>
  </si>
  <si>
    <t xml:space="preserve">Waktu proses dari barang masuk sampai dikirim oleh kurir (reach destination hub sampai Out For Delivery 1st ke customer) di Hub Angke adalah 32 menit 57 detik per batch  </t>
  </si>
  <si>
    <t xml:space="preserve">Pengurangan waktu tunggu sebesar 100 % dari 9 jam 4 menit 45 detik menjadi 32 menit 57 detik per batch  </t>
  </si>
  <si>
    <t xml:space="preserve">Adanya penambahan kurir zoom di Hub Cilandak selain Hub Angke yang membutuhkan  </t>
  </si>
  <si>
    <t xml:space="preserve">Muhammad Sudibjo            </t>
  </si>
  <si>
    <t>2.Lion Parcel</t>
  </si>
  <si>
    <t xml:space="preserve">5.Untuk jadwal-jadwal critical pickup untuk SUB dan jadwal dari skema 3,4,5 harus di bisa diakomodir.      </t>
  </si>
  <si>
    <t xml:space="preserve">6.SLA Kalog Vs Lion Parcel    </t>
  </si>
  <si>
    <t xml:space="preserve">2.Mengurangi resiko kerusakan paket.            </t>
  </si>
  <si>
    <t xml:space="preserve">Untuk KALOG : ability nya di service skema 1 ,2 dan kemungkinan 3 jika bisa di push up.            </t>
  </si>
  <si>
    <t xml:space="preserve">- Home &amp; Living      </t>
  </si>
  <si>
    <t xml:space="preserve">0              </t>
  </si>
  <si>
    <t xml:space="preserve">dari biaya sebelumnya = Rp.1.884.004        </t>
  </si>
  <si>
    <t xml:space="preserve">2.Monitoring dan evaluasi di team Linehaul terkait minimalisir kerusakan dan tingkat penyampaian paket tersebut ( khusus TV, Home and Living).            </t>
  </si>
  <si>
    <t xml:space="preserve">Roji        </t>
  </si>
  <si>
    <t xml:space="preserve">Relayout Area Receiving BES Medan untuk mempercepat proses inward barang dari WHS atau MP Medan            </t>
  </si>
  <si>
    <t xml:space="preserve">Posisi timbangan,posisi PC Operator Hub dan laci penyimpanan yang jauh membuat proses inward barang dari WHS Medan menjadi lebih lama            </t>
  </si>
  <si>
    <t xml:space="preserve">Distance Traveled   </t>
  </si>
  <si>
    <t xml:space="preserve">2. Target waktu menjadi proses menjadi 100 detik           </t>
  </si>
  <si>
    <t xml:space="preserve">Pada layout area receiving BES Medan yang lama jarak timbangan yang jauh dengan meja PC operator hub dan laci penyimpanan scan barcode membuat proses transportasi menjadi lama            </t>
  </si>
  <si>
    <t xml:space="preserve">2.      Mendekatkan timbangan dengan meja PC operator HUB Medan        </t>
  </si>
  <si>
    <t xml:space="preserve">Berikut adalah foto layout terbaru receiving BES Medan :  </t>
  </si>
  <si>
    <t xml:space="preserve">2. Achivement Target 101 %           </t>
  </si>
  <si>
    <t xml:space="preserve">2. Brieifng ke operator hub agar layoutnya tetap seperti layout terbaru           </t>
  </si>
  <si>
    <t xml:space="preserve">Excel Macro     </t>
  </si>
  <si>
    <t xml:space="preserve">1.Entry data paket pickup dari Merchant yang setiap hari dilakukan memakan waktu yang cukup lama dengan excel manual. 2.Ada kondisi salah memasukan Nama atau kode MP karena di input manual. 3.Penulisan nama MP tidak Standart      </t>
  </si>
  <si>
    <t xml:space="preserve">31 x 64 s = 1.706 s = 28.44 M/ day = 142.2 m/week= 568.8 m/month    </t>
  </si>
  <si>
    <t xml:space="preserve">Mempermudah dan memperpersingkat waktu proses Entry data paket pickup Merchant hingga 31 % dari sebelumnya, dengan: 1. Penggunaan Excel-Macro dalam pengentrian data paket. 2.Menggunakan formulasi Ms. Excel untuk Look up data MP. 3.Penulisan nama MP menjadi baku      </t>
  </si>
  <si>
    <t xml:space="preserve">1. Waktu entry cukup lama. 2.Proses entry menggunakan template excel manual. 3.Input Nama MP &amp; Kode MP terkadang Salah. 4.Proses input diketik manual. 5. Penulisan Nama MP Tidak Standart. 6.Proses input diketik manual terkadang beda-beda penggunaan Huruf Kapital maupun Penulisan Ejaan nama MP      </t>
  </si>
  <si>
    <t xml:space="preserve">1.Penggunaan Macro Excel untuk entry Data Pickup Merchant Point. 2.Menggunakan formulasi by Ms. Excel untuk mengeliminasi kemungkinan salah memasukan Nama atau kode MP. 3.Penggunaan data Validasi untuk Standart penulisan nama MP      </t>
  </si>
  <si>
    <t xml:space="preserve">Proses pengecekan menjadi lebih simpel dari semula 4 kali proses menjadi hanya satu kali    </t>
  </si>
  <si>
    <t xml:space="preserve">1.Penghematan waktu 1.706s-1.232s=474s=7.9 m/day=39.5m/week=158m/month. 2.penghematan +/-  31%      </t>
  </si>
  <si>
    <t xml:space="preserve">1.Penyempurnaan tool/ formulasi lain agar lebih cepat, user friendly, smooth dan efisien. 2.Membuat Manual Procedure atau Work Instruction untuk proses sorting dan mapping      </t>
  </si>
  <si>
    <t xml:space="preserve">Galih Kartiwa          </t>
  </si>
  <si>
    <t xml:space="preserve">Sorting paket berdasar SLA Promise Customer untuk minimalisir complaint keterlambatan pengiriman            </t>
  </si>
  <si>
    <t xml:space="preserve">2.Banyaknya jumlah paket yang datang berdimensi,berat serta besar (Minyak,TV,Dispenser,Rak serbaguna,dll) dengan ketersediaan hanya 1 armada mobil blindvan di Hub Bandung untuk saat ini.         </t>
  </si>
  <si>
    <t xml:space="preserve">Flow Process Before :            </t>
  </si>
  <si>
    <t xml:space="preserve">Meminimalisir Complaint customer karena keterlambatan pengiriman paket            </t>
  </si>
  <si>
    <t xml:space="preserve">Dengan semakin banyaknya jumlah shipment(100-150 awb/hari) untuk pengiriman paket ke Kota dan Kab. Bandung,kadang terjadi pending pengiriman yang disebabkan oleh beberapa faktor seperti : Dimensi paket yang besar,berat dan banyak tidak sebanding dengan jumlah man power dan armada mobil yang ada.            </t>
  </si>
  <si>
    <t xml:space="preserve">Export data dari TMS, dan sort data dengan Excel pivot.           </t>
  </si>
  <si>
    <t xml:space="preserve">Crete PivotTable  </t>
  </si>
  <si>
    <t xml:space="preserve">Meminimalisir jumlah Case Keterlambatan Pengiriman BES karena sering terjadi real paket yang diterima dari Jakarta setiap harinya sudah melawati tanggal Max ETD dan harus diprioritaskan pengirimannya di hari itu juga.            </t>
  </si>
  <si>
    <t xml:space="preserve">Masih terus monitoring banyaknya Case keterlambatan pengiriman di setiap bulan setelah menggunakan system sorting ini.            </t>
  </si>
  <si>
    <t xml:space="preserve">Efisiensi pencatatan Summary Inbound Warehouse  </t>
  </si>
  <si>
    <t xml:space="preserve">Lamanya proses Admin Inbound merekap barang - barang yang sudah di GRN di summary Inbound ( copy Paste dari Data Stockholm ke Summary Inbound )  </t>
  </si>
  <si>
    <t>- tim TP dapat mandiri menarik report barang-barang yang sudah di GRN lewat Jasper ( STO046 - Inbound Report )  </t>
  </si>
  <si>
    <t xml:space="preserve">mensosialisasikan penarikan data inbound report barang-barang yang di GRN gudang ke tim TP ( STO046 - Inbound Report )  </t>
  </si>
  <si>
    <t xml:space="preserve">Dhanu Ardian Saputra Okto Billi Al hadid Lubis Chandra Irwansyah Zebua  </t>
  </si>
  <si>
    <t xml:space="preserve">Efisiensi waktu dengan pembentukan kotak packaging yang belum terpakai di WH Medan  </t>
  </si>
  <si>
    <t xml:space="preserve">Pembentukan kotak packaging barang Fast Moving dalam proses packing QC terlalu lama. Waktu packaging untuk barang Fast moving masih belum efisien  </t>
  </si>
  <si>
    <t xml:space="preserve">Dari hasil penghitungan rata-rata yang didapat adalah: Total order yang di packing pada Bulan April sebanyak 337 Order Item. Rata-rata waktu yang di gunakan dalam proses Packing adalah 5 menit 13 detik  </t>
  </si>
  <si>
    <t xml:space="preserve">Target yang diharapkan akan tercapai  dari scan container sampai weight capture, adalah di bawah dari 5 menit per order.  </t>
  </si>
  <si>
    <t xml:space="preserve">1. Pemilihan kotak yang akan digunakan untuk packingan memerlukan waktu. 2. Proses pembentukan kotak memerlukan waktu.  </t>
  </si>
  <si>
    <t xml:space="preserve">1. Membentuk kotak packingan yang sering digunakan untuk barang fast moving. 2. Menyusun kotak yg telah dibentuk di dekat area QC.  </t>
  </si>
  <si>
    <t xml:space="preserve">Dengan menggunakan metode pembentukan kotak packing terlebih dahulu waktu packing rata rata dari 190 orderan adalah 4 menit 49 detik di bulan mei.  </t>
  </si>
  <si>
    <t xml:space="preserve">dari perbandingan waktu sebelum dan sesudah metode ini di lakukan di dapat selisih waktu yang dapat di singkat adalah 5 menit 13 detik - 4 menit 49 detik = 64 detik. jika di kalikan total order yang diberlakukan metode ini, waktu yang di hemat adalah 190 x 64 detik = 12160 detik atau 202 menit atau 3 jam.  </t>
  </si>
  <si>
    <t xml:space="preserve">metode ini akan terus dilakukan, jika ada waktu kosong, QC akan membentuk kotak dan menyusunnya, sehingga proses picking jadi lebih cepat.  </t>
  </si>
  <si>
    <t>Eunike Virgie</t>
  </si>
  <si>
    <t>Manti</t>
  </si>
  <si>
    <t xml:space="preserve">Efisiensi Pengecekan Case di Tim Experience Solution Digital Products (XO Digital) - Blibli Travel &amp; Digital Utilities        </t>
  </si>
  <si>
    <t xml:space="preserve">Jadi hanya 1 agent saja yang avail di call dan tidak dapat membantu ketika que (karena kapasitas terbatas)    </t>
  </si>
  <si>
    <t xml:space="preserve">Karena jumlah case ratusan (range 100-180 case) jadi butuh 2 sampai 3 orang di waktu bersamaan untuk mengecek semuanya setiap hari     </t>
  </si>
  <si>
    <t xml:space="preserve">Cukup 1 orang untuk mengecek label pada hari H sehingga sisa agent XO Digital yang idle bisa membantu menambah kapasitas call     </t>
  </si>
  <si>
    <t xml:space="preserve">Belum ada filtering untuk pengecekan case agar lebih efisien.     </t>
  </si>
  <si>
    <t xml:space="preserve">DP200618 –&gt; case yang dilabeli tsb akan dicek oleh 1 orang agent XO Digital di tanggal 20 Juni 2018. Jika sudah dicek, maka label dipindahkan ke hari berikutnya atau disesuaikan dengan estimasi dari customer/3rd party.    </t>
  </si>
  <si>
    <t>- Hanya perlu 2 orang PIC pengecekan case. 1 orang cek label DPddmmyy, 1 orang standby untuk case baru dan pertanyaan inbound, 2-3 orang agent membantu kapasitas call.</t>
  </si>
  <si>
    <t xml:space="preserve">Mencari improvement lain dari segi CM maupun proses untuk penyelesaian case yang lebih efisien.     </t>
  </si>
  <si>
    <t xml:space="preserve">Aldiy pramita     </t>
  </si>
  <si>
    <t xml:space="preserve">Efisiensi waktu distribusi produk dari inbound ke admin qc             </t>
  </si>
  <si>
    <t xml:space="preserve">Saat ini proses pemilahan produk berdasarkan kategori per kontainer masih dilakukan oleh admin qc, untuk selanjutnya akan diserahkan oleh team inbound cawang             </t>
  </si>
  <si>
    <t xml:space="preserve">- Average waktu admin QC memisahkan perkategori dan mendistribusikan produknya ke QC.  </t>
  </si>
  <si>
    <t xml:space="preserve">Admin hanya menanda tangani serah terima dan kemudian membagikan produknya saja ke QC           </t>
  </si>
  <si>
    <t xml:space="preserve">waktu distribusi produk dari inbound ke admin QC terlalu lama.             </t>
  </si>
  <si>
    <t xml:space="preserve">pendistribusian barang dari inbound ke QC lebih cepat, dikarenakan pemisahan dan penomoran sesuai (FIFO) sudah dilakukan di Inbound, sehingga Admin tidak perlu melakukannya lagi.             </t>
  </si>
  <si>
    <t xml:space="preserve">0             </t>
  </si>
  <si>
    <t>Riswanda</t>
  </si>
  <si>
    <t xml:space="preserve">Mengurangi Size folder O dengan menggunakan OneDrive        </t>
  </si>
  <si>
    <t xml:space="preserve">Budi Winoto            </t>
  </si>
  <si>
    <t xml:space="preserve">Efisiensi Biaya Pengiriman Barang Damage / Barang Rusak ke Hub Angke                </t>
  </si>
  <si>
    <t xml:space="preserve">2. Blibli harus mengeluarkan biaya pegiriman KNo - CGK Rp 10,250 / Kg               </t>
  </si>
  <si>
    <t xml:space="preserve">Foto Produk Damage di BES Medan :  </t>
  </si>
  <si>
    <t xml:space="preserve">Reduce biaya pengiriman ke Hub Angke sebesar Rp 50,000                </t>
  </si>
  <si>
    <t xml:space="preserve">2. Adanya biaya pengiriman KNO - CGK karena produk damage / rusak tersebut dikirim ke Hub Angke               </t>
  </si>
  <si>
    <t xml:space="preserve">2. Ketika pihak Tokio Marine meminta barang damage / rusak tersebut dimusnahkan maka Hub medan akan melakukan pemusnahan di Medan dan mengirimkan foto - foto pemusnahan ke Hub Angke             </t>
  </si>
  <si>
    <t xml:space="preserve">Barang damage / rusak Belum dikirim ke Angke             </t>
  </si>
  <si>
    <t xml:space="preserve">2. Achivement 183 %               </t>
  </si>
  <si>
    <t xml:space="preserve">2. Tetap melakukan monitoring dan evaluasi               </t>
  </si>
  <si>
    <t>@adi pravianto @Irfan hadi putra @Erwin Nugroho @Fitrah Nur Ihsan @Maher</t>
  </si>
  <si>
    <t>Efisiensi pengukuran dimensi proses packing material packaging untuk merchant partner</t>
  </si>
  <si>
    <t>Proses pengukuran dimensi material packaging masih menggunakan proses secara manual yaitu dengan alat ukur meteran</t>
  </si>
  <si>
    <t>Piping Christiawan; Yudi Haryanto</t>
  </si>
  <si>
    <t>Efisiensi proses fulfillment order Frozen Food</t>
  </si>
  <si>
    <t xml:space="preserve">Muhammad Sofri Umri Umri Hendra   </t>
  </si>
  <si>
    <t xml:space="preserve">Efisiensi Waktu Key Performance Indicator Pick Package Create - GIN Warehouse Medan   </t>
  </si>
  <si>
    <t xml:space="preserve">Waktu pick package create - GIN warehouse medan masih jauh dari target yang ditetapkan yaitu 6 jam. - Manpower fullfilment warehouse terbatas. -  Sistem kerja manpower fullfilment yang belum efektif dan efisien. -  Waktu pick up dari pihak logistik hanya 1 kali per hari   </t>
  </si>
  <si>
    <t>Data diambil berdasarkan tanggal order 01 sampai 15 mei 2018 dengan jumlah order item id 910</t>
  </si>
  <si>
    <t xml:space="preserve">Mengefisiensikan waktu key performance indicator pick package create - GIN warehouse medan   </t>
  </si>
  <si>
    <t xml:space="preserve">Sistem kerja fullfilment warehouse medan tidak efektif dikarenakan: - Waktu masuk kerja shift 1 yaitu pukul 08:00 - 17:00 WIB dan shift 2 yaitu pukul 13:00 - 22:00 WIB. - Belum adanya prioritas order yang dikerjakan (tidak ada sistem first in first out). - Belum adanya koordinasi yang jelas dengan pihak logistik mengenai pick up order   </t>
  </si>
  <si>
    <t xml:space="preserve">Improvement yang dilakukan untuk mengefisiensikan waktu key performance pick package create - GIN warehouse medan adalah: -  Merevisi waktu masuk kerja menjadi shift 1 yaitu pukul 07:00 - 16:00 WIB dan shift 2 yaitu pukul 13:00 - 22:00 WIB. - Adanya prioritas order yang dikerjakan berdasarkan waktu customer melakukan order (first in first out). - Dilakukan koordinasi dengan pihak logistik mengenai jadwal pick up maupun intensitas pick up menjadi 2 kali per hari   </t>
  </si>
  <si>
    <t>Data diambil berdasarkan tanggal order 16 sampai 31 mei 2018 dengan jumlah order item id 1616</t>
  </si>
  <si>
    <t>Jika dikonversikan menjadi waktu atau rupiah menjadi 5:24:37 x 30 = 162:18:33 atau 3.895.200 per bulan</t>
  </si>
  <si>
    <t xml:space="preserve">Setelah dilakukan improvement dan diperoleh efisiensi waktu key performance indicator pick package create - GIN, maka aktivitas yang dilakukan selanjutnya adalah melanjutkan sistem kerja yang telah dibuat berdasarkan improvement yang telah dilakukan   </t>
  </si>
  <si>
    <t>Hafiz FaturrahmanYoserizal YoserizalErich Evander Da CostaMansur Nawawi</t>
  </si>
  <si>
    <t>Pembuatan Schedule online para trainer dalam menghemat waktu pengecekan Schedule</t>
  </si>
  <si>
    <t>Return Management - 1</t>
  </si>
  <si>
    <t>Yesica Prayogi, Shofiana Fauzy, Ni Ketut Nuari, Galuh Witri Dwi Hartati @BoniRivaldi</t>
  </si>
  <si>
    <t>Pembuatan file template untuk mengetahui MP Internasional dan MP Hutang</t>
  </si>
  <si>
    <t>1. Adanya jenis MP internasional yang harus di Hold terlebih dahulu sebelum dikirim kembali dan adanya list MP hutang yang terus bertambah setiap hari.
2. Menggurangi biaya kirim Sentmp yang tidak perlu dikeluarkan.
Dengan kondisi; jika paket sempat terkirim dan ke HO dengan pihak logistik, otomatis paket harus di retur kembali ke Cawang dan pengiriman paket akan masuk tagihan pengiriman.
Pengerjaan Return Database solusi Request Cancelled untuk yang Barang Datang dan di Not Match, pengisian Solution Date dan Closed Date nya harus dilakukan secara manual satu per satu by CM</t>
  </si>
  <si>
    <t>1. Setelah file sentmp selesai, team mengecek manual dengan list MP alamat pindah ; 71 detik
2. Cek ke list MP Hutang ; 40,38 detik
3. Cek ke list MP Internasional dari RMA16 ; 32,71 detik
4. paket kelolosan per minggu saat Sentmp: 2 paket @ Rp 9000,- =
Rp 18.000,-</t>
  </si>
  <si>
    <t>1. Menghemat waktu pengecekan ke masing-masing list MP
2. Menghemat tagihan biaya kirim untuk produk yang seharusnya di Hold sementara.</t>
  </si>
  <si>
    <t>1. Selalu bertambahnya list MP hutang, MP alamat pindah yang tidak di update, setiap hari.
2. Adanya miss atas paket-paket yang harus di Hold tetapi terkirim via logistik.</t>
  </si>
  <si>
    <t>Membuat file untuk mengetahui secara otomatis mana paket yang harus di hold terlebih dahulu.</t>
  </si>
  <si>
    <t>Penghematan waktu pengecekan List MP Internasional, List Hutang Mp dan MP Pindah Alamat berkurang sebesar; 120.24 detik/ hari</t>
  </si>
  <si>
    <t>Dapat menghemat waktu saat pengecekan Sent Merchant, untuk MP mana saja yang harus di Hold dahulu. Jika pengecekan penjadwalan dilakukan setiap hari dalam satu bulan, maka jumlah yang dapat di hemat : 
114.85 x 30 hari = 3607.2 detik
Dapat menghemat biaya ongkir yang dikeluarkan untuk paket yang kembali di retur karena kelolosan.
2 Pkt x 4 Minggu x 9000 = Rp. 72.000</t>
  </si>
  <si>
    <t>Mengemat pengecekan Sent Mp, dan mengurangi miss saat pengiriman.</t>
  </si>
  <si>
    <t>Return Management -2</t>
  </si>
  <si>
    <t>Endang Cendaningrum, Hardian Ruben TobingDina AnggrainiReny RenyIka Nur Wahyuni</t>
  </si>
  <si>
    <t>Efisiensi Pengerjaan Database Retur untuk Solusi "Not Confirm"</t>
  </si>
  <si>
    <t>Pengerjaan Return Database solusi Request Cancelled untuk yang Barang Datang dan di Not Match, pengisian Solution Date dan Closed Date nya harus dilakukan secara manual satu per satu by CM</t>
  </si>
  <si>
    <t>Pengerjaan DB retur solusi Not Confirm memakan waktu 540 Detik / 9 Menit per hari
Langkah 1Filter solusi Request Cancelled = 8 detik
Langkah 2Lookup ke RMA07 ke kolom Barang Datang (PRA) = 36 detik
Langkah 3Filter yang muncul Date Time, ubah jadi Not Confirm = 11.7 detik
Langkah 4Buka CM, Manual Cheking pengisian Solution Date dan Closed Date (average 20 case cek)</t>
  </si>
  <si>
    <t>Mempersingkat waktu pengerjaan Return Database solusi Not Confirm
Mempermudah PIC untuk tidak cek case secara manual</t>
  </si>
  <si>
    <t>PIC Database Retur harus cek satu per satu by No.Jira untuk melihat Activity, dan membaca per comment untuk melihat hasil QC di hastag #notmatchddmmyy untuk pengisian Solution Date, dan comment tim solusi di hastag #sentcustddmmyy untuk pengisian Closed Date</t>
  </si>
  <si>
    <t>Mengubah cara input tanggal solusi dan tanggal case closed, dari manual checking menjadi lookup (Database Inbound dan Penjadwalan "Sentcust").</t>
  </si>
  <si>
    <t>Pengerjaan DB retur solusi Not Confirm memakan waktu 141 Detik / 2.5 Menit per hari
1. Filter solusi Request Cancelled = 8 detik
2. Lookup ke RMA07 ke kolom Barang Datang (PRA) = 36 detik
3. Filter yang muncul Date Time, ubah jadi Not Confirm = 11.7 detik
4. Filter Not Confirm, Solution Date Blank = 48 detik
5.Lookup Solution Date ke DB Inbound = 17.8 detik
6. Lookup Closed Date ke DB Penjadwalan si Cepat = 19 detik</t>
  </si>
  <si>
    <t>Penghematan sebesar 74% / 399 sec (6 Menit 39 Detik).
Jika 1 bulan adalah 22 hari kerja, maka penghematan per bulan sebesar 8783.5 detik = 2 jam 26 menit 23.5 detik</t>
  </si>
  <si>
    <t>Kaizen ini berdampak untuk mempermudah admin dalam melakukan pengisian database, sehingga dapat melakukan operasional lainnya dengan waktu lebih banyak.</t>
  </si>
  <si>
    <t>Annissa Meuthia Kasih DaulayYuni WidiasihDandy A. PutraAri KurniawanDicky Darmawan</t>
  </si>
  <si>
    <t>Efisiensi Pembuatan Database Inbound Return</t>
  </si>
  <si>
    <t>Inbound database dibuat menggunakan dua data yang berbeda, yaitu data dari RMA11 dan RMA12 di Jasper yang harus digabungkan menggunakan macro terlebih dahulu.</t>
  </si>
  <si>
    <t>Proses pembuatan database inbound retur saat ini membuthkan waktu sebanyak 320 detik.</t>
  </si>
  <si>
    <t>Mengurangi waktu pengerjaan database inbound sebesar 25%.</t>
  </si>
  <si>
    <t>1. RMA11 dan RMA12 mengambil dari collection database yang berbeda (QC by, QC date).2. Proses penggabungan data menggunakan macro memakan waktu lama, karena bila data macro ditambah maka macro menjadi berat dan lambat.3. Pembuatan database inbound retur menjadi lama karena harus menggabungkan kedua data ini menggunakan macro terlebih dahulu.</t>
  </si>
  <si>
    <t>Penyesuaian collection database yang digunakan oleh RMA11 sehingga tidak perlu lagi menggunakan macro untuk menggabungkan data dengan RMA12.</t>
  </si>
  <si>
    <t>1. Proses pembuatan database inbound retur membutuhkan proses pengerjaan sebanyak 7 tahap.2. Proses pembuatan database inbound retur membutuhkan waktu sebanyak 225 detik.</t>
  </si>
  <si>
    <t>Saving time per hari = 225 detikSaving time per bulan (1 bulan = 22 HK) = 225 x 22 hari = 4950 detik = 1 Jam 22 Menit 30 DetikSaving Cost Per Bulan (1 jam = Rp 30.000) = Rp 41,250Benefit lainnya PIC bisa menggunakan waktu untuk pekerjaan lain.</t>
  </si>
  <si>
    <t>Explore lagi cara agar pembuatan database inbound dapat menjadi lebih simple dan lebih cepat lagi.</t>
  </si>
  <si>
    <t>Riswanda DaniswaraHendro PurnomoYordy YordyFirsty Kartika</t>
  </si>
  <si>
    <t>Pembuatan Kalkulator Perhitungan Ongkos Kirim untuk RTV (Return to Vendor)</t>
  </si>
  <si>
    <t>Perhitungan Ongkos Kirim RTV membutuhkan waktu +- 30 menit per RTV</t>
  </si>
  <si>
    <t>Total waktu proses perhitungan Shipping Cost RTV Consignment 31 Menit 11 Detik</t>
  </si>
  <si>
    <t>Reduce 40% time in calculation</t>
  </si>
  <si>
    <t>Perhitungan Ongkos kirim masih manual dan checking langkahnya masih 1 per 1</t>
  </si>
  <si>
    <t>Pembuatan rumus dalam excel online yang dapat di akses seluruh pihak terkait (TP, Warehouse, Express Delivery team)</t>
  </si>
  <si>
    <t>Total waktu proses perhitungan Shipping Cost RTV Consignment 18 Menit 1 Detik</t>
  </si>
  <si>
    <t>SavingWaktu : 17 Jam 33 Menit 40 DetikRupiah : Rp 526.667,-</t>
  </si>
  <si>
    <t>Sosialisasi penggunaan Excel Online sudah berumus</t>
  </si>
  <si>
    <t>Saving cost Partner Logistik Triplogic</t>
  </si>
  <si>
    <t>Efisiensi proses weight capture untuk paket yang di handover oleh tim warehouse</t>
  </si>
  <si>
    <t>WH + Fleet Mgmt Bandung</t>
  </si>
  <si>
    <t>Satya PutraAhmad Nur RizalIrawan Mahendra</t>
  </si>
  <si>
    <t>Efisiensi penggunaan bubble wrap dalam proses packaging paket</t>
  </si>
  <si>
    <t>Lamanya proses waktu pemotongan bubble wrap untuk packing paketbubble wrap yang dipakai masih berupa gulungan besar / utuh</t>
  </si>
  <si>
    <t>average waktu proses packaging 1 paket (picking-weight capture) membutuhkan waktu kurang lebih 102 detik</t>
  </si>
  <si>
    <t>reduce waktu proses packaging paket 30%</t>
  </si>
  <si>
    <t>Bubble wrap yang dipakai untuk pacakging masih berbentuk gulungan besarLama nya proses pemotongan bubble wrap ketika bubble akan digunakan</t>
  </si>
  <si>
    <t>Melakukan pemotongan gulungan besar Bublewrap dengan panjang 120 cm dan lebar 60 cmMembuat central gulungan kecil untuk tempat meletakan Bublewrap yang sudah di potong agar memudahkan pengambilan ketika akan digunakan</t>
  </si>
  <si>
    <t>Setelah menerapkan proses pemotongan bubble wrap menghasilkan efisiensi waktu yang digunakan untuk proses packaging 1 paket (picking-weight capture) adalah kurang lebih mencapai waktu 67 detik.BEFORE</t>
  </si>
  <si>
    <t>Saving waktu yang diperoleh dalam 1 bulan (30 hari) :56100 detik Reduce waktu yang didapat mencapai 33%</t>
  </si>
  <si>
    <t>Pemotongan gulungan buble wrap dikerjakan pada waktu senggang oleh semua anggota tim werehousePemotongan ukuran bublle wrap kedepan nya akan disesuikan dengan ukuran bersar dimensi paket (tidak hanya 1 ukuran buble wrap)</t>
  </si>
  <si>
    <t>WH + Fleet Mgmt Denpasar</t>
  </si>
  <si>
    <t>Kadek Wahyuni, Putu Agust Satria</t>
  </si>
  <si>
    <t>Efisiensi Waktu Inward first hub - Reach Destination BES Denpasar (KPI)</t>
  </si>
  <si>
    <t>WH Angke</t>
  </si>
  <si>
    <t>Efisiensi proses Weight Capture dan Draft GIN dalam Fullfillment Material Packaging</t>
  </si>
  <si>
    <t>WH All</t>
  </si>
  <si>
    <t>Efisiensi Ketentuan Packing Order</t>
  </si>
  <si>
    <t>Return Management - 3</t>
  </si>
  <si>
    <t>Efisiensi Pembuatan Database Inbound Retur.</t>
  </si>
  <si>
    <t>PERIODE 1</t>
  </si>
  <si>
    <t>Penilai:</t>
  </si>
  <si>
    <t>By PIC</t>
  </si>
  <si>
    <t>Widyanto</t>
  </si>
  <si>
    <t>Cicilia</t>
  </si>
  <si>
    <t>Jeffry</t>
  </si>
  <si>
    <t>Aditya</t>
  </si>
  <si>
    <t>Ranggi</t>
  </si>
  <si>
    <t>Melissa</t>
  </si>
  <si>
    <t>PIC PIR</t>
  </si>
  <si>
    <t>Nilai Akhir</t>
  </si>
  <si>
    <t>Saving / month</t>
  </si>
  <si>
    <t>Saving/Semester</t>
  </si>
  <si>
    <t>Implementation Consistency</t>
  </si>
  <si>
    <t>Quantitative Benefit</t>
  </si>
  <si>
    <t>Thorough Analysis</t>
  </si>
  <si>
    <t>Nilai</t>
  </si>
  <si>
    <t>Back Office - Reconcile</t>
  </si>
  <si>
    <t>Veren, Lathif, Nova</t>
  </si>
  <si>
    <t>Efisiensi Penyimpanan Duplikasi Approval Form dan Hardcopy Invoice Logistic/Insurance</t>
  </si>
  <si>
    <t>BES Jabodetabek 1</t>
  </si>
  <si>
    <t>Maryo, Abdul</t>
  </si>
  <si>
    <t>Penghematan Biaya Pengiriman LogistikLong Haul : Jakarta - SurabayaVia Trucking vs air linecut off max 21.00 wib</t>
  </si>
  <si>
    <t>BES Jabodetabek 3</t>
  </si>
  <si>
    <t>Daniel, Sudibjo, Suhandih</t>
  </si>
  <si>
    <t>Mengubah proses pembuatan data manual rekap dimensi line haul intercity menjadi tarikan data jasper</t>
  </si>
  <si>
    <t>Maman, Dony</t>
  </si>
  <si>
    <t>Pengaturan area Loading Dock BES untuk meningkatkan kapasitas Bongkar Muat Barang</t>
  </si>
  <si>
    <t>CS BSD Semarang</t>
  </si>
  <si>
    <t>Dani, Angger, Rendra, Igih</t>
  </si>
  <si>
    <t>Meeting hemat di area yang berbeda.</t>
  </si>
  <si>
    <t>CS BLITS College</t>
  </si>
  <si>
    <t>Mansur, Novita, Erich</t>
  </si>
  <si>
    <t>Efisiensi Reporting Trainer Training Hours</t>
  </si>
  <si>
    <t>DPIM</t>
  </si>
  <si>
    <t>Adriane, Arliandi, Bayu</t>
  </si>
  <si>
    <t>Efficiency in Stock Transfer Cost (Jabodetabek)</t>
  </si>
  <si>
    <t>WH Cawang</t>
  </si>
  <si>
    <t>Danang, Ronny, Arya</t>
  </si>
  <si>
    <t>Master Cek UPC/ EAN dalam proses Inbound Checking untuk produk kecantikan (Health &amp; Beauty) yang memiliki atrribute UPC/EAN.</t>
  </si>
  <si>
    <t>WH Depok 1</t>
  </si>
  <si>
    <t>Adi, Made, Gilang</t>
  </si>
  <si>
    <t>Penggunaan scanner sebagai alternatif pengganti keyboard di packer.</t>
  </si>
  <si>
    <t>WH Depok 2</t>
  </si>
  <si>
    <t>Adi, Amel</t>
  </si>
  <si>
    <t>Efisiensi proses putaway dalam mencari storage</t>
  </si>
  <si>
    <t>Medan</t>
  </si>
  <si>
    <t>Al hadid Lubis</t>
  </si>
  <si>
    <t>Efisiensi Laporan Rekapan Outbound</t>
  </si>
  <si>
    <t>BES Jabodetabek 2</t>
  </si>
  <si>
    <t>Refa, Enrico, Intan, Fidriany</t>
  </si>
  <si>
    <t>Penggunaan karet untuk mengurangi pemakaian isolasi</t>
  </si>
  <si>
    <t>Hardian, Steven, Arifiana, Ika Nur</t>
  </si>
  <si>
    <t>Efisiensi proses customer dispute dan proses pemberian solusi kasus pending ke customer</t>
  </si>
  <si>
    <t>WH Cikarang</t>
  </si>
  <si>
    <t>Panca, Erfnadi, Nisaul, Fachri</t>
  </si>
  <si>
    <t>Project Control Report</t>
  </si>
  <si>
    <t>SAVING / MONTH &amp; SAVING / SEMESTER</t>
  </si>
  <si>
    <t>PERIODE 2</t>
  </si>
  <si>
    <t>Back Office</t>
  </si>
  <si>
    <t>Sherly Setiawan Verencia Permatasari, Bryant Mandrawa; S Stella, Maria Tiffany</t>
  </si>
  <si>
    <t>Reducing Errors in Invoice Compilation</t>
  </si>
  <si>
    <t>Annissa Meuthia Kasih Daulay Ridwan Handoko Ari Kurniawan @danang.susilo
Bryant Mandrawa</t>
  </si>
  <si>
    <t>Penyederhanaan Proses Pemasukan Data Hasil Pengecekan Produk Trade-in.</t>
  </si>
  <si>
    <t>Rommy Putra Gazali,Jaka malela,Muh risvan anshory</t>
  </si>
  <si>
    <t>Efisiensi login stockholm di PC menggunakan barcode</t>
  </si>
  <si>
    <t>Bagus Adiprastyo Arya Wahyu Adi Bhaskara &amp; Team SC Cawang</t>
  </si>
  <si>
    <t>Efisiensi Stock Opname Moving Goods dengan Stockholm</t>
  </si>
  <si>
    <t>WH Karawaci</t>
  </si>
  <si>
    <t>Guntur Dewandono Ervien Suseno Khitah Wirapradana Riri Pratomo Ferdi Ferdi</t>
  </si>
  <si>
    <t>Fullfilment KPI Improvement</t>
  </si>
  <si>
    <t>WH IMS</t>
  </si>
  <si>
    <t>Syarif Handi Kusworo beny Pangestu Tri S Wibowo Raimi Noor</t>
  </si>
  <si>
    <t>Efisiensi Pemakaian Kertas A5 Pada Proses Outbound</t>
  </si>
  <si>
    <t>Maryo Benhard Tuas, wasidan, sakban, Abdul Pakpahan</t>
  </si>
  <si>
    <t>Relayout scheme Triplogic</t>
  </si>
  <si>
    <t>Daniel Sinjaya, Muhammad Sudibjo, Suhandih Suhandih</t>
  </si>
  <si>
    <t>Rekapitulasi data triplogic dengan menggunakan visual basic excel</t>
  </si>
  <si>
    <t>Maryo Benhard Tuas, Refa Siregar, sakban, Wasidan, Abdul Pakpahan</t>
  </si>
  <si>
    <t>Efisiensi penggunaan karung brand Blibli</t>
  </si>
  <si>
    <t>Makassar</t>
  </si>
  <si>
    <t>Sudharmono Gustaf, Rahmatullah Rahmatullah</t>
  </si>
  <si>
    <t>Mempercepat proses loading &amp; unloading di warehouse/Bes Makassar</t>
  </si>
  <si>
    <t>CS WTC</t>
  </si>
  <si>
    <t>Hayatunnisa Hayatunnisa, Nike Rika Rusna Wati, Lenny Dwiyanti, Riska Riska</t>
  </si>
  <si>
    <t>Mempersingkatwaktu untuk reset Phone Number Verification</t>
  </si>
  <si>
    <t>CS XO</t>
  </si>
  <si>
    <t>Umi Zahrah, Jaka Cawanda, Jiswel Eral, Ervyn Faurizal, Mahpudin Mahpudin, Budi Arianto</t>
  </si>
  <si>
    <t>Paperless untuk pengajuan cuti</t>
  </si>
  <si>
    <t>WH Deli Serdang</t>
  </si>
  <si>
    <t>Saiful Amri Chandra Irwansyah Zebua @dwi.Satria @heri Prakoso</t>
  </si>
  <si>
    <t>Konsistensi Proses Auto Picking Menggunakan Tablet Berdasarkan Jarak Terdekat Ke Area Quality Control</t>
  </si>
  <si>
    <t>PERIODE 3</t>
  </si>
  <si>
    <t>Edbert</t>
  </si>
  <si>
    <t>Hardi</t>
  </si>
  <si>
    <t>Saving / Semester</t>
  </si>
  <si>
    <t>Hendro Purnomo, Faishal Rafie, Riswanda Daniswara, Nova Permatasari, Lathiif Daniar</t>
  </si>
  <si>
    <t>Menurunkan Waktu Pembuatan Dokumen Invoice Menggunakan macro excel</t>
  </si>
  <si>
    <t>Yesica Prayogi, Ryan Wirjan, Ni Ketut Nuari, Dwi Hartati, Galuh Witri, Amanda Sabila</t>
  </si>
  <si>
    <t xml:space="preserve">Efisiensi Proses Pembuatan Dokumen Klaim Asuransi	</t>
  </si>
  <si>
    <t>Bagus Adiprastyo, Arya Wahyu Adi Bhaskara, Iman Iskandar</t>
  </si>
  <si>
    <t xml:space="preserve">Maximum Bin Storage	</t>
  </si>
  <si>
    <t>Adi Surya Indra Kharisma,Made Datu,Amelthia Rahel</t>
  </si>
  <si>
    <t>Efisiensi Proses Pencantuman Informasi pada Koli IR Transfer Warehouse</t>
  </si>
  <si>
    <t>Seteven Chandra, Adam Kris, rio.pratama@gdn-commerce.com, Sulistianti Sulistianti, Bryant Mandrawa</t>
  </si>
  <si>
    <t xml:space="preserve">Mempercepat Waktu Investigasi case IR dari Gudang Cakung ke Tim Offline	</t>
  </si>
  <si>
    <t>Adi Surya Indra Kharisma Amelthia Rahel Made Datu</t>
  </si>
  <si>
    <t>Efisiensi penyimpanan dokumen GIN di warehouse</t>
  </si>
  <si>
    <t>Maryo Benhard Tuas, Abdul Pakpahan, Sakban Sitompul, Wasidan</t>
  </si>
  <si>
    <t>Relayout scheme Triplogic, minimlisir pengunaan scheme partner logistik Triplogic dan maksimalkan utilisasi internal BES Driver, area Jabodetabek</t>
  </si>
  <si>
    <t>Daniel Sinjaya; Muhammad Sudibjo; Refa Siregar; Gita Sampurna</t>
  </si>
  <si>
    <t>Penggatian absensi dan shifting per hub menggunakan excel macro, untuk Hub yang masih belum ada mesin fingerprint</t>
  </si>
  <si>
    <t>-</t>
  </si>
  <si>
    <t>Muhammad Raharjo Aldia Trispantia Refa Siregar, Gita Sampurna</t>
  </si>
  <si>
    <t>Perekapan data manpower dengan menggunakan Excel Macro</t>
  </si>
  <si>
    <t>BES Bandung</t>
  </si>
  <si>
    <t>Satya Putra, Khidir Zaman</t>
  </si>
  <si>
    <t>Efisiensi penggunaan token listrik dengan metode traffic lights sticky notes</t>
  </si>
  <si>
    <t>Roll Out to Other WH</t>
  </si>
  <si>
    <t>CS CI</t>
  </si>
  <si>
    <t>Ellisa Kristiana, Mei Fitria Handayani, Sidqi Fauzan</t>
  </si>
  <si>
    <t xml:space="preserve">Efisiensi Analisa CSAT Tidak Puas	</t>
  </si>
  <si>
    <t>CS WFM</t>
  </si>
  <si>
    <t>Grace Natalia, Febrina Larasati, Yogi Arif, Dini Amelia</t>
  </si>
  <si>
    <t>Efisiensi dasboard utiity agent</t>
  </si>
  <si>
    <t>PERIODE 4</t>
  </si>
  <si>
    <t>Lusyana Wijaya; Titis Ekky Krisnanda; Sonia Pratama;Dwina M. Christy</t>
  </si>
  <si>
    <t>Systematize Cancel Installments Process</t>
  </si>
  <si>
    <t>Joudy Arifin; Saras Kartika Dewi; marzha ayudia; Bayu Setiyawan; Puspa Ningrum; Gerardo Laudus; Shiera Gautama</t>
  </si>
  <si>
    <t>Efisiensi Proses Putaway Barang #KeepLog di Warehouse Return</t>
  </si>
  <si>
    <t>WH Depok</t>
  </si>
  <si>
    <t>Adi Surya Indra Kharisma; Made Datu; Amelthia Rahel; Faisal Wibowo</t>
  </si>
  <si>
    <t xml:space="preserve">Efisiensi pemakaian kertas di Gosend	</t>
  </si>
  <si>
    <t>WH Batuceper</t>
  </si>
  <si>
    <t>Sanni, Muhamad Faisal, Win Purwanto, Fulfill Leader, Ombun Soemantri</t>
  </si>
  <si>
    <t>Efisiensi proses picking untuk SKU Fast Moving</t>
  </si>
  <si>
    <t>WH Return</t>
  </si>
  <si>
    <t>Maireni Maireni; Iman Iskandar; Arya Wahyu Adi Bhaskara</t>
  </si>
  <si>
    <t>Penempelan Barcode Paket Undel Damage Klaim Via Tokio Marine</t>
  </si>
  <si>
    <t>WH- TGR- N Neglasari</t>
  </si>
  <si>
    <t>adji.wardanu; ihsan.arsandi; ade.hidayat; indrayani; Raimi Noor; Tri S Wibowo</t>
  </si>
  <si>
    <t>Pengukuran berat &amp; dimensi paket Order Gosend &amp; Grab sebelum driver PU untuk mempercepat proses HO</t>
  </si>
  <si>
    <t>Clarissa Lie; Leonardus Andrean; Andrea Devina; Vilia Sylvia; Adriane Santoso; Monica Brahmanti; Angela Destha Cherie; Yongky Ujianto; Adi Alamsyah</t>
  </si>
  <si>
    <t>Improvement of packaging fulfillment to Joglo Semar</t>
  </si>
  <si>
    <t>Maryo Benhard Tuas; Abdul Pakpahan; Leonardus Andrea</t>
  </si>
  <si>
    <t>Efisiensi waktu dan cost pengiriman Linehaul IR concern IR to Luar kota via BES dan minimalisir defect paket IR</t>
  </si>
  <si>
    <t>Muhammad Raharjo; Aldia Trispantia</t>
  </si>
  <si>
    <t>Pembuatan alur claim baru</t>
  </si>
  <si>
    <t>Pemanfaatan Macro untuk mempercepat waktu pengisian database claim</t>
  </si>
  <si>
    <t>Eka Rizky Kurniawan;Roji; Diki Nasution</t>
  </si>
  <si>
    <t>Efisiensi Biaya Operasional Linehaul Medan ke Deli Serdang dengan Mereview Rute Linehaul</t>
  </si>
  <si>
    <t>CS - Inbound Merchant Care</t>
  </si>
  <si>
    <t>Airul Pebri; Guntur Putra; Maria Ulfa Chaerunnisa; Hernawan Hernawan; Arifah Manishati</t>
  </si>
  <si>
    <t>Efisiensi Penyediaan Catering Jumat</t>
  </si>
  <si>
    <t>CS BSD</t>
  </si>
  <si>
    <t>Igih Fauzi Fadillah; Angger Mahdani</t>
  </si>
  <si>
    <t>Video Refreshment/sharing knowledge</t>
  </si>
  <si>
    <t>Periode Kaizen</t>
  </si>
  <si>
    <t>Improvement Summary</t>
  </si>
  <si>
    <t>Saving / year</t>
  </si>
  <si>
    <t>Saving as of Jun</t>
  </si>
  <si>
    <t>Group</t>
  </si>
  <si>
    <t>Predikat</t>
  </si>
  <si>
    <t>Implemented From</t>
  </si>
  <si>
    <t>Implemented Until</t>
  </si>
  <si>
    <t>Keterangan</t>
  </si>
  <si>
    <t>Saving per Year</t>
  </si>
  <si>
    <t>Potensi Compteition</t>
  </si>
  <si>
    <t>Deltha Fiani, Firsty Kartika, Susanti A. Marpaung, Faishal Rafie</t>
  </si>
  <si>
    <t>Penggunaan Macro untuk update status delivered Big Product</t>
  </si>
  <si>
    <t>Pembuatan Macro Excel untuk update status Order Big Product di MTA</t>
  </si>
  <si>
    <t>JUARA 3</t>
  </si>
  <si>
    <t>*sudah digantikan sistem (order center)</t>
  </si>
  <si>
    <t>Return 1</t>
  </si>
  <si>
    <t>Yoanna Widayanto Ira Novianti Aina Aitunisya Chomsyiyatun Steven Liauw Dina Anggraini</t>
  </si>
  <si>
    <t>Efisiensi Pengerjaan Data Logistic Fee dengan Menggunakan Macro</t>
  </si>
  <si>
    <t>Pembuatan Macro</t>
  </si>
  <si>
    <t>Peserta</t>
  </si>
  <si>
    <t>WH Cawang Return</t>
  </si>
  <si>
    <t>Maireni Maireni, Bagus Adiprastyo, Arya Wahyu Adi Bhaskara</t>
  </si>
  <si>
    <t>Efesiensi Penggunaan Storage Bazar</t>
  </si>
  <si>
    <t>Pembuatan Storage dedicated untuk barang sisa bazaar, sehingga di  next bazaar tidak perlu mencari barang di seluruh lokasi warehouse</t>
  </si>
  <si>
    <t>WH TGR N - Neglasari</t>
  </si>
  <si>
    <t>jaja bahroni, iksan arsandi lubis, sulan jaya, Raimi Noor, Tri S Wibowo, Handi Kusworo</t>
  </si>
  <si>
    <t>Efisiensi Waktu Handover Paket Go-fresh</t>
  </si>
  <si>
    <t>Pembuatan grup koordinasi WA untuk persiapan handover GoFresh</t>
  </si>
  <si>
    <t>WH TGR E Ceper</t>
  </si>
  <si>
    <t>Win Purwanto, Muhamad Faisal Fajar Sidik, Teguh Santoso, Supardi, Ari Sukari</t>
  </si>
  <si>
    <t>Efisiensi proses picking</t>
  </si>
  <si>
    <t>Pembuatan zona khusus untuk SKU yang memiliki qty terbanyak, sehingga mempercepat waktu trasnportasi saat picking</t>
  </si>
  <si>
    <t>Take Out</t>
  </si>
  <si>
    <t>Refa Siregar, Muhammad Sudibjo, Daniel Sinjaya, Gita Sampurna, Muhammad Raharjo</t>
  </si>
  <si>
    <t>Efisiensi PA Kurir, Driver, Operator dan Koordinator BES dengan menggunakan form Microsoft Online</t>
  </si>
  <si>
    <t>PA dari Kurir berubah dari manual di kertas menggunakan form online</t>
  </si>
  <si>
    <t>Aldia Trispantia, Muhammad Raharjo, Pringgo Agiantara</t>
  </si>
  <si>
    <t>Saving Linehaul Mother Hub</t>
  </si>
  <si>
    <t>Linehaul antar mother hub berubah dari menggunakan Triplogic menjadi driver internal</t>
  </si>
  <si>
    <t>JUARA 5</t>
  </si>
  <si>
    <t>BES Surabaya-Berbek</t>
  </si>
  <si>
    <t>Maman Hanafie, Dony Setyawan, Joko Susilo, Maman Hanafie, Dony Setyawan</t>
  </si>
  <si>
    <t>Penambahan Layer Pembatas Untuk Meningkatkan Kapasitas Muat &amp; Keselamatan Penumpang Armada Blind Van</t>
  </si>
  <si>
    <t>Memberi penyekat pembatas antara area driver dengan barang pada mobil gran max untuk mencegah barang jatuh ke area driver dan memaksimalkan volume delivery</t>
  </si>
  <si>
    <t>JUARA 1</t>
  </si>
  <si>
    <t>*Kendaraan sewa, per agustus diganti kendaraan lebih besar. Per 2021 akan diimplement lagi</t>
  </si>
  <si>
    <t>WFM</t>
  </si>
  <si>
    <t>Grace Natalia, Febrina Larasati, Yogi Arif, Achmad Mulyadi</t>
  </si>
  <si>
    <t>Akun paket hemat</t>
  </si>
  <si>
    <t>Cut budget subsciption account freshdesk berdasar jumlah manpower yang tersedia</t>
  </si>
  <si>
    <t>JUARA 2</t>
  </si>
  <si>
    <t>CS2</t>
  </si>
  <si>
    <t>Hanifa Izmi, Tsalis Duha, Anggreiny Widya, Riska Riska, Riri Setiawati</t>
  </si>
  <si>
    <t>Efisiensi filter email spam</t>
  </si>
  <si>
    <t>Cut process, pembuatan guideline penentuan email spam atau bukan</t>
  </si>
  <si>
    <t>Firsa Rispati, Rommy Putra Gazali, Joko Purwito, Team inbound wh Angke</t>
  </si>
  <si>
    <t>Mengefektifkan Penggunaan Storage Gudang Dari Pemaksimalan Penyusunan Produk per Pallet</t>
  </si>
  <si>
    <t>Pembuatan panduan penyusunan produk di palet untuk memaksimalkan space storage</t>
  </si>
  <si>
    <t>JUARA 4</t>
  </si>
  <si>
    <t>Risk Payment</t>
  </si>
  <si>
    <t>Titis Ekky Krisnanda, Lusyana Wijaya, Sonia Pratama, Dwina M. Christy</t>
  </si>
  <si>
    <t>Efisiensi Proses Setting Skema Cicilan</t>
  </si>
  <si>
    <t>Update Database Bank</t>
  </si>
  <si>
    <t>Risk &amp; Payment</t>
  </si>
  <si>
    <t>Return &amp; Dispute Resolution</t>
  </si>
  <si>
    <t>Hardian Ruben Tobing, Arifiana Oktavia, Nur Azizah, Addinia Andriani</t>
  </si>
  <si>
    <t>Efisiensi Penggunaan Avaya</t>
  </si>
  <si>
    <t>Pengurangan jumlah Avaya</t>
  </si>
  <si>
    <t>Wh cawang dan Wh Return</t>
  </si>
  <si>
    <t>Bagus Adiprastyo, Arya Wahyu Adi Bhaskara, Iman Iskandar, Ronny Ahmad Mutter</t>
  </si>
  <si>
    <t>Efisiensi Penggunaan Kertas GIN dengan Electronic Filling System</t>
  </si>
  <si>
    <t>Kertas GIN hanya dicetak 1x saja untuk BES dan untuk Warehouse akan diarsip menggunakan sistem E-Filing dengan scan kertas GIN tersebut menggunakan aplikasi Clear Scanner di tab dan menyimpannya dalam folder sharepoint yang telah disediakan.</t>
  </si>
  <si>
    <t>Wh Karawaci</t>
  </si>
  <si>
    <t>Donovan Mewoh, Guntur Dewandono, Johan Wahyudi, Riri Pratomo</t>
  </si>
  <si>
    <t>Pemakaian Kertas Recycle (Buram) untuk Meminimalisasi Biaya Kertas</t>
  </si>
  <si>
    <t>Mengganti penggunaan kertas HVS menjadi kertas buram untuk kertas Stock Opname, putaway dan tagging SKU</t>
  </si>
  <si>
    <t>WHS Neglasari</t>
  </si>
  <si>
    <t>Beny Pangestu, Ihsan sambodo, Raimi.noor</t>
  </si>
  <si>
    <t>Pick up Gosend by WA</t>
  </si>
  <si>
    <t xml:space="preserve">Pembuatan WA business untuk Kurir Gosend melakukan konfirmasi pengambilan paket </t>
  </si>
  <si>
    <t>WH Batu Ceper</t>
  </si>
  <si>
    <t>Muhamad Faisal, Febby Amalia, Johan Andriansyah</t>
  </si>
  <si>
    <t>Mengoptimalkan cara kerja tim support - Absensi Karyawan Pihak Ketiga</t>
  </si>
  <si>
    <t>Pembuatan format excel untuk rekap absensi</t>
  </si>
  <si>
    <t>Aldia Trispantia, Muhammad Sasmita &amp; Pringgo Agiantara</t>
  </si>
  <si>
    <t>Automation slotted delivery report</t>
  </si>
  <si>
    <t>Daniel Sinjaya, Muhammad Sudibjo, Nurohman Nurohman, Refa Siregar, Gita, Nanda Pahlevi Sukarno</t>
  </si>
  <si>
    <t>Data Base Aset dan ATK Hub Jabodetabek dengan MS Flow, Form dan Sharepoint</t>
  </si>
  <si>
    <t>menggunakan MS. Form dan MS. Flow untuk pendataan history dan juga database ATK atau Aset</t>
  </si>
  <si>
    <t>BES Joglosemar</t>
  </si>
  <si>
    <t>Kharisma Praditya, Dika Apriliano, Arif Purwanto</t>
  </si>
  <si>
    <t>Mobile Hub Manpower (Operator) Optimization</t>
  </si>
  <si>
    <t>Pengurangan jumlah manpower untuk mobile hub dengan perubahan grouping tim mobile hub</t>
  </si>
  <si>
    <t>*Sekarang sudah jalan 4 mobile hub dihandle 1 grup operator (isi 3 orang)</t>
  </si>
  <si>
    <t>Customer Intelligence</t>
  </si>
  <si>
    <t>Ellisa Kristiana, Alexandrea Rency Reges, M Fiqri Kholifah, Deni Widendra</t>
  </si>
  <si>
    <t>Efisiensi Daily Reporting Findings dan Service Recovery dengan Excel Online</t>
  </si>
  <si>
    <t>Penggunaan Excel Online Report untuk compile report</t>
  </si>
  <si>
    <t>CS - Merchant Care</t>
  </si>
  <si>
    <t>Hernawan Hernawan, Indra Wahyu, Maria Ulfa Chaerunnisa, Guntur Putra, Arifah Manishati, Airul Pebri</t>
  </si>
  <si>
    <t>Agent online tepat waktu setelah pemakaian waktu longbreak.</t>
  </si>
  <si>
    <t>Penggunaan aplikasi Galarm untuk reminder break agent</t>
  </si>
  <si>
    <t>WH MEDAN</t>
  </si>
  <si>
    <t>Hasanuddin, Muhammad Sofri, Arvin Faisal Pohan, Heri Prakoso</t>
  </si>
  <si>
    <t>Efisiensi Penggunaan akun draft GIN untuk penghematan kertas GIN</t>
  </si>
  <si>
    <t>1 akun dipakai 2 orang supaya GIN 1 lembar</t>
  </si>
  <si>
    <t>WH Sidoarjo</t>
  </si>
  <si>
    <t>Daniala Kennedy , Mukhamad Fandi</t>
  </si>
  <si>
    <t>Increase Storage space utilization by selling out the unused cartons</t>
  </si>
  <si>
    <t>Penjualan kardus bekas yang sudah disimpan 2 tahun terakhir</t>
  </si>
  <si>
    <t>Risk &amp; Payment Management</t>
  </si>
  <si>
    <t>Lusyana Wijaya; Titis Ekky Krisnanda; Sonia Pratama; Dwina M. Christy</t>
  </si>
  <si>
    <t>Efisiensi Penggunaan Kertas pada proses KYC</t>
  </si>
  <si>
    <t>KTP dan NPWP discan dan dikirim by softcopy saja</t>
  </si>
  <si>
    <t>Return - Reverse Logistic</t>
  </si>
  <si>
    <t>Yesica Prayogi, Dwi Hartati, Galuh Witri</t>
  </si>
  <si>
    <t>Maksimalisasi penggunaan laporan pengiriman</t>
  </si>
  <si>
    <t>pemanfaatan bulk comment &amp; pengurangan pekerjaan yang redundant</t>
  </si>
  <si>
    <t>Warehouse Bogor</t>
  </si>
  <si>
    <t>Nisaul Aulia, Gilang Giffary, Hari Susanto, Ferdi Ferdi</t>
  </si>
  <si>
    <t>Accuracy IR Transfer Warehouse using Excel error weight</t>
  </si>
  <si>
    <t>dibuatlah excel sebagai bentuk akurasi berat dalam satu koli product IR tersebut sudah benar, untuk meminimalisir kurang atau lebih kirim</t>
  </si>
  <si>
    <t>Warehouse Depok</t>
  </si>
  <si>
    <t>Adi Surya Indra Kharisma; Rismawati Nur Muharomah; M Jose Maulana Wijaya</t>
  </si>
  <si>
    <t>Cycle Count Efficiency by Creating Stock Card</t>
  </si>
  <si>
    <t>Warehouse Cengkareng</t>
  </si>
  <si>
    <t>Jaka MalelaRommy Putra Gazali dan Tim Outbound</t>
  </si>
  <si>
    <t>Efisiensi Waktu dan Penggunaan kertas A5  pada saat serah terima dengan tim logistik</t>
  </si>
  <si>
    <t>Pengurangan kertas A5 untuk GIN logistik pickup dengan memindahkan package ID ke 1 draft GIN (jika &lt;= 4 package id)</t>
  </si>
  <si>
    <t>Warehouse Batu Ceper</t>
  </si>
  <si>
    <t>Muhamad Faisal Tri S Wibowo Johan Andriansyah Febby Amalia</t>
  </si>
  <si>
    <t>Meningkatkan Efektif &amp; Efisien Kerja Tim Support - ATK Management</t>
  </si>
  <si>
    <t>Pembuatan database ATK untuk tracking lokasi dan history pengambilannya</t>
  </si>
  <si>
    <t>WH-Sidoarjo</t>
  </si>
  <si>
    <t>Choirul Baihaqi, Azwar Anas, Erick Dwicahya</t>
  </si>
  <si>
    <t>Biaya Tersembunyi yang terjadi pada jaringan listrik 3 phase Mengurangi denda Kvar pada tagihan PLN</t>
  </si>
  <si>
    <t>Maryo Benhard Tuas; Abdul Pakpahan</t>
  </si>
  <si>
    <t>Efisiensi waktu ETA &amp; cost linehaul Bandung- Semarang</t>
  </si>
  <si>
    <t>Aldia Trispantia; Muhammad Sasmita; Pringgo Agiantara; Nanda Pahlevi Sukarno</t>
  </si>
  <si>
    <t>Automation Case Management</t>
  </si>
  <si>
    <t>Pemberian Kode pada Case Man untuk mempermudah identifikasi dan kategorisasi case</t>
  </si>
  <si>
    <t>BES Denpasar</t>
  </si>
  <si>
    <t>Made Sudiatmika</t>
  </si>
  <si>
    <t>Pembuatan Form Excel untuk Pencatatan Delivery Trip Kurir</t>
  </si>
  <si>
    <t>CRCM</t>
  </si>
  <si>
    <t>Iwan Santoso, Lottar Matheus, Daniel Lumbantoruan, Tinton Aribowo</t>
  </si>
  <si>
    <t>Perubahan mekanisme dalam mengirimkan email ke customer mengggunakan freshdesk</t>
  </si>
  <si>
    <t>Email balasan dari customer terassign secara otomatis ke agent sebelumnya</t>
  </si>
  <si>
    <t>?</t>
  </si>
  <si>
    <t>BLITS College - Knowledge Management</t>
  </si>
  <si>
    <t>Novita Rahmawati Vina Vibrianti Kusuma Siti Mariyani</t>
  </si>
  <si>
    <t>Pembuatan Excel Online Report untuk Rekapitulasi Stock AHA Moment</t>
  </si>
  <si>
    <t>WH SOC E - Karanganyar</t>
  </si>
  <si>
    <t>Deny Hermawan; Afariza Rismadhan; Muhammad Yunus</t>
  </si>
  <si>
    <t>Optimalisasi Penempatan dan Pemakaian Material Packaging (MP)</t>
  </si>
  <si>
    <t>Pengurangan space storage packaging dengan menggunakan container yang ditumpuk</t>
  </si>
  <si>
    <t>Return &amp; Dispute</t>
  </si>
  <si>
    <t>Steven Liauw; Yoanna Widayanto; Reni Novrianti; Addinia Andriani; Nur Azizah; Mahpudin</t>
  </si>
  <si>
    <t>Efisiensi proses autorisasi case retur pada XO Return</t>
  </si>
  <si>
    <t>penggunaan formula di file excel untuk decide case retur bisa dilanjutkan &amp; perlu pick up atau enggak, sebagai pengganti baca case 1-1</t>
  </si>
  <si>
    <t>Return - Claim Management</t>
  </si>
  <si>
    <t>Yunika Nurmalia Cicilia Valenciana Ni Ketut Nuari Sumiati Oktavianti @amanda.sabila</t>
  </si>
  <si>
    <t>Menerapkan Proses Handover Salvage Claim Logistic (JNE) diseluruh Warehouse Return Decentral</t>
  </si>
  <si>
    <t>Desentralisasi proses handover dengan logitic (JNE) dari WH Return Cawang saja menjadi diseluruh warehouse return decentral</t>
  </si>
  <si>
    <t>Warehouse Offline</t>
  </si>
  <si>
    <t xml:space="preserve">Titus Wahyu Kurniawan, Angelia Tirta, Pebrianti Mardhiyyah, Amelthia Rahel, Adi Surya Indra Kharisma
</t>
  </si>
  <si>
    <t>Efisiensi penggunakaan Kertas A4 untuk proses picking dan BTT</t>
  </si>
  <si>
    <t>Penggantian penggunaan kertas A4 menjadi A5</t>
  </si>
  <si>
    <t>Warehouse IMS Neglasari</t>
  </si>
  <si>
    <t>Raimi Noor, Muhamad Syarief, Muhamad Faisal, Win Purwanto</t>
  </si>
  <si>
    <t>Mengurangi penggunaan stretch Flim ( wrapping ) pada proses Putaway</t>
  </si>
  <si>
    <t>Warehouse batu ceper</t>
  </si>
  <si>
    <t>Teguh.santoso, oki suharyadi, fiki akbar, jodi setiawan, Tri S Wibowo</t>
  </si>
  <si>
    <t>Persiapan kontener picking untuk memudahkan picker dalam proses picking</t>
  </si>
  <si>
    <t>Memindahkan proses persiapan container untuk Picking sebelum order masuk ke apps Picker</t>
  </si>
  <si>
    <t>Al hadid Lubis Saiful Amri, Deddi Rinto, Dwi Satri</t>
  </si>
  <si>
    <t>Meng_optimalkan Cycle Count dengan melibatkan semua karyawan warehouse.</t>
  </si>
  <si>
    <t>BES Medan - Deli Serdang</t>
  </si>
  <si>
    <t>Eka Rizky Kurniawan</t>
  </si>
  <si>
    <t>Efisiensi Waktu dan Biaya Pengisian Form Ceklist Kendaraan dengan Menggunakan Form Online</t>
  </si>
  <si>
    <t>Penggunaan Form Online untuk Checklist Kendaraan</t>
  </si>
  <si>
    <t>XO</t>
  </si>
  <si>
    <t>Novi Elviyantini, Jiswel Eral, Jaka Cawanda, Umi Zahrah, Mahpudin</t>
  </si>
  <si>
    <t>Efisiensi Proses pengerjaan Follow Up di XO Caller Retur dengan Menghilangkan label BKA dan BKB (label pantau barang datang)</t>
  </si>
  <si>
    <t>BSD &amp; SMG</t>
  </si>
  <si>
    <t>Angger Mahdani, Arvina Utami, Istichanah</t>
  </si>
  <si>
    <t>Efisiensi coaching WFH</t>
  </si>
  <si>
    <t>Efisiensi Coaching dengan menggunakan pre-test untuk menentukan agent mana yang perlu mendapat coaching</t>
  </si>
  <si>
    <t>PERIODE 5</t>
  </si>
  <si>
    <t>Return - QC</t>
  </si>
  <si>
    <t>Annissa Meuthia Kasih Daulay Dandy A. Putra Ayu Fitriyanti Yuni Widiasih Edwin Agustian, Aldiy Pramitha</t>
  </si>
  <si>
    <t>Efisiensi Pengambilan dan Pemasukan Foto Hasil Pengecekan Produk</t>
  </si>
  <si>
    <t>Membuat ketentuan jenis foto dan jumlah foto yang dapat diupload ke dalam sistem</t>
  </si>
  <si>
    <t>DPIM &amp; WH Cikarang</t>
  </si>
  <si>
    <t>Yongky Ujianto Fauzan, Angela Destha Cherie Adi Alamsyah Erfandi Asra</t>
  </si>
  <si>
    <t>Penggunaan Macro dalam melalukan proses inbound check</t>
  </si>
  <si>
    <t>Ferdi Ferdi , Gilang Giffary , Hari Susanto , Nisaul Aulia</t>
  </si>
  <si>
    <t>Penggunaan Media "Kartu" Picking Sebagai Container ID Untuk Mempermudah Proses Fulfillment</t>
  </si>
  <si>
    <t xml:space="preserve"> Penggunaan Media "Kartu" Picking Sebagai Container ID Untuk Mempermudah Proses Fulfillment</t>
  </si>
  <si>
    <t>Made Datu, Faisal Wibowo, Rismawati Nur Muharomah, @agus.pujianto</t>
  </si>
  <si>
    <t>Efisiensi Waktu Pengecekan Form Checklist Dengan DO</t>
  </si>
  <si>
    <t>Penambahan kolom Jumlah Karton di Form Checklist untuk mempermudah perhitungan</t>
  </si>
  <si>
    <t>Warehouse Medan</t>
  </si>
  <si>
    <t>Muhammad Sofri, @heri.prakoso, @hasanuddin, @febri.kinana</t>
  </si>
  <si>
    <t>Pemanfaatan Aset Keranjang Sebagai Storage Guna Efisiensi Space Yang Terbatas Di Warehouse Medan</t>
  </si>
  <si>
    <t>BES Bandung - Batununggal</t>
  </si>
  <si>
    <t>Satya Putra, Galih Kartiwa</t>
  </si>
  <si>
    <t>Efisiensi waktu dalam pembuatan Report Pickup BES dengan one touch (Ctrl+K) Macro</t>
  </si>
  <si>
    <t>Macro untuk membuat format report Pickup dengan otomatis</t>
  </si>
  <si>
    <t>*Internal saja tidak ke tempat lain</t>
  </si>
  <si>
    <t>WH - Semarang</t>
  </si>
  <si>
    <t>Endjelis Hilma Lovita ; Adytyas Sunjaya</t>
  </si>
  <si>
    <t>Pemanfaatan Area Belum Terpakai untuk Menambah Kapasitas Penyimpanan dan Berkontribusi Menghemat Biaya Penyimpanan</t>
  </si>
  <si>
    <t>CS - WTC</t>
  </si>
  <si>
    <t>Jaka Surya Nike Rika Rusna Wati Rendra Satria, Dwi Agustin, Yonathan Yonathan</t>
  </si>
  <si>
    <t>Efisiensi waktu dalam perhitungan biaya layanan kartu kredit</t>
  </si>
  <si>
    <t>Pembuatan Excel Simulator untuk kalkulasi biaya layanan kartu kredit</t>
  </si>
  <si>
    <t>Cicilia Valenciana Yunika Nurmalia</t>
  </si>
  <si>
    <t>Penerapan Proses Destroy Barang Klaim Tokio Marine tipe Consumer Goods di Seluruh Warehouse Return Decentral</t>
  </si>
  <si>
    <t>Iwan Santoso, Lottar Matheus</t>
  </si>
  <si>
    <t>Penggunaan Aplikasi TMS pada proses pengerjaan Follow up Customer dengan Order pertama kali untuk Produk Gudang dan pengiriman menggunakan BES</t>
  </si>
  <si>
    <t>PERIODE 6</t>
  </si>
  <si>
    <t>Saras Kartika Dewi, Gerardo Laudus, Joudy Arifin, Puspa Ningrum, marzha ayudia, Tria Nuning</t>
  </si>
  <si>
    <t>Efisiensi Perhitungan KPI Inventory &amp; Asset Recovery menggunakan macro</t>
  </si>
  <si>
    <t>Macro improvement untuk perhitungan KPI</t>
  </si>
  <si>
    <t>WH Cimanggis</t>
  </si>
  <si>
    <t>Made Datu, Faisal Wibowo, Rismawati Nur Muharomah</t>
  </si>
  <si>
    <t>Efisiensi Biaya Penyimpanan Barang di Storage (Long Term)</t>
  </si>
  <si>
    <t>Mengganti stretch film dengan stretch rope &amp; carton edge</t>
  </si>
  <si>
    <t>BES Jabodetabek</t>
  </si>
  <si>
    <t xml:space="preserve">Pringgo Agiantara, Rika Novita, Muhammad Sudibjo, Muhammad Sasmita, Aldia Trispantia, Subahan Subahan, Berino Estrada Lubis, Saeful Ridwan, Nurohman Nurohman, Sigit Nugroho, Daniel Sinjaya </t>
  </si>
  <si>
    <t>Kurir Delivery Harian</t>
  </si>
  <si>
    <t>Hiring Kurir Harian dengan charge per AWB untuk mengurangi biaya manpower</t>
  </si>
  <si>
    <t>CS - Customer Intelligence</t>
  </si>
  <si>
    <t>Ellisa Kristiana, Melody Melody, Alexandrea Rency Reges, Faishal Rafie</t>
  </si>
  <si>
    <t>Efisiensi Tarik Data dan Olah Data CSAT</t>
  </si>
  <si>
    <t>Macro improvement untuk Tarik dan Olah Data</t>
  </si>
  <si>
    <t>CS - WFM</t>
  </si>
  <si>
    <t>Febrina Larasati, Irwan Istiyawan, Yogi Arif</t>
  </si>
  <si>
    <t>Spesialisasi job desk XO Digital dan  efisiensi penggunaan AVAYA serta shifting agent XO Digital</t>
  </si>
  <si>
    <t>Efisiensi Avaya dan pengaturan Shifting XO Digital</t>
  </si>
  <si>
    <t>PERIODE 7</t>
  </si>
  <si>
    <t>Lathiif Daniar; Hendro Purnomo; Nova Permatasari;Riswanda Daniswara</t>
  </si>
  <si>
    <t>Menurunkan Waktu Pengerjaan Email CMAdmin Menggunakan Macro Excel</t>
  </si>
  <si>
    <t>Macro Excel untuk pengerjaan email</t>
  </si>
  <si>
    <t>Return - Collab (QC, Reverse, Resolution Team)</t>
  </si>
  <si>
    <t>Ryan Wirjan, Danang Susilo, Muhammad Rifqi, Candra Andriana, Dicky Darmawan, Ari Kurniawan, Ridwan Handoko</t>
  </si>
  <si>
    <t>Efisiensi Shipping Cost dan Kecepatan Pengembalian Produk Merchant Apple Store (VIP Merchant)</t>
  </si>
  <si>
    <t>Direct return to Apple Store</t>
  </si>
  <si>
    <t>WH Bantar Gebang 1</t>
  </si>
  <si>
    <t xml:space="preserve">Trismawan Juliansyah, Frieska Ellyana </t>
  </si>
  <si>
    <t>Efisiensi Penggunaan Kertas HVS pada Inbound Process.</t>
  </si>
  <si>
    <t>Efisiensi kertas</t>
  </si>
  <si>
    <t>WH Bantar Gebang 2</t>
  </si>
  <si>
    <t>Arif Riyanto, Rhesa Ronaldy, Andri, Richard friendly</t>
  </si>
  <si>
    <t>optimalisasi proses QC dengan pembuatan box packing di awal</t>
  </si>
  <si>
    <t>Persiapan box packaging di awal</t>
  </si>
  <si>
    <t>WH Bantar Gebang 3</t>
  </si>
  <si>
    <t>adi.pravianto, Chigara Wittesa</t>
  </si>
  <si>
    <t>Optimalisasi penggunaan bin pada shelving</t>
  </si>
  <si>
    <t>Muhammad Sofri Hasanuddin, Febri Kinana</t>
  </si>
  <si>
    <t>Optimalisasi Penjualan Sales Offline</t>
  </si>
  <si>
    <t xml:space="preserve">Muhammad Sudibjo Daniel Sinjaya Aldia Trispantia @azmir.mahmudin, @refa.siregar, </t>
  </si>
  <si>
    <t>Efisiensi Pembuatan SPK (Service Mobil BES) Menggunakan Mail Merge</t>
  </si>
  <si>
    <t>Penggunaan Mail Merge</t>
  </si>
  <si>
    <t>Experience Solution (XO)</t>
  </si>
  <si>
    <t>Gadis Karesa, Umi Zahrah,Jaka Cawanda,Jiswel Eral,Novi Elviyantini</t>
  </si>
  <si>
    <t>XO Blending</t>
  </si>
  <si>
    <t>Combine XO Caller dangan XO Specialist, pengurangan avaya</t>
  </si>
  <si>
    <t>Inbound  BSD &amp; SMG</t>
  </si>
  <si>
    <t>Igih Fauzi Fadillah, Wahyu Anggara, Ganesia Citra</t>
  </si>
  <si>
    <t>Audio briefing menggunakan media Google Drive</t>
  </si>
  <si>
    <t>WH Cikarang 1</t>
  </si>
  <si>
    <t>Erfandi Asra ,Wildan BashariDanu Prayitna, Septian Handayansyah, Zulhijjah Fadilah, Anisa Trisiana</t>
  </si>
  <si>
    <t xml:space="preserve">Penggunaan BIN Untuk Putaway Barang Fashion atau Barang Berdimensi Kecil </t>
  </si>
  <si>
    <t>Pemanfaatan Kardus sebagai Bin untuk barang Fashion</t>
  </si>
  <si>
    <t>WH Cikarang 2</t>
  </si>
  <si>
    <t>Wildan Bashari , Darmina, Lisnawati , Afif Arbianto.</t>
  </si>
  <si>
    <t>Efisiensi Proses RTV Fashion</t>
  </si>
  <si>
    <t>Pembuatan Jadwal Cycle Count per minggu untuk barang RTV</t>
  </si>
  <si>
    <t>WH Cengkareng</t>
  </si>
  <si>
    <t>Firsa Rispati, Rommy Putra Gazali, Bayu Indrawan,Inbound Warehouse Angke</t>
  </si>
  <si>
    <t>Peningkatan Kapasitas Penggunaan Rack Shelving Sebesar 20% Dengan Memanfaatkan "GAP Free Space" Yang Tidak Terpakai.</t>
  </si>
  <si>
    <t>Modifikasi jumlah level shelving untuk menambah jumlah bin</t>
  </si>
  <si>
    <t>PERIODE 8</t>
  </si>
  <si>
    <t>Inventory And Asset Recovery</t>
  </si>
  <si>
    <t>Gerardo Laudus, Destriny Hutauruk, Puspa Ningrum, @Marzha Puspa, Tria Nuning</t>
  </si>
  <si>
    <t>Efisiensi waktu penentuan pem-booking bazar dengan makro excel</t>
  </si>
  <si>
    <t>Macro untuk pemenang bazaar</t>
  </si>
  <si>
    <t>Bambang Eko Rahardjo, Wildan Bashari, Hendra S. Maulana, Rendi Malik</t>
  </si>
  <si>
    <t>Efisiensi Proses Fulfillment (Order dan IR) Material Packaging</t>
  </si>
  <si>
    <t>Pemindahan Lokasi Storage untuk percepat fulfill Material Packaging</t>
  </si>
  <si>
    <t>Juara 1</t>
  </si>
  <si>
    <t>WH Medan Satria (WSK)</t>
  </si>
  <si>
    <t>Bagus Adiprastyo, Arya Wahyu Adi Bhaskara</t>
  </si>
  <si>
    <t>Pengguan Sekat Layer sebagai pengganti Bin Storage</t>
  </si>
  <si>
    <t>WH Yogyakarta</t>
  </si>
  <si>
    <t>Desgracia Rumapea, Maulana Adhi Purnomo, Agus Sutrisno, Piping Christiawan</t>
  </si>
  <si>
    <t>Efisiensi Stock Opname Moving Menggunakan Tablet</t>
  </si>
  <si>
    <t>Penggunaan Tablet untuk identifikasi Storage dan SKU yang ada transaksi hari sebelumnya untuk dilakukan Stock Opname Moving</t>
  </si>
  <si>
    <t>Juara 2</t>
  </si>
  <si>
    <t>Daniel Sinjaya Muhammad Sudibjo Jannes, Sakban</t>
  </si>
  <si>
    <t>Macro Identifikasi AWB Trade In (Reverse)</t>
  </si>
  <si>
    <t>Maman Hanafie Dony Setyawan Joko Susilo</t>
  </si>
  <si>
    <t>Efisiensi Waktu Input Data Manifest Linehaul &amp; Cetak Resi 7 Logistik Menggunakan Macro</t>
  </si>
  <si>
    <t>Macro input data</t>
  </si>
  <si>
    <t>BSD SMRG WFM</t>
  </si>
  <si>
    <t>Angger Mahdani Wahyu Anggara Yogi Arif</t>
  </si>
  <si>
    <t>Telepon Tepat, Lebih Hemat</t>
  </si>
  <si>
    <t>Pembuatan Flow untuk record outgoiing call</t>
  </si>
  <si>
    <t>Seller Care - WTC</t>
  </si>
  <si>
    <t>Hernawan Hernawan, Arifah Manishati, Airul Pebri,Guntur Putra, Maria Ulfa Chaerunnisa</t>
  </si>
  <si>
    <t>Efisiensi waktu untuk perhitungan biaya margin produk</t>
  </si>
  <si>
    <t>Pembuatan Simulator di Excel untuk mempermudah Agent menghitungkan Harga Jual di Web, berdasar Harga Pokok dan Profit yang diinginkan Seller</t>
  </si>
  <si>
    <t>Juara 3</t>
  </si>
  <si>
    <t>WH Bogor</t>
  </si>
  <si>
    <t>Hari Susanto Nisaul Aulia Gilang Giffary Ferdi</t>
  </si>
  <si>
    <t>Efisiensi storage non dist (reject) dengan menggunakan Container &amp; kardus bekas</t>
  </si>
  <si>
    <t>Penggunaan Container untuk storage penyimpanan</t>
  </si>
  <si>
    <t>Periode 9</t>
  </si>
  <si>
    <t>Firsa Rispati, Rommy Putra Gazali,Jaka Malela,Ari Firdaus, Rizki Agustiawan</t>
  </si>
  <si>
    <t>Migrasi penggunaan form checklist manual pada checker ke penggunaan Tablet</t>
  </si>
  <si>
    <t>Juara 4</t>
  </si>
  <si>
    <t>Return  &amp; Dispute Resolution</t>
  </si>
  <si>
    <t>Ira Novianti, Nur Azizah, Addinia Andriani, Steven Liauw</t>
  </si>
  <si>
    <t>Reduction variant of escalated case in Customer Resolution</t>
  </si>
  <si>
    <t>Pembuatan Panduan kerja untuk mengurangi jumlah eskalasi case</t>
  </si>
  <si>
    <t>WH Bantar Gebang</t>
  </si>
  <si>
    <t>Trismawan Juliansyah, Chigara Wittesa, Arif Riyanto, Salwa Susiani</t>
  </si>
  <si>
    <t>Optimalisasi Pemanfaatan Limbah Material Packaging</t>
  </si>
  <si>
    <t>Riri Pratomo Guntur Dewandono Johan Wahyudi Donovan Mewoh</t>
  </si>
  <si>
    <t>Gimmick Pre-Identification before Order Reach QC Station</t>
  </si>
  <si>
    <t>Prepare Gimmick free gift saat order masih status 4</t>
  </si>
  <si>
    <t>Warehouse Medan Satria</t>
  </si>
  <si>
    <t>Bagus Adiprastyo Arya Wahyu Adi Bhaskara, jessica suradi</t>
  </si>
  <si>
    <t>Penggunaan Sekat Layer sebagai pengganti Bin Storage</t>
  </si>
  <si>
    <t>Warehouse Deli Serdang</t>
  </si>
  <si>
    <t>Al hadid Lubis, Saiful Amri, Umri Umri, hendra, Dedi parasian</t>
  </si>
  <si>
    <t>Mengoptimalkan penggunaan space Material Packaging untuk menambah space storage Distribusi</t>
  </si>
  <si>
    <t>Relayout area storage material pacakging dan meningkatkan ketinggian tumpukan material packaging</t>
  </si>
  <si>
    <t>Arif Purwanto, Kharisma Praditya</t>
  </si>
  <si>
    <t>Mobile Hub Delivery Time Optimization</t>
  </si>
  <si>
    <t>Memindahkan proses routing trip oleh driver ke hari H-1 supaya dirver dapat membuat routing yang lebih optimal</t>
  </si>
  <si>
    <t>*Sdh diterapin ke MH kudus, MH pati, MH ungaran, MH salatiga, MH semarang, dan MH Kendal</t>
  </si>
  <si>
    <t>WH Bandung</t>
  </si>
  <si>
    <t>Dimy Iryadie Cahya Achmad Rizal</t>
  </si>
  <si>
    <t>Efisiensi Penggunaan Box Material 007 dengan Box Origin [TESSA 250 Sheets/ 2 Ply]</t>
  </si>
  <si>
    <t>Order Tessa dengan qty 20 pcs (setengah karton) dipacking menggunakan original box.</t>
  </si>
  <si>
    <t>Inbound WTC</t>
  </si>
  <si>
    <t>Rahayu Stianingsih Dyah Farrah Agustin Lenny Dwiyanti Elvin Sastra Aisyah Bunge</t>
  </si>
  <si>
    <t>Efisiensi Proses Unblock (Checkout Block) oleh Team Leader</t>
  </si>
  <si>
    <t>Efisiensi Unblock dengan pembuatan forum slack</t>
  </si>
  <si>
    <t>Effisiensi visit customer untuk meningkatkan compliment dari customer</t>
  </si>
  <si>
    <t>Mengganti kegiatan Tim CRCM visit ke customer menjadi call / WA</t>
  </si>
  <si>
    <t>Periode 10</t>
  </si>
  <si>
    <t>Return &amp; Dispute Resolution Team 2</t>
  </si>
  <si>
    <t>Hardian Ruben Tobing Aina Aitunisya Chomsyiyatun Chomsyiyatun Reni Novrianti</t>
  </si>
  <si>
    <t>Efisiensi Pengerjaan Pemotongan Logistic Fee dan Penalty Menggunakan Macro</t>
  </si>
  <si>
    <t>Macro untuk mempercepat perhitungan potongan logistic fee dan penalty</t>
  </si>
  <si>
    <t>Gilang GiffaryHari Susanto Nisaul Aulia Ferdi Ferdi</t>
  </si>
  <si>
    <t xml:space="preserve">Rekap Proses Perhitungan Berat dan Kubikasi Laporan IR </t>
  </si>
  <si>
    <t>Perubahan cara penentuan volume IR dari mengukur manual paletnya dengan menggunakan dimensi produk Stockholm</t>
  </si>
  <si>
    <t>hasanuddin, arvin.pohan, heri.prakoso, indri.otavida</t>
  </si>
  <si>
    <t>Reschedule Logistik Si Cepat Demi Mengejar SLA</t>
  </si>
  <si>
    <t>Aldia Trispantia Pringgo Agiantara Daniel Sinjaya Muhammad Sudibjo Intan Debora SihombingSigit Nugroho Nurohman Nurohman Subahan Subahan Berino Estrada Lubis</t>
  </si>
  <si>
    <t>Perubahan skema linehaul mother hub menjadi non-criss cross</t>
  </si>
  <si>
    <t>Linehaul mother hub yang sebelumnya 2 mobil dari MH1 ke MH2 dan sebaliknya, diefisiensikan menjadi 1 mobil saja</t>
  </si>
  <si>
    <t>CS Knowledge Management &amp; AHA</t>
  </si>
  <si>
    <t>Siti Mariyani Vina Vibrianti Kusuma Novita Rahmawati</t>
  </si>
  <si>
    <t>Pengadaan Stok Kecil untuk AHA Moment Fulfillment</t>
  </si>
  <si>
    <t>Perubahan tempat penyimpanan stock gimmick untuk AHA moment</t>
  </si>
  <si>
    <t>Umi Zahrah Jiswel Eral</t>
  </si>
  <si>
    <t>Konfirmasi Customer (courtesy) Blast SMS</t>
  </si>
  <si>
    <t>Konfirmasi courtesy ke customer menggunakan SMS, tadinya call</t>
  </si>
  <si>
    <t>Periode 11</t>
  </si>
  <si>
    <t>Hafiz Fadilli, Amelia Arifin, Verencia Permatasari</t>
  </si>
  <si>
    <t>Efisiensi Proses Rekonsiliasi Berat BES Incentive</t>
  </si>
  <si>
    <t>Menggunakan formula Excel sebagai pengganti proses filter dalam menentukan AWB yang perlu di cek berat dan berat pengiriman yang akan digunakan</t>
  </si>
  <si>
    <t>Return &amp; Dispute Resolution Team 3</t>
  </si>
  <si>
    <t>Arifiana Oktavia, Yoanna Widayanto, Dina Anggraini</t>
  </si>
  <si>
    <t>Efisiensi Pengerjaan Case Kategori Makanan Segar dan Makanan Beku (selain reason klaim kurang kirim)</t>
  </si>
  <si>
    <t>Menggunakan data tarikan dari case management sebagai pengganti data tarikan jasper Pengerjaan Case Kategori Makanan Segar dan Makanan Beku (selain reason klaim kurang kirim)</t>
  </si>
  <si>
    <t>BES &amp; WH Makassar</t>
  </si>
  <si>
    <t>Efisiensi penggunaan Bubble wrap WH Makassar dengan memanfaatkan Bubble wrap bekas dari linehaul Avia</t>
  </si>
  <si>
    <t>Andi Rahman, Indra Wahyu, Dini Amelia, Hendri Volta</t>
  </si>
  <si>
    <t>Efisiensi tagihan utilitas masa pandemi all site customer management</t>
  </si>
  <si>
    <t>Bukan Kaizen</t>
  </si>
  <si>
    <t>Yonathan Yonathan, Dyah Farrah Agustin, Jaka Surya, Tsalis Duha</t>
  </si>
  <si>
    <t>Efisiensi Resend Voucher dan Pengecekan Voucher melalui label SPV</t>
  </si>
  <si>
    <t>Efisiensi proses eskalasi case dengan langsung eskalasi ke SPV Outbound tanpa melalui XO</t>
  </si>
  <si>
    <t>Periode 12</t>
  </si>
  <si>
    <t>Deltha FianiLathiif Daniar Susanti A. Marpaung Muhammad Sasmita</t>
  </si>
  <si>
    <t>Efisiensi Proses Pengerjaan Rekapan Order Pengambilan.</t>
  </si>
  <si>
    <t>Penggunaan macro untuk automate copy paste repor order pengambilan</t>
  </si>
  <si>
    <t>Claim Management</t>
  </si>
  <si>
    <t>Yunika Nurmalia Yesica Prayogi Cicilia Valenciana Kartika Saputri Faishal Rafie Ni Ketut Nuari Sumiati Oktavianti @amanda.sabilla</t>
  </si>
  <si>
    <t>Efisiensi penggunaan macro untuk pembuatan kelengkapan dokumen claim</t>
  </si>
  <si>
    <t>Penggunaan macro untuk scrapping data dari IDV</t>
  </si>
  <si>
    <t>WH - Kramat Jati</t>
  </si>
  <si>
    <t>Efisiensi Penggunaan Box Modif</t>
  </si>
  <si>
    <t>WH - Bantar Gebang</t>
  </si>
  <si>
    <t>Chigara Wittesa, Wildan Bashari, arif.riyanto, adi.pravianto</t>
  </si>
  <si>
    <t>Optimalisasi Space Pada Penggunaan Storage Floor</t>
  </si>
  <si>
    <t>Pembuatan Rumus Excel untuk identifikasi barang receh di floor storage</t>
  </si>
  <si>
    <t>Company Asset Management : Calculation of IT asset requirements</t>
  </si>
  <si>
    <t>WH MES S-MEDAN DELITUA</t>
  </si>
  <si>
    <t>Muhammad Sofri , @hasanuddin, @arvin faisal pohan, @digo</t>
  </si>
  <si>
    <t>Penggunaan tabel timbangan pada outbound</t>
  </si>
  <si>
    <t>Wh Sidoarjo</t>
  </si>
  <si>
    <t>Iman Iskandar Yossep Eriyanto erick.dwicahya</t>
  </si>
  <si>
    <t>DHO - Digital Hand Over ( Penggunaan Tablet untuk Hand Over)</t>
  </si>
  <si>
    <t>BES Sumut (Medan - Deli Serdang)</t>
  </si>
  <si>
    <t>Efisiensi Biaya dan Delegasi Pekerjaan Coordinator BES Deli Serdang</t>
  </si>
  <si>
    <t xml:space="preserve">	Inbound  BSD &amp; SMG</t>
  </si>
  <si>
    <t>Igih Fauzi Fadillah Arvina Utami Istichanah Istichanah</t>
  </si>
  <si>
    <t>Load Balancing to be less wasting</t>
  </si>
  <si>
    <t>Sentralisasi perubahan setting comm100 dari masing2 agent ke TL</t>
  </si>
  <si>
    <t>CI, CRCM, WFM, INBOUND, CBI</t>
  </si>
  <si>
    <t>Ellisa Kristiana Hendra Saputra Melody Melody Amanda Amanda Iwan Santoso Febrina Larasati Alexandrea Rency Reges</t>
  </si>
  <si>
    <t>Efisiensi Proses Monitoring dan Coaching untuk Percakapan Berpotensi HC dengan Query Bad Words Comm100</t>
  </si>
  <si>
    <t xml:space="preserve">Sentralisasi penarikan percakapan potensi Hard Complaint ke 1 orang untuk seluruh TL </t>
  </si>
  <si>
    <t>Periode 13</t>
  </si>
  <si>
    <t>Reverse Logistic</t>
  </si>
  <si>
    <t>Yesica Prayogi Ryan Wirjan Gerardo Laudus Icha Pratiwi Dwi.Hartati</t>
  </si>
  <si>
    <t>Otomatisasi Alokasi Penjadwalan Pick Up - Reverse Logistic</t>
  </si>
  <si>
    <t>Pembuatan Macro untuk alokasi Penjadwalan Pickup Logistic</t>
  </si>
  <si>
    <t>Chigara Wittesa, Wildan Bashari, @wafi.lutfia, @reza.renaldi</t>
  </si>
  <si>
    <t>Dead Stock Monitoring di Warehouse</t>
  </si>
  <si>
    <t>Monitoting dan memindahkan barang dead stock ke area khusus</t>
  </si>
  <si>
    <t>WH - Cikarang</t>
  </si>
  <si>
    <t>Erfandi Asra, Danu Prayitna, Syah Fauzy</t>
  </si>
  <si>
    <t>Mapping Area Staging Putaway</t>
  </si>
  <si>
    <t>WH - Cengkareng</t>
  </si>
  <si>
    <t>Jaka Malela Made Datu Firsa Rispati Amelthia Rahel</t>
  </si>
  <si>
    <t>Efisiensi Waktu Picking dengan Menyederhanakan Alur Picking</t>
  </si>
  <si>
    <t>HENDRA, Saiful Amri, Al hadid Lubis, DEDI RINTO PARASIAN, DWI SATRIA</t>
  </si>
  <si>
    <t>Efisiensi Waktu dan Man Power Pada Proses Pengecekan Inbound Dengan Metode Scan UPC EAN</t>
  </si>
  <si>
    <t>Pengecekan kesesuaian barang dengan menggunakan scan UPC/EAN</t>
  </si>
  <si>
    <t xml:space="preserve">WFM </t>
  </si>
  <si>
    <t>Febrina Larasati, Grace Natalia</t>
  </si>
  <si>
    <t>Efisiensi handling time tiket email</t>
  </si>
  <si>
    <t>Pengecekan tiket dilakukan oleh WFM daripada agent</t>
  </si>
  <si>
    <t>Seller Care</t>
  </si>
  <si>
    <t>Airul Pebri Guntur Putra Maria Ulfa Chaerunnisa</t>
  </si>
  <si>
    <t>Efisiensi waktu pengecekan AWB produk retur</t>
  </si>
  <si>
    <t>Percepat AHT di Seller Care dengan pemindahan data AWB Retur dari sharing folder M ke Confluence</t>
  </si>
  <si>
    <t>Periode 14</t>
  </si>
  <si>
    <t>Reverse Logistic &amp; Quality Assurance</t>
  </si>
  <si>
    <t>Ryan Wirjan, Cicilia Valenciana, Ari Kurniawan, Danang Susilo, Muhammad Rifqi, Candra Andriana, Jeremy Tambunan, Aldiy Pramita</t>
  </si>
  <si>
    <t>Efisiensi Proses Retur Damaged/Broken Consumer Goods</t>
  </si>
  <si>
    <t>Jaka Malela Firsa Rispati Amelthia Rahel Made Datu</t>
  </si>
  <si>
    <t>Efisiensi Waktu Packing dengan Modifikasi Bubble Wrap</t>
  </si>
  <si>
    <t>BUKAN Kaizen, sudah dilakukan di Medan dari tahun lalu</t>
  </si>
  <si>
    <t>WH MES E - Deli Serdang</t>
  </si>
  <si>
    <t>Al hadid Lubis Saiful Amri, umri, dedi.parasian, hendra</t>
  </si>
  <si>
    <t>Mengganti penggunaan Plastik blibli102 ke Plastik PE Trasnsparan Seal untuk Logistik BES Tujuan Dalam Kota</t>
  </si>
  <si>
    <t>WH Sub- Sidoardjo</t>
  </si>
  <si>
    <t>Iman Iskandar, Yossep Eriyanto, Erick.dwicahya</t>
  </si>
  <si>
    <t>Menghilangkan dan Mengganti Penggunaan Lakban dan Stiker Fragile dengan menambahkan informasi Fragile di Shipping Label</t>
  </si>
  <si>
    <t>BUKAN Kaizen, perlu Improvement Sistem</t>
  </si>
  <si>
    <t>Menghilangkan Penggunaan Lakban dan Shipping Label  untuk Order BOPIS</t>
  </si>
  <si>
    <t>Ellisa Kristiana Mei Fitria Handayani Alexandrea Rency Reges</t>
  </si>
  <si>
    <t>Automasi dan Sentralisasi Perhitungan Sample Monitoring</t>
  </si>
  <si>
    <t>Wimara</t>
  </si>
  <si>
    <t>Josh Ber</t>
  </si>
  <si>
    <t>Rio</t>
  </si>
  <si>
    <t>Report Excel Link</t>
  </si>
  <si>
    <t>Predikat
(peserta, present, takeout + reason, juara)</t>
  </si>
  <si>
    <t>Scoring Notes</t>
  </si>
  <si>
    <t>Group PA</t>
  </si>
  <si>
    <t>Saving / month / group PA</t>
  </si>
  <si>
    <t>Saving per 30 Jun per grup PA</t>
  </si>
  <si>
    <t>Saving / year / grup PA</t>
  </si>
  <si>
    <t>Total Score</t>
  </si>
  <si>
    <t>Report Score</t>
  </si>
  <si>
    <t>Idea Score</t>
  </si>
  <si>
    <t>Saving per 30 Jun</t>
  </si>
  <si>
    <t>Implementation Consistency (1/0)</t>
  </si>
  <si>
    <t>Caring</t>
  </si>
  <si>
    <t>Make it Better</t>
  </si>
  <si>
    <t>Eka Sriningsih Firsty Kartika Riswanda Daniswara Nova.permatasari</t>
  </si>
  <si>
    <t>Penggunaan macro perhitungan 2x SLA Logistik</t>
  </si>
  <si>
    <t>Penghitungan order dengan SLA Logistik menggunakan rumus manual</t>
  </si>
  <si>
    <t>Penggunaan macro untuk automasi penghitungan order dengan SLA Logistik</t>
  </si>
  <si>
    <t>https://gdncomm.sharepoint.com/:f:/s/Operation/Esfbbrq31MVLq9mC_Dt43cMBZFtnsCTeoW7YLp8ORPQjbw?e=vdt55G</t>
  </si>
  <si>
    <t>Gerardo Laudus, Icha Pratiwi, Stefanus Laksono, Tria Nuning, 
jeremy tambunan, Candra.Andriana</t>
  </si>
  <si>
    <t xml:space="preserve">Meningkatkan Profit Penjualan Trade In HP dengan Implementasi Formula Bertingkat </t>
  </si>
  <si>
    <t>Pemilihan Vendor untuk HP hanya berdasar perbandingan dari HP dengan varian storage terendah</t>
  </si>
  <si>
    <t>Pembuatan database Trade In agar dapat memilih vendor dengan harga terbaik untuk HP berdasarkan storage capacity (GB) nya</t>
  </si>
  <si>
    <t>Juara 4 Periode 1-3</t>
  </si>
  <si>
    <t>Amelthia Rahel,Jaka Malela,Firsa Rispati,Made Datu</t>
  </si>
  <si>
    <t>Efisiensi Material Packaging (stretch film/plastik) dalam Proses Packing TS</t>
  </si>
  <si>
    <t xml:space="preserve">Tiap TS dipacking menggunakan Plastic PE / Stretch Film agar inbound </t>
  </si>
  <si>
    <t>Penggantian Plastic PE / stretch film dengan menggunakan plastik kresek yang dapat di re-use</t>
  </si>
  <si>
    <t>WH Kramat jati</t>
  </si>
  <si>
    <t>Efisiensi proses HO Ojol</t>
  </si>
  <si>
    <t>Proses handover untuk Ojol menggunakan dokumen GIN yang di tanda tangan kedua pihak</t>
  </si>
  <si>
    <t>Menghilangkan proses Mencetak Dokumen dan TTD HO Ojol digantikan dengan foto.</t>
  </si>
  <si>
    <t>takeout</t>
  </si>
  <si>
    <t>Tidak approve Grab / Gosend</t>
  </si>
  <si>
    <t>Hari Susanto, Ferdi Ferdi, Gilang Giffary, Nisaul Aulia</t>
  </si>
  <si>
    <t>Penggunaan Tab pada proses GR Inbound</t>
  </si>
  <si>
    <t>telat, confirmed by Adi Kharisma</t>
  </si>
  <si>
    <t>Sanni Sanni, Win Purwanto, Ombun Soemantri, Johan Wahyudi</t>
  </si>
  <si>
    <t>Penurunan biaya  material packaging (stretch film plastik) dalam Proses Packing Order Box Material Packaging Merchant</t>
  </si>
  <si>
    <t>WH Medan Satria</t>
  </si>
  <si>
    <t>Bagus Adiprastyo Arya Wahyu Adi Bhaskara Seteven Chandra Rommy Putra Gazali</t>
  </si>
  <si>
    <t>Efisiensi Penggunaan BTT (Bukti Tanda Terima) dengan Menggunakan Kertas A5</t>
  </si>
  <si>
    <t>WH Bekasi Medan Satria</t>
  </si>
  <si>
    <t xml:space="preserve">Dedi Rinto, Al hadid Lubis, @dwi.satria
</t>
  </si>
  <si>
    <t>Pembuatan MAL Bubble Wrap untuk produk Tiga Raksa educational &amp; home living, guna mempercepat proses packing.</t>
  </si>
  <si>
    <t>Masing-masing packer memotong bubble dari bubble wrap roll.</t>
  </si>
  <si>
    <t>Mempersiapkan Master Size Bubble Wrap untuk Produk Tigaraksa, sehingga Packer dapat secara langsung ambil bubble tanpa harus memotong dari bubble wrap roll</t>
  </si>
  <si>
    <t>Perubahan skema linehaul hub Jabodetabek</t>
  </si>
  <si>
    <t>sudah masuk di project 2020, confirmed by Felix Wijaya</t>
  </si>
  <si>
    <t>East Jabo, West Jabo, South Jabo</t>
  </si>
  <si>
    <t>Pemanfaatan kurir daily di Mobile Hub Jabodetabek</t>
  </si>
  <si>
    <t>Febrina Larasati, Yogi Arif, Taufik Sapta</t>
  </si>
  <si>
    <t>Dashboard Traffic (Integrated Data)</t>
  </si>
  <si>
    <t>Untuk memperoleh data traffic diperlukan request ke tim WFM</t>
  </si>
  <si>
    <t>Pembuatan Dashboard supaya stakeholder bisa 'self service' untuk mendapatkan data traffic Inbound CS maupun Scare tanpa perlu WFM</t>
  </si>
  <si>
    <t>TWICE</t>
  </si>
  <si>
    <t xml:space="preserve">Irwan Istiyawan, Marcella Rizkiana, Hafiz Faturrahman, Anggita </t>
  </si>
  <si>
    <t>Digitalisasi Proses briefing massive Antar Unit di Customer Management</t>
  </si>
  <si>
    <t>Briefing menggunakan google meet atau zoom, dimana sertng terjadi delay / waktu menunggu untuk agent hadir semua karena masalah koneksi</t>
  </si>
  <si>
    <t>Materi Briefing melalui video recording di SharePoint, Absen melalui Barcode yang tertera diakhir video, serta aplikasi quizizz untuk menguji pemahaman agent terhadap isi video brieifing yang di share</t>
  </si>
  <si>
    <t>Reconciliation</t>
  </si>
  <si>
    <t>Verencia Permatasari @s.stella
@hafiz.fadilli</t>
  </si>
  <si>
    <t>Simplify BES Incentive Process from Xlog to GDS</t>
  </si>
  <si>
    <t>Penggunaan Jasper Xlog sebagai sumber data pembuatan data incentive</t>
  </si>
  <si>
    <t>Membuat Report Google Data Studio sebagai sumber data pembuatan data incentive</t>
  </si>
  <si>
    <t>https://gdncomm.sharepoint.com/:f:/s/Operation/EluOH7CCEflChpSl2y48QJwBUIRZo6PA3dp9kdEt-1tluQ?e=YG3M6R</t>
  </si>
  <si>
    <t>Seharusnya dilengkapi dengan foto</t>
  </si>
  <si>
    <t>Ryan Wirjan, Dwi Hartati, Ketut Nuari, Danang Susilo, Dina Anggraini, Ari Kurniawan, Galuh Witri</t>
  </si>
  <si>
    <t>Efisiensi Waktu Pembuatan List Penurunan Barang dari Warehouse Return (BES SA delivery, RPU, Send Customer)</t>
  </si>
  <si>
    <t>Proses pembuatan List penurunan Barang membutuhkan lokasi produk yang disimpan pada comment CM, sehingga perlu membuka 1 per 1 CM</t>
  </si>
  <si>
    <t>Lokasi produk disimpan pada salah satu field CM (Airwaybill) yang dapat di export</t>
  </si>
  <si>
    <t>Seharusnya dilengkapi dengan foto before</t>
  </si>
  <si>
    <t>Efisiensi waktu proses GRN order TS di LMWH</t>
  </si>
  <si>
    <t>Proses Inbound dilakukan di PC (assign dock hingga GRN)</t>
  </si>
  <si>
    <t>Proses Inbound dilakukan di Tablet (assign dock hingga GRN)</t>
  </si>
  <si>
    <t>Takeout - combine dengan WH Bogor</t>
  </si>
  <si>
    <t>Sama Dengan WH Bogor</t>
  </si>
  <si>
    <t>WH Bogor + WH Karawaci</t>
  </si>
  <si>
    <t>Hari Susanto Ferdi Ferdi Gilang Giffary Nisaul Aulia Sanni Sanni, Win Purwanto, Ombun Soemantri, Johan Wahyudi</t>
  </si>
  <si>
    <t>Juara 3 Periode 1-3</t>
  </si>
  <si>
    <t>Mirip sama kaizen angke tahun 2020, dan Saving totally salah, karena seharusnya yang dihitung adalah perbedaan proses PC dan Tablet bukan proses inbound nya</t>
  </si>
  <si>
    <t>Bagus Adiprastyo, Arya Wahyu Adi Bhaskara, Rommy Putra Gazali, Seteven Chandra</t>
  </si>
  <si>
    <t>Efisiensi Penggunaan BTT (Bukti Tanda Terima) dengan Menggunakan Kertas A5 Buram</t>
  </si>
  <si>
    <t>BTT Manual menggunakan kertas rangkap 3 yang dibeli dari Vendor</t>
  </si>
  <si>
    <t>BTT Manual menggunakan kertas buram ukuran A5 yang di print sendiri</t>
  </si>
  <si>
    <t>muhammad zulkarnain , yogi pratama , abdi gunawan , Al hadid Lubis</t>
  </si>
  <si>
    <t>Efisiensi Penggunaan Kertas A5 pada Outbound</t>
  </si>
  <si>
    <t>1 GIN 1 Lembar</t>
  </si>
  <si>
    <t>1 lembar akan dibuat menjadi 4 GIN jika 5 AWB (dibuat bolak-balik)</t>
  </si>
  <si>
    <t>Efisiensi waktu dalam pembuatan Bag untuk barang Linehaul menggunakan Pallet Dimention</t>
  </si>
  <si>
    <t>Pengukuran dimensi bag dengan cara mengukur per paket</t>
  </si>
  <si>
    <t>Pengukuran dimensi bag dengan cara meletakkan di palet dan menggunakan dimensi palet dan tinggi tumpukan</t>
  </si>
  <si>
    <t>Mirip dengan Bogor di 2020</t>
  </si>
  <si>
    <t>West Java</t>
  </si>
  <si>
    <t>Nike Rika Rusna Wati Dyah Farrah Agustin Riri Setiawati Rahayu Stianingsih Hanifa Izmi</t>
  </si>
  <si>
    <t>Efisiensi flow unblock account untuk checkout block cases</t>
  </si>
  <si>
    <t>Pengecekan history unblock dan proses unblock checkout dilakukan melalui KMC, kemudia posting informasi di Slack dan CM</t>
  </si>
  <si>
    <t>Pengecekan history unblock dan proses unblock checkout melalui CM yang diberi Label RUA (Request Unblock Account)</t>
  </si>
  <si>
    <t>Talent Development</t>
  </si>
  <si>
    <t>Athirah Fitrianthy
Winda Surya Nawang Wulan</t>
  </si>
  <si>
    <t>Integrated and Efficiency of Training Data</t>
  </si>
  <si>
    <t>Data Peserta Training diisi oleh Trainer dan disimpan dalam folder yang berbeda sesuai dengan judul program</t>
  </si>
  <si>
    <t>Data Peserta Training diisi oleh Peserta dan disimpan dalam 1 file</t>
  </si>
  <si>
    <t xml:space="preserve">Process Before tidak jelas pengisian apa saja, proces after juga </t>
  </si>
  <si>
    <t>Febby Hartono, Rino Saputra, Titis Ekky</t>
  </si>
  <si>
    <t>Rearrange Unhealthy GMV &amp; Risk Saving Report</t>
  </si>
  <si>
    <t>- Source data yang kurang fleksible saat ada update
- Pencarian data unhealthy GMV &amp; risk saving yang membutuhkan waktu cukup lama</t>
  </si>
  <si>
    <t>1. Mengubah format data dalam bentuk "table" pada file source data sehingga setiap ada penambahan data, data summary (pivot) bisa langsung direfresh
2. Merapikan template tabel sehingga lebih mudah terupdate &amp; terbaca</t>
  </si>
  <si>
    <t>https://gdncomm.sharepoint.com/:f:/s/Operation/Eigj9LTz-DdIloJb8S3MmEEBTkhIxLwMRBX9DpGWZv2u-g?e=IuTsKa</t>
  </si>
  <si>
    <t>CR 3</t>
  </si>
  <si>
    <t>Annissa Meuthia Kasih Daulay Hardian Ruben Tobing
Ridwan Handoko, Dandy Putra, Yuni Widiasih, Dicky Darmawan</t>
  </si>
  <si>
    <t>CM yang tidak mendapat auto solution akan dipending oleh QC dan di-assign ke Tim Solusi</t>
  </si>
  <si>
    <t xml:space="preserve">QC yang akan memberikan solusi risk taking untuk kasus-kasus yang memang sudah punya standar untuk risk taking </t>
  </si>
  <si>
    <t>Iman Iskandar, Yossep Eriyanto, ageng feri riyadi</t>
  </si>
  <si>
    <t>FUMIGASI (COLD FOGGING) MANDIRI</t>
  </si>
  <si>
    <t>Take out dlu karena belum approve Pak Sindu</t>
  </si>
  <si>
    <t>Khidir Zaman, Satya Putra</t>
  </si>
  <si>
    <t>Efisiensi waktu muat IR dan mengurangi kerusakan product ketika pengiriman</t>
  </si>
  <si>
    <t>Barang-barang IR langsung dimuat ke dalam mobil</t>
  </si>
  <si>
    <t xml:space="preserve">1. membuat marking pada lantai sesuai ukuran storage kendaraan IR
2. melakukan stacking produk di storage mobil sesuai dengan penyusunan di marking warehouse </t>
  </si>
  <si>
    <t>Juara 1 Periode 1-3</t>
  </si>
  <si>
    <t>Detail perhitungan untuk mendapat waktu before 3 jam dan after 2 jam tidak jelas</t>
  </si>
  <si>
    <t>Daniel Sinjaya, Muhammad Sudibjo, Muhammad Sasmita, Aldia Trispantia, nanda.sukarno</t>
  </si>
  <si>
    <t>Automate Shifting Courier BES All Hub With Excel Macro VBA</t>
  </si>
  <si>
    <t>Op masing2 hub menjadwalkan kurir secara manual supaya jumlah hari kerja tiap kurir per bulan tidak melebihi ketentuan yg berlaku</t>
  </si>
  <si>
    <t>Menggunakan makro dengan pertimbangkan ketentuan jumlah hari kerja, forecast order dan terstandarisasi</t>
  </si>
  <si>
    <t>Project &amp; Service Development Task Force</t>
  </si>
  <si>
    <t>Novita Rahmawati Putu Kirana Dani H. Saputra Riska Hamidah</t>
  </si>
  <si>
    <t>Efisiensi waktu untuk eskalasi terkait cancel order FC akibat blacklist seller</t>
  </si>
  <si>
    <t>Butuh proses eskalasi ke RM untuk mengetahui apakah order yang dibatalkan karena customer fraud atau karena seller blacklist</t>
  </si>
  <si>
    <t>Mengurangi tingkat eskalasi dengan adanya update list seller yang diblacklist di confluence, sehingga CS bisa quick kill kasus dengan mengedukasi customer bahwa ada indikasi seller fraud &amp; menyarankan pembelian produk di seller lain</t>
  </si>
  <si>
    <t>Angger Mahdanistichanah Istichanah Arvina Utami Wahyu Anggara</t>
  </si>
  <si>
    <t>Efisiensi penggunaan bohlam pada site BSD</t>
  </si>
  <si>
    <t>Ada 150 bohlam yang terpasang di seluruh ruangan pada site BSD, namun tidak semua ruang digunakan</t>
  </si>
  <si>
    <t>Melakukan pencopotan bohlam pada area yang belum di gunakan</t>
  </si>
  <si>
    <t>Juara 2 Periode 1-3</t>
  </si>
  <si>
    <t xml:space="preserve">Rommy Putra Gazali, Arya Wahyu Adi Bhaskara, Bagus Adiprastyo, Seteven Chandra, faisal agung
</t>
  </si>
  <si>
    <t>Efesiensi proses replanisment</t>
  </si>
  <si>
    <t>Terjadi 2x proses saat proses barang inboud, yaitu putaway ke zona replanisment dan setelah itu di transfer ke pickface</t>
  </si>
  <si>
    <t>Membuat excel sederhana untuk pembagian barang yang akan di putaway dan replanisment</t>
  </si>
  <si>
    <t>https://gdncomm.sharepoint.com/:f:/s/Operation/EqbP9qtIiJdFkbzllRR-AsgBkjFlH6Tj1Sw9zJTokxomEA?e=hxCkPv</t>
  </si>
  <si>
    <t>Kandidat Presentasi</t>
  </si>
  <si>
    <t>Eliminate Process</t>
  </si>
  <si>
    <t>Clarissa Lie</t>
  </si>
  <si>
    <t>Efisiensi alokasi PO dengan menggunakan Template</t>
  </si>
  <si>
    <t>Penentuan WH untuk tiap PO harus melakukan Vlookup Manual ke data source</t>
  </si>
  <si>
    <t>Pembuatan template sehingga proses penentuan WH cukup dilakukan dengan copy paste data PO ke template yang ada</t>
  </si>
  <si>
    <t>Template Excel</t>
  </si>
  <si>
    <t>WH Karanganyar</t>
  </si>
  <si>
    <t>Deny Eko Hermawan</t>
  </si>
  <si>
    <t>Pengurangan jalur in out karyawan untuk efisiensi personal securit</t>
  </si>
  <si>
    <t>Terdapat 2 jalur in out karyawan, sehingga membutuhkan 2 personel security</t>
  </si>
  <si>
    <t>1  jalur in out karyawan, di pintu outbound saja</t>
  </si>
  <si>
    <t>Reduce Security Manpower</t>
  </si>
  <si>
    <t>Refa Siregar, Azmir Mahmudin, Sastro Budoyo</t>
  </si>
  <si>
    <t>Free of Charge Own Risk untuk Klaim Asuransi Armada BES</t>
  </si>
  <si>
    <t>Accident Own Risk ditanggung oleh perusahaan (Mesin Tiba-Tiba Mati, Mobil ditabrak oleh kendaraan lain, ban bocor,aki mati)</t>
  </si>
  <si>
    <t>Melakukan negosiasi pada pihak bengkel rekanan agar dibebaskan biaya OR untuk kecelakaan-kecelakaan yang disebabkan oleh hal-hal tertentu</t>
  </si>
  <si>
    <t>Perubahan Policy / PKS</t>
  </si>
  <si>
    <t>Made Sudiatmika, Kharisma Praditya, Arie Chandra</t>
  </si>
  <si>
    <t>Linehaul Darat BES ke Hub Denpasar</t>
  </si>
  <si>
    <t>Linehaul ke Denpasar menggunakan Airline</t>
  </si>
  <si>
    <t xml:space="preserve">Penambahan Jalur Linehaul Darat yang sebelumnya JKT-SUB menjadi JKT-SUB-DPS, sehingga menambah service Trucking &amp; DG ke Denpasar					
									</t>
  </si>
  <si>
    <t>Reduce Linehaul Cost</t>
  </si>
  <si>
    <t>Non Java</t>
  </si>
  <si>
    <t>Igih Fauzi Megawati,  Mega Sintia Yusuf, 
Lottar Matheus, Novi Elviyantini</t>
  </si>
  <si>
    <t>Efisiensi Perubahan Proses Request Perubahan Profil Merchant SIPLah</t>
  </si>
  <si>
    <t>Pemberian solusi ke seller terhambat karena menunggu validasi dari finance - untuk case SIPLah - Req perubahan profil merchant</t>
  </si>
  <si>
    <t>Memangkas proses validasi oleh finance agar dapat dilakukan oleh tim XO</t>
  </si>
  <si>
    <t>Service Development</t>
  </si>
  <si>
    <t>Novita Rahmawati, Vina Vibrianti Kusuma</t>
  </si>
  <si>
    <t>Pemberian Empowerment Waive Point Penalty ke Team XO</t>
  </si>
  <si>
    <t>Waive penalty harus dieskalasikan ke TP untuk proses approval dan ke Finance (untuk proses adjustment)</t>
  </si>
  <si>
    <t>Pemberian Empowerment Waive Point Penalty ke Team XO - ketentuan : waive point bisa diteruskan selama kasus OOS/PF terjadi bukan karena kesalahan seller)</t>
  </si>
  <si>
    <t>No Cost Saving</t>
  </si>
  <si>
    <t>WH Makassar</t>
  </si>
  <si>
    <t>Sudharmono.gustaf</t>
  </si>
  <si>
    <t>Pemanfaatan Limbah Latban yang tidak digunakan untuk penggunaan material packaging barang pecah belah seperti  minuman botol sirup</t>
  </si>
  <si>
    <t>Takeout - not finished</t>
  </si>
  <si>
    <t>BES Makassar</t>
  </si>
  <si>
    <t>Kerjasama penyewaan kendaran dengan vendor lokal untuk Ops BES Makassar secara daily ketika kendaraan dibutuhkan.</t>
  </si>
  <si>
    <t>Takeout - improvement tahun lalu</t>
  </si>
  <si>
    <t>Amelia Arifin, Sherly Setiawan, Leonardus Andrean</t>
  </si>
  <si>
    <t>Simplify Reminder Approval Mechanism to Budget Holder</t>
  </si>
  <si>
    <t>Membutuhkan waktu yang lama untuk proses rekap dan monitoring approval budget karena harus 1 per 1 dicek</t>
  </si>
  <si>
    <t>Otomatisasi proses rekap approval budget (Microsoft Flow)</t>
  </si>
  <si>
    <t>https://gdncomm.sharepoint.com/:f:/s/Operation/Eg2UI9dXrwBBo-k2Y1No4z4BF3sKavvccuvCD95NFB1rBw?e=qN70Sm</t>
  </si>
  <si>
    <t>Administrative Automation - MS Flow</t>
  </si>
  <si>
    <t>Return 5</t>
  </si>
  <si>
    <t>Nur Azizah, Muhammad Rifqi, Puspa Ningrum, Steven Liauw, Yesica Prayogi, Aldiy.Pramita, Gerardo Laudus</t>
  </si>
  <si>
    <t>Efisiensi Proses Autorisasi
Case Return</t>
  </si>
  <si>
    <t>Pada proses autorisasi case return dan compile data dari hasil autorisasi masih menggunakan rumus pada table excel dan compile data secara manual</t>
  </si>
  <si>
    <t>Modifikasi table excel autorisasi dengan menggunakan macro agar proses import data, identifikasi data pada column excel yang dibutuhkan, 'dan proses compile database dapat dilakukan secara otomatis, sehingga hasil autorisasi (database) dapat diberikan kepada XO Return dengan lebih cepat.</t>
  </si>
  <si>
    <t>Administrative Automation - Macro</t>
  </si>
  <si>
    <t>Adi Surya Indra Kharisma, Ervien Suseno,
Wildan Bashari,
Guntur Dewandono,
Monica Brahmanti</t>
  </si>
  <si>
    <t>Efisiensi approval BAC Claim</t>
  </si>
  <si>
    <t>BAC Claim wajib approval ke TP dan Finance, sehingga space yang dipakai untuk meletakan barang-barang claim logistic jadi menumpuk impact dari lamanya proses approval BAC</t>
  </si>
  <si>
    <t>Approval hanya sampai Lead Ops, tidak sampai lead TP dan Finance.</t>
  </si>
  <si>
    <t>WH Semarang</t>
  </si>
  <si>
    <t>adytyas.sunjaya, a. andri, nindi.gusti</t>
  </si>
  <si>
    <t>Timer Off AC dan PC di jam istirahat
untuk menghemat pemakaian Listrik</t>
  </si>
  <si>
    <t>PC dan AC di area fulfillment dan Office selalu menyala pada saat jam istirahat</t>
  </si>
  <si>
    <t>Penghematan dengan mematikan PC dan AC pada jam istirahat</t>
  </si>
  <si>
    <t>Reduce Utility Cost</t>
  </si>
  <si>
    <t>Daniel Sinjaya,  Muhammad Sudibjo, intan.d.sihombing, suhandih, Berino Estrada Lubis, Subahan Subahan, Nurohman Nurohman, Sigit Nugroho, Saeful Ridwan</t>
  </si>
  <si>
    <t>Pemanfaatan fitur address di Google Chrome dalam pembuatan OBL</t>
  </si>
  <si>
    <t>Membutuhkan waktu yang lama untuk membuat AWB manual nya karena harus 1 per 1 memasukkan data alamat source dan consignee</t>
  </si>
  <si>
    <t>Menggunakan fitur address pada Google Chrome supaya chrome dapat auto fill data alamat pada saat booking OBL non bulk upload</t>
  </si>
  <si>
    <t>Administrative Automation - Chrome Feature</t>
  </si>
  <si>
    <t>BES Joglosemar + DPIM</t>
  </si>
  <si>
    <t>Clarissa Lie, Jessica Putri,Kharisma Praditya, Firsa Rispati</t>
  </si>
  <si>
    <t>Optimasi fullfill customer joglosemar dengan stock transfer by BES</t>
  </si>
  <si>
    <t>Stock transfer di Joglosemar menggunakan penyewaan armada BSC</t>
  </si>
  <si>
    <t>Stock transfer di Joglosemar menggunakan armada linehaul BES</t>
  </si>
  <si>
    <t>Joglosemar, DPIM</t>
  </si>
  <si>
    <t>Employee Engagement</t>
  </si>
  <si>
    <t>Vina Vibrianti Kusuma, Winda Surya Nawang Wulan, Mansur Nawawi</t>
  </si>
  <si>
    <t>Efisiensi budget dan waktu Sertifikat Best Agent</t>
  </si>
  <si>
    <t>Lamanya waktu proses pembuatan serta pengiriman sertifikat Best Agent untuk team BLITS (mencakup proses print sertifikat, proses tanda tangan dari masing masing leader serta proses sertifikat dapat diterima langsung oleh agent BLITS)</t>
  </si>
  <si>
    <t>Sertifikat yang sebelumnya berupa fisik diubah dalam bentuk elektronik sertifikat (e-certificate) sehingga tidak diperlukan print dan pengiriman sertifikat</t>
  </si>
  <si>
    <t>Paper Cost Saving</t>
  </si>
  <si>
    <t>Integrated Reporting</t>
  </si>
  <si>
    <t>Vinka Rosdianti, R Yudhawirawan, Melody Melody</t>
  </si>
  <si>
    <t>Efisiensi waktu dalam pembuatan laporan repetitive human error</t>
  </si>
  <si>
    <t>Pengolahan dan pembuatan laporan repetitive human error masih sangat manual dan membutuhkan waktu lama</t>
  </si>
  <si>
    <t>Pembuatan Power Query Excel untuk otomasi pengolahan report</t>
  </si>
  <si>
    <t>Administrative Automation - Power Query</t>
  </si>
  <si>
    <t>Return 5B</t>
  </si>
  <si>
    <t>Muhammad Fiqri, Kholifah Arifiana Oktavia,Dina Anggraini, Lottar Matheus, Mahpudin Mahpudin, Evan Indrianto</t>
  </si>
  <si>
    <t>Efisiensi penggunaan Macro untuk pembagian bucket Pending</t>
  </si>
  <si>
    <t>Pada proses pembagian bucket caller terjadi delay dimana caller harus menunggu data ditarik &amp; disortir oleh PIC return dulu baru selanjutnya dibagikan.</t>
  </si>
  <si>
    <t>Pembuatan Macro Baru yang bisa digunakan langsung oleh caller</t>
  </si>
  <si>
    <t xml:space="preserve">Titis Ekky Krisnanda Lusyana Wijaya Sonia Pratama </t>
  </si>
  <si>
    <t>Efisiensi waktu dan menghilangkan proses yang berulang</t>
  </si>
  <si>
    <t>Pembuatan campaign ID dilakukan berulang sesuai nama tiap promonya ketika ada request campaign ID</t>
  </si>
  <si>
    <t>Membuat campaign ID dari dashboard Camden dalam jumlah banyak sekaligus dengan mempertimbangkan perkiraan jumlah promo selama beberapa periode.</t>
  </si>
  <si>
    <t>https://gdncomm.sharepoint.com/:f:/s/Operation/Eo4ANNfZ7WZGssuqFTGzZkIBxRr-r7LvnphlxP2EVBxYOw?e=V19lbs</t>
  </si>
  <si>
    <t>small cost saving</t>
  </si>
  <si>
    <t>Yunika Nurmalia Sumiati Oktavianti @galuh witriLia Arniati @Martinus.Andry</t>
  </si>
  <si>
    <t xml:space="preserve">Efisiensi pembuatan rekap klaim dengan menggunakan Google Data Studio	</t>
  </si>
  <si>
    <t xml:space="preserve">Proses pembuatan rekap klaim before D yang masih manual dan membutuhkna waktu yang lama				
				</t>
  </si>
  <si>
    <t>Menggunakan GDS untuk mensupport kebutuhan data</t>
  </si>
  <si>
    <t>Administrative Automation - GDS</t>
  </si>
  <si>
    <t>WH Neglasari</t>
  </si>
  <si>
    <t>Riri Pratomo Made Datu</t>
  </si>
  <si>
    <t>Adding DRAFT_TIN Package Scanning Activity in Packer's Job to Increase TS Processing Capacity</t>
  </si>
  <si>
    <t>TS diproses sesuai dengan job desc masing-maisng (Picker, Packer, Outbound)</t>
  </si>
  <si>
    <t xml:space="preserve">Penggabungan beberapa proses:
- Aktivitas DRAFT_TIN dikerjakan oleh Packer, langsung setelah submit QC untuk mengisi idle time
- Outbound harus melakukan aktivitas picking &amp; packing saat idle time, kemudian kembali ke </t>
  </si>
  <si>
    <t>Made Datu Muhamad Syarief Riri Pratomo Muhamad Faisal</t>
  </si>
  <si>
    <t>Meningkatkan KPI Inbound Menggunakan Papan Informasi</t>
  </si>
  <si>
    <t>Tim Putaway tidak mengetahui kontainer mana yang harus lebih dulu di-putaway</t>
  </si>
  <si>
    <t>Membuat papan informasi Maksimal Putaway (Tagging) agar tim Putaway/SC/Inbound atau siapa saja bisa saling mengingatkan kapan kontainer tersebut harus di Putaway</t>
  </si>
  <si>
    <t>WH Sleman</t>
  </si>
  <si>
    <t>Penggunaan Google Form untuk beberapa log book di WH Yogyakarta</t>
  </si>
  <si>
    <t>Banyak penggunaan buku dan kertas untuk pencatatan aktivitas di WH Yogyakarta​ (Buku Tamu, Log book genset, dsb)</t>
  </si>
  <si>
    <t>Input menggunakan Google Form tidak diperlukan buku dan ballpoint, dan pencarian history yang mudah karena dalam bentuk excel</t>
  </si>
  <si>
    <t>BES Jawa Timur</t>
  </si>
  <si>
    <t>EFISIENSI BIAYA LINEHAUL HUB MALANG UNTUK KONDISI TERTENTU</t>
  </si>
  <si>
    <t>Linehaul ke Malang selalu melalui tol</t>
  </si>
  <si>
    <t>Jika kondisi paket sedikit dan delivery selesai lebih cepat maka tidak perlu melalui tol</t>
  </si>
  <si>
    <t>East Java</t>
  </si>
  <si>
    <t>Premium Care</t>
  </si>
  <si>
    <t>Dickson, Iwan, Budi</t>
  </si>
  <si>
    <t>Kasus selesai dan menang banyak</t>
  </si>
  <si>
    <t>Blast informasi untuk voucher free shipping dilakukan dengan menggunakan SMS</t>
  </si>
  <si>
    <t>Blast informasi untuk voucher free shipping dilakukan dengan menggunakan WA</t>
  </si>
  <si>
    <t>Reduce SMS Cost</t>
  </si>
  <si>
    <t>Maria Ulfa Chaerunnisa
Guntur Prakasa Putra
Dwi Istiqliani Agustin</t>
  </si>
  <si>
    <t>Efisiensi waktu handling Retrigger Ekspress</t>
  </si>
  <si>
    <t>Untuk case Seller request retrigger finding driver, case akan di eskalasi ke Tim Express Delivery untuk dilakukan retrigger</t>
  </si>
  <si>
    <t>Agent Seller Care diberikan empowerment untuk melakukan retrigger finding driver</t>
  </si>
  <si>
    <t>Hendro Purnomo
@riswanda
Susanti A. Marpaung Deltha Fiani</t>
  </si>
  <si>
    <t>Efisiensi waktu Pengolahan Data Order Item Status DF dengan Data IGF untuk Update RTS menggunakan power query dan macro</t>
  </si>
  <si>
    <t>Proses pengolahan data DF yang memiliki IGF dikerjakan secara manual</t>
  </si>
  <si>
    <t>Mengganti pengerjaan dari manual menjadi menggunakan power query untuk menyatukan 3 source data</t>
  </si>
  <si>
    <t>Deltha Fiani Firsty Kartika Hendro Purnomo Nova Permatasari</t>
  </si>
  <si>
    <t>Penggunaan RPA untuk pembuatan subtask solusi ke customer (subtask recreate order, refund dan cancel sales)</t>
  </si>
  <si>
    <t>Pembuatan Subtask dilakukan secara manual oleh Admin</t>
  </si>
  <si>
    <t>Pembuatan Subtask dilakukan secara otomatis oleh RPA</t>
  </si>
  <si>
    <t>https://gdncomm.sharepoint.com/:f:/s/Operation/El0-MpkYX5tCoxt-_yPiliQBp0sjYWuDtJxZS91WFNj8Bg?e=5tjJa0</t>
  </si>
  <si>
    <t>Priority 4 - Automation - RPA / Macro / PowerQuery / Ms Flow</t>
  </si>
  <si>
    <t>Return Dispute &amp; Inventory Control</t>
  </si>
  <si>
    <t>Muhammad Fiqri Kholifah Vionita Salim
Ira Novianti</t>
  </si>
  <si>
    <t>Efektivitas Proses pengecekan Stok Opname Rak Notmatch</t>
  </si>
  <si>
    <t>Tim Return membeikan informasi pemindahan barang dari Rak Notmatch dengan mengecek 1 per 1 Data Stock Warehouse dengan Case Management</t>
  </si>
  <si>
    <t>Tim Return melakukan lookup data stock warehouse dengan status CM, dan eliminasi stock yg CM nya masih in progress, sehingga hanya perlu membuka CM yg sudah closed</t>
  </si>
  <si>
    <t>Priority 5 - New Standard / Template for Admin Work</t>
  </si>
  <si>
    <t>Bambang Eko RahardjoErfandi Asra
Wildan Bashari</t>
  </si>
  <si>
    <t>Efisiensi Proses Fulfillment Order Elektronik, Big Product &amp; BOPIS</t>
  </si>
  <si>
    <t>Produk Elektronik Big Product / BOPIS, disimpan di storage di chamber 1 dan 3, dan fulfillment dilakukan di Chamber 1 bersama dengan produk reguler, sehingga membutuhkan transport time yang lama</t>
  </si>
  <si>
    <t>Penyimpanan dan Fulfilment dilakukan di chamber 3, sehingga mempercepat transport time</t>
  </si>
  <si>
    <t>Priority 2 - High Saving</t>
  </si>
  <si>
    <t>WH Denpasar</t>
  </si>
  <si>
    <t>Perubahan Skema Kontrak untuk efisiensi Manpower Security</t>
  </si>
  <si>
    <t>Terdapat 2 security untuk cover 6 hari kerja seminggu.</t>
  </si>
  <si>
    <t>Hanya menggunakan 1 security untuk cover 6 hari kerja seminggu (5 hari kerja normal + 1 hari kerja overtime)</t>
  </si>
  <si>
    <t>Priority 2 - High Saving - Not Sure Security Issue</t>
  </si>
  <si>
    <t>Felix Wijaya
Jeffry Setyawan Pribadi</t>
  </si>
  <si>
    <t>Penggunaan RPA untuk setting Legwise harian di system shipping center</t>
  </si>
  <si>
    <t>Setting Legwise di Shipping Center dilakukan secara manual</t>
  </si>
  <si>
    <t>Setting Legwise di Shipping Center dilakukan secara otomatis dengan RPA</t>
  </si>
  <si>
    <t>East Jabo, West Jabo, South Jabo, Joglosemar, Non Java, East Java, West Java</t>
  </si>
  <si>
    <t>BES Non-Jabodetabek</t>
  </si>
  <si>
    <t>Eka Rizky Kurniawan Sudharmono GustafAldia Trispantia</t>
  </si>
  <si>
    <t>Efisiensi Waktu Linehaul CGK-UPG dengan Perubahan Jam Pickup Lion Parcel</t>
  </si>
  <si>
    <t>Paket tujuan Makassar dari Jabodetabek sudah ready di Ceper pada jam 4.00 tetapi Lion Parcel Pickup Paket di Ceper untuk tujuan Makassar jam 17:00</t>
  </si>
  <si>
    <t>Paket tujuan Makassar dari Jabodetabek sudah ready di Ceper pada jam 4.00 dan Lion Parcel Pickup Paket di Ceper untuk tujuan Makassar jam 6:00</t>
  </si>
  <si>
    <t>Priorty 999 - No Cost Saving</t>
  </si>
  <si>
    <t>Strategic Talent Management</t>
  </si>
  <si>
    <t>Vinka, Athirah, Evania, Yose, Demi</t>
  </si>
  <si>
    <t>Simplifikasi Form Penilaian NHT</t>
  </si>
  <si>
    <t>Penilaian New Hired Training (NHT) dilakukan setiap hari, dengan 6 kategori penilaian yang masih tidak mencakup 11 kompetensi dasar BLITS</t>
  </si>
  <si>
    <t>Penilaian New Hired Training (NHT) dilakukan setiap minggu, dengan 5 kategori penilaian yang sudah mencakup 11 kompetensi dasar BLITS</t>
  </si>
  <si>
    <t>CSAT Taskforce</t>
  </si>
  <si>
    <t>Ellisa, Hendra,Gadis, Arifah, iwan</t>
  </si>
  <si>
    <t>Automasi Perhitungan Bottom CSAT beserta customer yang repetisi DSAT</t>
  </si>
  <si>
    <t>Perhitungan bottom CSAT masih dilakukan dengan pengerjaan manual di excel</t>
  </si>
  <si>
    <t>Perhitungan bottom CSAT masih dilakukan dengan copy paste ke template yang ada</t>
  </si>
  <si>
    <t>Verencia Permatasari, Amelia Arifin, Leonardus Andrean</t>
  </si>
  <si>
    <t>Simplifikasi Proses Pencatatan Dokumen GDP 2</t>
  </si>
  <si>
    <t>Proses Forward email ke Admin, Pencatatan, Penyimpanan Lampiran dilakukan secara manual</t>
  </si>
  <si>
    <t>Proses Forward email ke Admin dan Penyimpanan Lampiran dilakukan secara otomatis menggunakan Ms Flow</t>
  </si>
  <si>
    <t>https://gdncomm.sharepoint.com/:f:/s/Operation/EsFkNGIf2BhAhluoGhE7NYkByfjyQjXPygC1nqu6lowDcw?e=3Ig2a3</t>
  </si>
  <si>
    <t>Gerardo Laudus, Icha Pratiwi, Tria Nuning, jeremy tambunan,Candra.Andriana</t>
  </si>
  <si>
    <t>Auto-generate IGF Expedition Letter</t>
  </si>
  <si>
    <t>Pembuatan Surat Jalan dilakukan dengan copy paste data produk, qty, nomor IGF, secara manual</t>
  </si>
  <si>
    <t>Pembuatan Surat Jalan dilakukan dengan copy paste nomor IGF saja data lainnya menggunakan rumus excel</t>
  </si>
  <si>
    <t>Felix Wijaya, Jeffry Setyawan Pribadi</t>
  </si>
  <si>
    <t>RPA Pembuatan Akun Kurir DUV di TMS</t>
  </si>
  <si>
    <t>Pembuatan Akun TMS Kurir dilakukan secara manual</t>
  </si>
  <si>
    <t>Pembuatan Akun TMS Kurir dilakukan secara otomatis dengan RPA</t>
  </si>
  <si>
    <t>Anggita anggita, Umi Zahrah, Novi Elviyantini, Anggreiny Widya, Hilba</t>
  </si>
  <si>
    <t>Efisiensi proses blast informasi ke customer</t>
  </si>
  <si>
    <t>Proses blast informasi keterlambatan pengiriman ke customer menggunakan email melalui thunderbird</t>
  </si>
  <si>
    <t>Proses blast informasi keterlambatan pengiriman ke customer menggunakan push notif di apps melalui moenggage</t>
  </si>
  <si>
    <t>Priority 6 - Use Existing System Capability</t>
  </si>
  <si>
    <t>CI</t>
  </si>
  <si>
    <t>Deni Widendra, Rahmat Yasin, Dyah Sekar Nirwana, Ervi Lestari</t>
  </si>
  <si>
    <t>Efisiensi penggunaan form monitoring Agent Specialist</t>
  </si>
  <si>
    <t>Masing-masing Agent CI input hasil monitoring ke 4 file yang berbeda danberada di folder sharepoint yang berbeda, sesuai dengan channelnya</t>
  </si>
  <si>
    <t>Masing-masing XO Specialist input hasil monitoring ke 1 file excel saja</t>
  </si>
  <si>
    <t>Ryan Wirjan, Ketut Nuari, Dwi Hartati</t>
  </si>
  <si>
    <t>Efisiensi Rekapitulasi Performance Investigasi Logistik</t>
  </si>
  <si>
    <t>Proses dilakukan dengan membuka CM satu per satu untuk mendapatkan data 3PL, tipe pengiriman, jenis kasus dan tanggal investigasi</t>
  </si>
  <si>
    <t>Pembuatan standar template judul subtask CM yang berisi 3PL, tipe pengiriman, jenis kasus dan tanggal investigasi</t>
  </si>
  <si>
    <t>https://gdncomm.sharepoint.com/:f:/s/Operation/EsmBvHR9eVpDt6eF3VLqbmgBUzZIpFVftwzov8NhskLlVQ?e=7omeLE</t>
  </si>
  <si>
    <t>Okto Billi, Muhammad Sofri, Edi Purwanto, Hendra</t>
  </si>
  <si>
    <t>Efisiensi Waktu Inbound Pada Proses Set Atribute</t>
  </si>
  <si>
    <t>Takeout - karena masih not clear (app Pak Iman)</t>
  </si>
  <si>
    <t>Iman Iskandar, Ageng Feri, Yossep Eriyanto</t>
  </si>
  <si>
    <t>Fumigasi Mandiri</t>
  </si>
  <si>
    <t>Fumigasi dilakukan oleh Vendor Rentokil</t>
  </si>
  <si>
    <t>Penyediaan alat dan bahan fumigasi, sehingga dapat dilakukan secara mandiri</t>
  </si>
  <si>
    <t>Priority 1 - Unique Idea</t>
  </si>
  <si>
    <t>CS Talent Development</t>
  </si>
  <si>
    <t>Demi Apriliani, Pinondang Pinondang</t>
  </si>
  <si>
    <t>Weekly Quiziz Based on Finding Agent</t>
  </si>
  <si>
    <t>Dari Top Finding yang ada, Tim TalDev akan membuat materi Refreshment Training, dimana durasi training adalah 1-2 jam</t>
  </si>
  <si>
    <t>Refreshment dilakukan dengan menggunakan Quiziz dengan durasi 15 menit</t>
  </si>
  <si>
    <t>CS Inbound BSD SMG</t>
  </si>
  <si>
    <t>Dije Kristy, Istichanah Istichanah, Wahyu Anggara, Arvina Utami, Angger Mahdani</t>
  </si>
  <si>
    <t>Self service rekapitulation Absence BLITS Semarang (Non-Jakarta)</t>
  </si>
  <si>
    <t>Mitracomm mendapat data absensi 1 bulan sekali melalui tim WFM.</t>
  </si>
  <si>
    <t>Mitracomm diberikan akses ke link rekap absensi, sehingga dapat menarik data absensi mandiri dan dapat rekap absensi lebih cepat</t>
  </si>
  <si>
    <t>Aldia Trispantia, Muhammad Sudibjo, Suhandih, Nanda Pahlevi Sukarno, Berino Estrada Lubis, Subahan Subahan, Saeful Ridwan</t>
  </si>
  <si>
    <t>Efisiensi pick up dengan redesign PDR menggunakan pick up point</t>
  </si>
  <si>
    <t>Area Pickup dibagi menjadi 31 PDR dan membutuhkan 32 manpower</t>
  </si>
  <si>
    <t>Area pickup dibagi menjadi 9 PDR, dan membutuhkan 24 manpower, dengan menggunakan konsep pickup point mengunakan mobil</t>
  </si>
  <si>
    <t>https://gdncomm.sharepoint.com/:f:/s/Operation/EqLMcDY68_JAjoN7jA8ZQqABkwEiHUw1ZkNq6DYB6SkPIA?e=N4e7nI</t>
  </si>
  <si>
    <t>Inbound Seller Care</t>
  </si>
  <si>
    <t>Dwi Agustin, Maria Ulfa Chaerunnisa, Guntur Putra</t>
  </si>
  <si>
    <t>Efisiensi waktu handling Cancel Driver</t>
  </si>
  <si>
    <t>Request Cancel Driver dengan cara membuat subtask CM ke Tim Express Delivery</t>
  </si>
  <si>
    <t>Mempercepat Cancel Driver dengan cara email dan info di grup WA Express Delivery</t>
  </si>
  <si>
    <t>Priority 3 - Process / Standard  Changes (Non-Admin Work)</t>
  </si>
  <si>
    <t>Inbound Customer Care</t>
  </si>
  <si>
    <t>Rendra Rahmana, Elvin Sastra, Lenny Dwiyanti, Tsalis Duha, Yonathan Yonathan</t>
  </si>
  <si>
    <t>Efisiensi dokumentasi coaching</t>
  </si>
  <si>
    <t>Dokumentasi Coaching dilakukan oleh masinig-masing TL tanpa ada ketentuan, sehingga susah diakses oleh superior</t>
  </si>
  <si>
    <t>Membuat 1 akun Gdrive untuk tiap TL, dan materi coaching diupload ke Gdrive tersebut dengan format nama file yang terstandarisasi</t>
  </si>
  <si>
    <t>Susanti A. Marpaung, Hendro Purnomo, Eka Sriningsih, riswanda</t>
  </si>
  <si>
    <t>Efisiensi Proses Pengerjaan Update Status Delivery Logistik Non-API</t>
  </si>
  <si>
    <t>Proses dilakukan secara manual di excel</t>
  </si>
  <si>
    <t>Proses dilakukan secara otomatis menggunakan macro excel</t>
  </si>
  <si>
    <t>https://gdncomm.sharepoint.com/:f:/s/Operation/EmyxCvlaGkRGqB_bJquqQfABj4TlrDnLs3hUAK30u0KJIw?e=cXPwed</t>
  </si>
  <si>
    <t>Hardian Ruben Tobing
Annissa Meuthia Kasih DaulayMarza, Dandy, Ridwan, Yuni, Dicky</t>
  </si>
  <si>
    <t>Efisiensi Pengerjaan Kasus Service</t>
  </si>
  <si>
    <t>Setiap hari, Admin melakukan follow up Case Service yang masih in progress dan melakukan update label Service</t>
  </si>
  <si>
    <t>Update label service tidak dilakukan lagi</t>
  </si>
  <si>
    <t>Muhamad Faisal, Wahyu Dwi Nugroho, TB Adetian Gusti Fahrezi, Made Datu</t>
  </si>
  <si>
    <t>Mengurangi Beban Kerja Admin Inbound Print Label SKU A5</t>
  </si>
  <si>
    <t>Printing Tagging SKU dilakukan secara manual dengan template di excel</t>
  </si>
  <si>
    <t>Printing Tagging SKU dilakukan secara otomatis dengan macro excel</t>
  </si>
  <si>
    <t xml:space="preserve">	BKI NW - Medan Satria</t>
  </si>
  <si>
    <t>Bagus Adiprastyo Arya Wahyu Adi Bhaskara Rommy Putra Gazali Seteven Chandra</t>
  </si>
  <si>
    <t>Mempercepat Investigasi Selisih Stock dengan  Membagi SO Berdasarkan Aktivitas Movementnya</t>
  </si>
  <si>
    <t>Takeout - belum selesai</t>
  </si>
  <si>
    <t>WH Yogyakarta &amp; DPIM</t>
  </si>
  <si>
    <t>Firsa Rispati, Piping Christiawan</t>
  </si>
  <si>
    <t>System Crossdocking Untuk Seller FBB Lifemart</t>
  </si>
  <si>
    <t>IR ke Jakarta untuk produk Seller FBB Jogja dibuat setelah produk diterima WH Jogja</t>
  </si>
  <si>
    <t>Produk yang akan dikirim ke Jakrta langsung dibuatkan CF ke WH Jakarta dan sistem Crossdocking</t>
  </si>
  <si>
    <t>WH Sleman &amp; DPIM</t>
  </si>
  <si>
    <t>Iwan Santoso, Budi Arianto, Dickson Parulian</t>
  </si>
  <si>
    <t>Upgrade Pengiriman</t>
  </si>
  <si>
    <t>Premium Care order gosend manual untuk customer yang hardcomplain/VVIP/Pershonal shopper ingin segera terima produk</t>
  </si>
  <si>
    <t>Premium Care melakukan change shipping di BSC</t>
  </si>
  <si>
    <t>Taufik Sapta, Febrina Larasati, Muhammad Raharjo, Deni Apriyadi</t>
  </si>
  <si>
    <t>Realtime Dashboard</t>
  </si>
  <si>
    <t>Penghitungan Service Level hourly dilakukan dengan menarik report dari Sales Force dan dilakukan perhitungan manual</t>
  </si>
  <si>
    <t>Penghitungan Service Level hourly dilakukan dengan membuat dashboard di Salesforce</t>
  </si>
  <si>
    <t>Vionita Salim Muhammad Fiqri Kholifah Aina, Suffi, Edwin, Ayu</t>
  </si>
  <si>
    <t>Efisiensi Waktu Request Bukti Tanda Terima (BTT)</t>
  </si>
  <si>
    <t>Informasi Tanggal BTT tidak dimasukkan di dalam CM, sehingga sering terjadi lupa membawa BTT saat mengambil unit di service center</t>
  </si>
  <si>
    <t>Informasi Tanggal BTT dimasukkan di dalam CM</t>
  </si>
  <si>
    <t>Leonardus Andrean, Hafiz Fadili, Sherly Setiawan</t>
  </si>
  <si>
    <t>Efisiensi Proses Rekonsiliasi Invoice JNE Cashless</t>
  </si>
  <si>
    <t>Rekonsiliasi Invoice JNE dilakukan 4x sebulan</t>
  </si>
  <si>
    <t>Rekonsiliasi Invoice JNE dilakukan 2x sebulan</t>
  </si>
  <si>
    <t>https://gdncomm.sharepoint.com/:f:/s/Operation/Ejhwki1cFdlNh0ivW1ITiYcBwB_LnlCDMcb0YGmPX1XRdA?e=2fWbvQ</t>
  </si>
  <si>
    <t>Sanni Sanni, Win Purwanto, Ombun Soemantri, Handi Kusworo, Muhamad Syarief</t>
  </si>
  <si>
    <t>Efisiensi waktu saat proses putaway voucher</t>
  </si>
  <si>
    <t>Penghitungan jumlah voucher dilakukan 2x, saat inbound dan saat putaway</t>
  </si>
  <si>
    <t>Penghitungan jumlah voucher dilakukan 1x, saat inbound saja, putaway tidak perlu menghitung lagi</t>
  </si>
  <si>
    <t>BES Sumut</t>
  </si>
  <si>
    <t>Eka Rizky Kurniawan, Irfan fahmi, Andri Yadi</t>
  </si>
  <si>
    <t>Efisiensi Kwh Listrik di Region Sumut dengan Perubahan Jam Operasional BES Medan - Deli Serdang</t>
  </si>
  <si>
    <t>Jam operasional BES Medan - DS jam 08.30 - 21.00 WIB</t>
  </si>
  <si>
    <t xml:space="preserve">Merubah Jam operasional menjadi jam 08.30 - 19.30 WIB </t>
  </si>
  <si>
    <t>Vinka Rosdianti, Demi Apriliani, Yoserizal, Evania, Athirah Fitrianthy</t>
  </si>
  <si>
    <t>Re-design Form BLITS Recruitment</t>
  </si>
  <si>
    <t>User harus menentukan sendiri pertanyaan spesifik untuk kandidat, dan belum mencakup 11 kompetensi</t>
  </si>
  <si>
    <t>Bentuk jawaban yang perlu diisi oleh interviewer menjadi YES/NO dan sudah mencakup 11 kompetensi dasar BLITS yang diturunkan dalam bentuk pertanyaan yang spesifik</t>
  </si>
  <si>
    <t>R Yudhawirawan
Vinka Rosdianti
Hayatunnisa Hayatunnisa
Muhammad Raharjo</t>
  </si>
  <si>
    <t>Efisiensi dalam pembuatan Monthly Scorecard dengan menggunakan Dashboard</t>
  </si>
  <si>
    <t>Pembuatan monthly scorecard dilakukan secara manual di excel</t>
  </si>
  <si>
    <t>Pembuatan monthly scorecard dilakukan secara otomatis dengan upload di GDS</t>
  </si>
  <si>
    <t>Claim management</t>
  </si>
  <si>
    <t>Zahra Addini Yunika Nurmalia Sumiati Oktavianti Lia Arniati</t>
  </si>
  <si>
    <t>Penggunaan Ms.Flow untuk efisiensi pengecekan feedback Insurance partner</t>
  </si>
  <si>
    <t>Pengecekan feedback dilakukan secara manual</t>
  </si>
  <si>
    <t>Pengecekan feedback dilakukan secara otomatis menggunakan Ms Flow</t>
  </si>
  <si>
    <t>https://gdncomm.sharepoint.com/:f:/s/Operation/EqEPN_Nb4ShOpp3djV8_EpMB2r3a-ojQTuH-n_P6SoJiTg?e=pdVram</t>
  </si>
  <si>
    <t>Aldia Trispantia Daniel Sinjaya Muhammad Sudibjo Nanda Pahlevi Sukarno Berino Estrada Lubis Subahan Subahan Saeful Ridwan Nurohman Nurohman Suhandih Sigit</t>
  </si>
  <si>
    <t>Perubahan jam shifting subhub non warehouse (Hub Bekasi, Hub Cilandak, dan Hub Tangerang Curug)</t>
  </si>
  <si>
    <t>Helpers in subhub is scheduled for 2 shifts</t>
  </si>
  <si>
    <t>Helpers in subhub is scheduled for 1 shifts</t>
  </si>
  <si>
    <t>Deni Widendra
Riska Hamidah
Naufal Khalfani
@Erich</t>
  </si>
  <si>
    <t>Efisiensi Upload Twitter Content Menggunakan Twitter Scheduler</t>
  </si>
  <si>
    <t>Proses posting konten twitter masih manual di excel dan harus cocokin postingan mana untuk tanggal yang mana</t>
  </si>
  <si>
    <t>Proses Twitter Content Menggunakan Twitter Scheduler</t>
  </si>
  <si>
    <t>Gerardo Laudus
Ryan Wirjan
Steven Liauw
Yesica Prayogi</t>
  </si>
  <si>
    <t>Otomatisasi Reporting Pickup</t>
  </si>
  <si>
    <t>Pembuatan Reporting dilakukan secara manual</t>
  </si>
  <si>
    <t>Pembuatan Reporting dilakukan secara otomatis menggunakan macro</t>
  </si>
  <si>
    <t>Express dan Rekon</t>
  </si>
  <si>
    <t>Sherly Setiawan @riswanda Verencia Permatasari
Eka Sriningsih</t>
  </si>
  <si>
    <t>Simplify Checking All Status DF in Invoice</t>
  </si>
  <si>
    <t>Semua status DF akan ditanyakan dan di recheck oleh tim Express, apakah perlu dibayar ke 3PL atau tidak</t>
  </si>
  <si>
    <t>Otomatisasi status DF Claim dan Damage menjadi valid dibayarkan</t>
  </si>
  <si>
    <t>https://gdncomm.sharepoint.com/:f:/s/Operation/ElkN49MQvtlDnrXVCjKi6jABnWGLUkPSZV_L7AUuyIzr1w?e=q70bxd</t>
  </si>
  <si>
    <t>Express Delivery &amp; Reconciliation</t>
  </si>
  <si>
    <t>Return Dispute &amp; Reverse Logistic</t>
  </si>
  <si>
    <t>Yesica Prayogi Steven Liauw</t>
  </si>
  <si>
    <t>Efficiency reverse logistic cost for product claim insurance</t>
  </si>
  <si>
    <t>Produk retur kategori consumer goods yang rusak karena proses pengiriman dan diklaim ke pihak asuransi tetap diarahkan untuk dikembalikan ke Return Center</t>
  </si>
  <si>
    <t>Modifikasi macro excel supaya Produk retur kategori consumer goods yang rusak karena proses pengiriman dan diklaim ke pihak asuransi tidak perlu dikembalikan dan dapat langsung dibuang oleh customer</t>
  </si>
  <si>
    <t>DPIM &amp; WH Kramat Jati</t>
  </si>
  <si>
    <t>Angela destha cherie
Monica sonia brahmanti</t>
  </si>
  <si>
    <t>Efficiency flow request for freezer and chiller availability</t>
  </si>
  <si>
    <t>Pengecekan Chiller &amp; Freezer dilakukan secara pengecekan fisik oleh tim Warehouse</t>
  </si>
  <si>
    <t>Standarisasi ukuran storage dan pembuatan dashboard supaya Tim TP dapat melakukan pengecekan secara mandiri</t>
  </si>
  <si>
    <t>Muhammad Sasmita Muhammad Sudibjo Nanda Pahlevi Sukarno</t>
  </si>
  <si>
    <t>Efisiensi shifting Manpower daily dengan penggunaan macro</t>
  </si>
  <si>
    <t>Pembuatan Shifting dilakukan secara manual</t>
  </si>
  <si>
    <t>Pembuatan Shifting dilakukan secara otomatis menggunakan macro</t>
  </si>
  <si>
    <t>Daniel Sinjaya, Muhammad Sudibjo, Nanda Pahlevi Sukarno</t>
  </si>
  <si>
    <t>Active / Non-Active Account Using Excel VBA Macro</t>
  </si>
  <si>
    <t>Aktivasi Akun dilakukan secara manual</t>
  </si>
  <si>
    <t>Aktivasi Akun dilakukan secara otomatis menggunakan macro</t>
  </si>
  <si>
    <t>Khidir Zaman
Achmad Rizal Dimy Iryadie</t>
  </si>
  <si>
    <t>Efisiensi proses pembersihkan produk dan shelving storage</t>
  </si>
  <si>
    <t>Lokasi tool kebersihan cukup jauh dari area shelving storage dan produk.</t>
  </si>
  <si>
    <t xml:space="preserve">Menempatkan alat kebersihan di area shelving storage </t>
  </si>
  <si>
    <t>Project &amp; Service Development</t>
  </si>
  <si>
    <t>Agnes Putri
Gadis Karesa
Hernawan Hernawan
Mei Fitria Handayani
Yohannes Yohannes</t>
  </si>
  <si>
    <t>Efisiensi Flow Request penambahan instruksi alamat</t>
  </si>
  <si>
    <r>
      <t>- Penambahan instruksi alamat pengiriman</t>
    </r>
    <r>
      <rPr>
        <sz val="13"/>
        <color rgb="FF000000"/>
        <rFont val="Calibri"/>
        <family val="2"/>
        <scheme val="minor"/>
      </rPr>
      <t xml:space="preserve"> harus selalu dieskalasi</t>
    </r>
    <r>
      <rPr>
        <sz val="11"/>
        <color theme="1"/>
        <rFont val="Calibri"/>
        <family val="2"/>
        <scheme val="minor"/>
      </rPr>
      <t xml:space="preserve"> ke Express / BES</t>
    </r>
  </si>
  <si>
    <t>Memberikan empowerment kepada tim Inbound CS untuk langsung menambahkan insturksi pengiriman via BSC pada saat status FP</t>
  </si>
  <si>
    <t>CX CSAT</t>
  </si>
  <si>
    <t>Hayatunnisa Hayatunnisa Lottar Matheus
Igih Fauzi Fadillah
Melody Melody
Fauzan Hisbulloh</t>
  </si>
  <si>
    <t>Efisiensi Eskalasi Retur Mapan</t>
  </si>
  <si>
    <t>Proses pengerjaan case dari mapan dilakukan oleh 2 pic inbound dan XOR</t>
  </si>
  <si>
    <t>Proses pengerjaan case dari mapan dilakukan oleh XOR</t>
  </si>
  <si>
    <t>Yoserizal
Andi Rahman
Mansur Nawawi</t>
  </si>
  <si>
    <t>Efisiensi budget Birthday Card agent</t>
  </si>
  <si>
    <t>Birthday card dicetak secara fisik dan didistribusikan ke masing2 site</t>
  </si>
  <si>
    <t>e-birthday card</t>
  </si>
  <si>
    <t>WH Offline</t>
  </si>
  <si>
    <t>Muhamad Syarief
Titus Wahyu Kurniawan</t>
  </si>
  <si>
    <t>Mempercepat pengecekan order offline dari OB</t>
  </si>
  <si>
    <t>Proses pengecekan kelengkapan SKU untuk SO B2B dilakukan secara manual</t>
  </si>
  <si>
    <t>Proses pengecekan kelengkapan SKU untuk SO B2B dilakukan secara semi otomatis dengan menggunakan template excel yang terstandarisasi dan pivot</t>
  </si>
  <si>
    <t>STEVEN</t>
  </si>
  <si>
    <t>Meily</t>
  </si>
  <si>
    <t>Petrus Kevin</t>
  </si>
  <si>
    <t>Mia</t>
  </si>
  <si>
    <t>Agnes</t>
  </si>
  <si>
    <t>Intan</t>
  </si>
  <si>
    <t>Dion</t>
  </si>
  <si>
    <t>Michael</t>
  </si>
  <si>
    <t>Katami</t>
  </si>
  <si>
    <t>Unit
(jika &gt;1 unit, pisahkan dengan koma</t>
  </si>
  <si>
    <t>Jml Grup PA</t>
  </si>
  <si>
    <t>Pengali saving</t>
  </si>
  <si>
    <t>Implemented? (0/1)</t>
  </si>
  <si>
    <t>Contoh</t>
  </si>
  <si>
    <t>Group contoh</t>
  </si>
  <si>
    <t>Contoh1, Contoh2</t>
  </si>
  <si>
    <t>Satya Putra
Galih Kartiwa</t>
  </si>
  <si>
    <t>Efisiensi Biaya Tol Linehaul Bandung-Jakarta</t>
  </si>
  <si>
    <t xml:space="preserve">Besarnya Pengeluaran biaya Tol untuk perjalanan Bandung-Ceper (PP) setiap hari nya mencapai Rp 262.500,- per round trip.
Jarak tempuh perjalanan Bandung-Ceper lebih panjang.
Jam saat kendaraan truk boleh melintasi/masuk Tol dalam Kota Jakarta (Halim), harus diatas Pkl 22:00 WIB.
Toll Cost per Roundtrip (Before) :
Rp. 262.000
</t>
  </si>
  <si>
    <t>Saving biaya Tol Linehaul Bandung-Jakarta sebesar 5% per bulan.
Efisiensi jarak tempuh perjalanan Bandung-Jakarta sebesar 3%.
Benefit:
Saving biaya Tol Linehaul Bandung-Ceper sebesar Rp 8.500,- / hari atau Rp 255.000,- / bulan.
Efisiensi jarak tempuh Bandung-Ceper 12 KM / hari atau 360 KM / bulan.
Saving biaya BBM sebesar Rp 231.750,- / bulan</t>
  </si>
  <si>
    <t>https://gdncomm.sharepoint.com/:x:/s/Operation/EYgHqcXzaClErH-T1uYx7HQBbYpXYZCjtQO8IMovrCsLqQ?e=5JF7CX</t>
  </si>
  <si>
    <t>BES West Jabo, BES East Jabo</t>
  </si>
  <si>
    <r>
      <t>Lottar Matheus
Suci Amalia
Mega Sintia Yusuf
Nathania Dea</t>
    </r>
    <r>
      <rPr>
        <sz val="11"/>
        <color rgb="FF172B4D"/>
        <rFont val="-Apple-System"/>
        <charset val="1"/>
      </rPr>
      <t xml:space="preserve">
@Hilba</t>
    </r>
  </si>
  <si>
    <t>Efisiensi Media Komunikasi antara Express Team dengan Outbond XO</t>
  </si>
  <si>
    <t>- Proses pengerjaan bucket dari team express diberikan menggunakan outlook dimana tidak semua agent outbond XO memiliki akses outlook ke CS Jatibaru
- Tidak meratanya jumlah bucket pada agent outbond XOI
- Tidak adanya proses monitoring dari bucket yang sudah diberikan
- Agent outbond harus aware dengan PIC express yang mengirimkan email dikarenakan template yang digunakan antar PIC terkadang berbeda</t>
  </si>
  <si>
    <t>1. Simplifikasi Proses pengerjaan XOI
2. Mempercepat proses rekapitulasi pengerjaan antar agent XOI
3. Meminimalisir human error sehingga tidak terfollow up oleh agent XOI
4. Mempermudah proses monitoring dan evaluasi outgoing yang dilakukan</t>
  </si>
  <si>
    <t>https://gdncomm.sharepoint.com/:x:/s/Operation/EVwiCQdPSVNPoLew-_QLyO4BKxTS3GSAWQ6dOffPsOiMVA?e=ecwva0</t>
  </si>
  <si>
    <t>Employee Engagement Task Force</t>
  </si>
  <si>
    <r>
      <t>Rika Novita</t>
    </r>
    <r>
      <rPr>
        <sz val="11"/>
        <color rgb="FF172B4D"/>
        <rFont val="-Apple-System"/>
        <charset val="1"/>
      </rPr>
      <t xml:space="preserve">
@Erich</t>
    </r>
  </si>
  <si>
    <t>Efisiensi Durasi Onboarding - Courier and Driver BES</t>
  </si>
  <si>
    <t>- Kasus trouble shooting aktivasi akun terjadi di beberapa peserta dengan durasi yang berbeda-beda sesuai kendalanya masing-masing, sehingga memperlambat trainer masuk ke jadwal batch selanjutnya.
- Rata-rata delay s.d 30 menit/ tiap batch (2 batch x 30 menit = 60 menit atau 1 jam per hari)</t>
  </si>
  <si>
    <t>Menyederhanakan proses aktivasi akun TMS dengan membuat video panduan aktivasi
- Agenda aktivasi akun di lakukan di HUB masing-masing sebelum memulai bekerja ( di hari pertama join)
- Memberikan database akun TMS kurir dan driver yang baru di hiring kepada semua kordinator HUB di H-1</t>
  </si>
  <si>
    <t>https://gdncomm.sharepoint.com/:x:/s/Operation/EdDEH98TQQZEtzgJpqGuKHkBoZfRoMwKRDrJFlAiSeZUWw?e=3pOQbA</t>
  </si>
  <si>
    <t>Return 2</t>
  </si>
  <si>
    <t>Hardian Ruben Tobing Stella Levina Sintia SeprinaltiMuhammad Pratama Sukainah Alqubro</t>
  </si>
  <si>
    <t>Efisiensi Proses Follow Up dan Relasi Terhadap Seller</t>
  </si>
  <si>
    <t>Proses follow up kasus retur terhadap seller masih sering dilakukan oleh lebih dari 1 orang PIC sehingga membuat seller merasa bingung jika ada yang follow up dan akan membuat seller merasa kurang nyaman dan tentunya proses ini akan membuang waktu kerja karena 2 PIC bisa menghubungi seller yang sama
Average follow up to seller if handle by different PIC 67 follow up per day</t>
  </si>
  <si>
    <t>Seller akan difollow up oleh PIC yang sama sehingga waktu pengerjaan follow up ke seller akan berkurang dan relasi terhadap seller akan jadi lebih baik karena akan ada 1 PIC yang berhubungan dengan seller
Akan dibuatkan database dimana terdapat seller code dan PIC dan PIC back up yang bertanggung jawab atas seller tersebut
Setiap pembagian case akan di look up terhadap database tersebut sehingga PIC akan mendapat kasus dari seller yang seharusnya dihandle
We can reduce average day follow up to seller if handling by same PIC to 13 follow per day</t>
  </si>
  <si>
    <t>https://gdncomm.sharepoint.com/:x:/s/Operation/EVfUd_QTpFZEighgxPCquxkBvqW9MimQPuuFFcL5z5nsiA?e=bRfshT</t>
  </si>
  <si>
    <t>Raimund Edwin, Adytyas Sunjaya, Piping Christiawan, Deny Eko, Firsa Hadi</t>
  </si>
  <si>
    <t>Efisiensi Pengiriman IR Transfer antar Warehouse Joglosemar</t>
  </si>
  <si>
    <t>Besarnya biaya sewa Armada Extra untuk mengakomodir IR Transfer antar Warehouse Joglosemar sebesar Rp 1.000.000 / bulan / trip</t>
  </si>
  <si>
    <t>Berkoordinasi dengan DPIM mengenai kuota harian IR sebesar 1 ton atau 3 CBM
Berkoordinasi dengan DPIM dan Warehouse supaya informasi IR dapat dikirimkan sejak siang hari sehingga BES dan WH bisa lebih punya banyak waktu untuk mempersiapkan pengiriman
Saving biaya sewa Armada Extra Rp 1.000.000/ bulan / trip.</t>
  </si>
  <si>
    <t>https://gdncomm.sharepoint.com/:x:/s/Operation/EbU8PwbpFN5PulR1ODNQpScB9C6lcohWch9Df3NJQtUQeQ?e=dZAN07</t>
  </si>
  <si>
    <t>BES Joglosemar, DPIM</t>
  </si>
  <si>
    <t>Amanda, Andi, Anggita, Deni</t>
  </si>
  <si>
    <t>Efisiensi Penulisan Email Sanggah Finding</t>
  </si>
  <si>
    <t>- Pesan yang disampaikan oleh pengirim email kurang jelas sehingga stakeholders di unit lain sulit memahami
- Format penulisan email antar individu atau unit berbeda sehingga berpotensi salah pemahaman
- Penulisan email memakan waktu karena harus mencari isi dan kalimat yang tepat</t>
  </si>
  <si>
    <t>Standarisasi format email sehingga mempersingkat waktu penulisan dan pemahaman isi email
- Membuat guideline cara penulisan email ke stakeholders di ranah Customer Management
- Sosialisasi guideline cara penulisan email ke stakeholders melalui poster dan email</t>
  </si>
  <si>
    <t>https://gdncomm.sharepoint.com/:x:/s/Operation/Eeh5O-A7mfFKqrzUb7zYm9cBGkzV7WiV3fayExVYjwI1mQ?e=k7Hihe</t>
  </si>
  <si>
    <t>BLITS Non-Jakarta</t>
  </si>
  <si>
    <t>Dije, Wahyu Anggara, Istichanah, Arvina Utami</t>
  </si>
  <si>
    <t>Efisiensi penggunaan AC Portable pada site BSD</t>
  </si>
  <si>
    <t>Penggunaan AC Portable yang jarang digunakan pada area tertentu</t>
  </si>
  <si>
    <t>Mengurangi tagihan listrik setiap bulannya di BSD (cost)
- Mengaktifkan AC portable di area tertentu
 Penggunaan AC Portable hanya aktif pada tempat-tempat tertentu secara bergantian
- Melakukan pengecekan tagihan listrik bulan Januari 2022
- Sosialisasi ke security untuk pengaktifan AC portable sesuai metode baru</t>
  </si>
  <si>
    <t>https://gdncomm.sharepoint.com/:x:/s/Operation/EWKcbgJNg5BJulFKKK62LkYBDO98DDhPHCKv2rodveRVjQ?e=YdXqm8</t>
  </si>
  <si>
    <t>Steven, Aisha, Adinda Suffi, Alizha, Yunita Yani, Yola</t>
  </si>
  <si>
    <t>Efisiensi Proses Pengajuan Investigasi ke Logistic Partner</t>
  </si>
  <si>
    <t>Proses pengajuan investigasi suatu order ke pihak logistic partner masih belum real-time karena data pengajuan investigasi di-export dan akan dikirim ke masing-masing Logistic Partner pada pukul 17:00 WIB. Berdasarkan hasil riset, diketahui bahwa setiap Logistic Partner dapat menerima permintaan investigasi selama jam kerja (08:00 – 18:00 WIB) dan tim internal dari pihak Logistic Partner dapat membuat investigation ticket kurang dari 30 menit sejak email dikirimkan. Hal ini dapat dimanfaatkan untuk mempercepat proses investigasi order customer yang mengalami kendala.</t>
  </si>
  <si>
    <t>1.Shorter logistic investigation handling time by  50%
Develop Form Microsoft Teams Investigation:
Mengumpulkan data atau bukti primer berupa customer name, number of koli, weight of package, logistic partner name, type of packaging dan dilakukan rekap pada sistem Microsoft Teams Form
Mengirimkan real-time email ke masing-masing Logistic Partner saat PIC mengerjakan case di jam operasional antara pukul 08:00 – 17:00 WIB</t>
  </si>
  <si>
    <t>https://gdncomm.sharepoint.com/:x:/s/Operation/EfjwHJRN1sVPkUxoaZpYEI8BnB8TH6Aigpm2Xl8jFpih9A?e=yftTHD</t>
  </si>
  <si>
    <r>
      <t>Ritzke Aisyarah</t>
    </r>
    <r>
      <rPr>
        <sz val="11"/>
        <color rgb="FF172B4D"/>
        <rFont val="-Apple-System"/>
        <charset val="1"/>
      </rPr>
      <t> </t>
    </r>
    <r>
      <rPr>
        <sz val="11"/>
        <color rgb="FF42526E"/>
        <rFont val="-Apple-System"/>
        <charset val="1"/>
      </rPr>
      <t>Titis Ekky Krisnanda</t>
    </r>
    <r>
      <rPr>
        <sz val="11"/>
        <color rgb="FF172B4D"/>
        <rFont val="-Apple-System"/>
        <charset val="1"/>
      </rPr>
      <t> @dwina.m.christy</t>
    </r>
  </si>
  <si>
    <t>Dashboard Sanggah Transaksi Bank menggunakan Google Data Studio (GDS)</t>
  </si>
  <si>
    <t>Problem Statement :
Terdapat banyak komponen yang perlu dianalisis dari rekap sanggah transaksi bank sebagai acuan dalam pembuatan rule di system FDS.
Data Before (membutuhkan total waktu 4.727 detik) :
1. Input list sanggah transaksi Bank membutuhkan waktu 500 detik
2. Melakukan penarikan data NXOR035 dari Jasper membutuhkan waktu 133 detik
3. Melakukan penarikan data NXDO035 dari Jasper membutuhkan waktu 133 detik
4. Melengkapi data dengan rumus Vlookup dari data Jasper membutuhkan waktu 1363 detik
5. Melengkapi data dengan rumus Vlookup dari data Daily Report sesuai bulan transaksi membutuhkan waktu 1222 detik
6. Remove duplicate data order ID membutuhkan waktu 5 detik
7. Melakukan pivot untuk beberapa komponen yang perlu dianalisis membutuhkan waktu 697 detik
8. Melakukan refresh periode data per hasil pivot yang ingin dianalisis membutuhkan waktu 65 detik
9. Menyimpan file database rekap sanggah transaksi Bank membutuhkan waktu 73 detik
10. Melakukan penyesuaian rule di system FDS sesuai dengan trend fraud saat analisis dilakukan membutuhkan waktu 536 detik</t>
  </si>
  <si>
    <t>Mempermudah analisis trend fraud payment terbaru dari file database sanggah transaksi bank
Membuat dashboard trend data fraud payment menggunakan Google Data Studio (GDS)</t>
  </si>
  <si>
    <t>https://gdncomm.sharepoint.com/:x:/s/Operation/EfOpOatsaiZLvo40HN3Bsi8B7a9h30ynLBIRYj3mlZIUlQ?e=HWeC08</t>
  </si>
  <si>
    <t>WH Non Jabodetabek</t>
  </si>
  <si>
    <t>MES E - Deli Serdang</t>
  </si>
  <si>
    <t>Al hadid Lubis </t>
  </si>
  <si>
    <t>FUMIGASI HAMA MANDIRI</t>
  </si>
  <si>
    <t>Masih terdapah hama di dalam warehouse terutama tikus / curut
Masih ditemukan produk yang rusak karena hama Perangkap yang sudah ada, dinilai masih kurang efektif Kerugian materi yang di timbulkan akibat hama
Biaya Perangkap Vendor ETOS
Kontrak Rp. 7.920.000,- Pertahun, / Bulan Rp. 7.920.000,- : 12 = Rp. 660.000
untuk 13 titik perangkap tikus.
Mendampingi pihak vendor melakukan pengecekan = 45 menit ( Rp. 22.500 )
Biaya kerusaan hama = 
Beras 5 kilo ( 5 pcs ) = 55.000 x 5 = 275.000
Indomie Kotak (1 pcs) = 95.000 x 1 = 95.000
Promina makanan bayi 9  (1pcs) = 15.000 x 1 = 15.000
Bimoli 2 Liter (4pcs) = 24.000 x 4 = 96.000
Total kerugian = Rp. 481.000 ( Peroide Sept/Oct 2021 ), / Bulan = Rp. 481.000 : 2 = Rp. 240.500</t>
  </si>
  <si>
    <t>1.Pengendalian Hama didalam  WAREHOUSE Lebih Efektif
2.Menjaga kualitas barang tetap terjga dari gangguan hama
Improvement:
membuat perangkap hama berupa racun tikus dan lem perangkap dengan menggunakan karton bekas ( di tambahkan racun &amp; lem gajah )
menempatkan perangkap dibeberapa titik di gudang yang sudah di tentukan ( daerah makanan &amp; barang yang beraroma tajam )
melakukan monitoring terhadap racun &amp; perangkap yang dilakukan setiap hari
melakukan pemindahan titik racun dan perangkap, apabila setelah 2 minggu tidak ada indikasi hama yang terkena
melakukan re-fill racun dan perangkap, apabila bahan sudah berkurang atau terkena hama
Pengecekan dilakukan setiap hari di pagi hari oleh petugas yang sudah di tunjuk sebelumnya.</t>
  </si>
  <si>
    <t>https://gdncomm.sharepoint.com/:x:/s/Operation/EbIV2LIxQ3hLqgUUC_EXR28B-i0F10OwRK6T34lrYwWHIw?e=tjIADc</t>
  </si>
  <si>
    <t>WH Non-Jabo</t>
  </si>
  <si>
    <t>SOC E - Karanganyar</t>
  </si>
  <si>
    <t>Deny EH, Lidia P P, Yanri</t>
  </si>
  <si>
    <t>Pemutusan sambungan telp dari TELKOM</t>
  </si>
  <si>
    <t>Tagihan bulanan 2,000,000</t>
  </si>
  <si>
    <t>Efisiensi costing 2,000,000/bln
Optimalisasi pemakaian telp seluler di outbond, Tidak ada pembayaran bulanan utk TELKOM</t>
  </si>
  <si>
    <t>https://gdncomm.sharepoint.com/:x:/s/Operation/EZblTHSiMI5NlP5pWPXUcxABrtk2rzjxfSpiv8nwCJkSIQ?e=GvbSXZ</t>
  </si>
  <si>
    <t>BES West</t>
  </si>
  <si>
    <r>
      <t>Aldia Trispantia</t>
    </r>
    <r>
      <rPr>
        <sz val="11"/>
        <color rgb="FF172B4D"/>
        <rFont val="-Apple-System"/>
        <charset val="1"/>
      </rPr>
      <t> Suhandih </t>
    </r>
    <r>
      <rPr>
        <sz val="11"/>
        <color rgb="FF42526E"/>
        <rFont val="-Apple-System"/>
        <charset val="1"/>
      </rPr>
      <t>Berino Estrada Lubis</t>
    </r>
  </si>
  <si>
    <t>Perubahan skema pengiriman barang Hub Tangerang dengan direct barang mobil dari Hub Ceper</t>
  </si>
  <si>
    <t>Problem statement:
Space hub Tangerang yang terbatas ketika periode promo
Proses kerja yang berulang untuk inward, pembuatan manifest, loading dan unloading barang, dan penjadwalan paket ke driver</t>
  </si>
  <si>
    <t>Melakukan pengiriman barang driver untuk area Hub Tangerang dilakukan dari Hub Ceper (proses penjadwalan) sehingga driver bisa jalan lebih pagi di jam 6 pagi</t>
  </si>
  <si>
    <t>https://gdncomm.sharepoint.com/:x:/s/Operation/EbY1rAVbgVdKpyT3kjS3pD8BWub2HJgDi2pdFFPjM7Vffg?e=JdxUJI</t>
  </si>
  <si>
    <t>BES West Jabo</t>
  </si>
  <si>
    <t>BES Jatim</t>
  </si>
  <si>
    <r>
      <t>Joko Susilo , </t>
    </r>
    <r>
      <rPr>
        <sz val="11"/>
        <color rgb="FF42526E"/>
        <rFont val="-Apple-System"/>
        <charset val="1"/>
      </rPr>
      <t>Dony Setyawan</t>
    </r>
    <r>
      <rPr>
        <sz val="11"/>
        <color rgb="FF172B4D"/>
        <rFont val="-Apple-System"/>
        <charset val="1"/>
      </rPr>
      <t> , </t>
    </r>
    <r>
      <rPr>
        <sz val="11"/>
        <color rgb="FF42526E"/>
        <rFont val="-Apple-System"/>
        <charset val="1"/>
      </rPr>
      <t>Maman Hanafie</t>
    </r>
  </si>
  <si>
    <t>Efisiensi waktu loading ke armada mobile Hub menggunakan papan penghubung</t>
  </si>
  <si>
    <t>Problem Statement :
1. Lamanya proses loading paket ke dalam mobile Hub (+- 9.97 Menit).
2. Membutuhkan banyak personil untuk loading paket ke dalam mobile Hub ( Min 2 Personil).
3. Adanya space/celah antara lantai loading dock dengan lantai mobile hub
Data Before:
1. Membutuhkan waktu +- 9.97 Menit untuk Loading paket ke dalam mobile hub.
2. Membutuhkan minimal 2 personil untuk proses loading paket ke dalam mobile hub.</t>
  </si>
  <si>
    <t>1. Efisiensi Waktu 50%
2. Efisiensi Manpower 50%
Penggunaan papan kayu untuk menutup space/celah antara Lantai loading dock dengan lantai mobile hub sehingga Handpallet dan Pallet bisa langsung masuk ke dalam mobile hub tanpa perlu mengangkat/memindah paket satu per satu.
Waktu loading menjadi 4.48 Menit
Kebutuhan Manpower Loading 1 Orang</t>
  </si>
  <si>
    <t>https://gdncomm.sharepoint.com/:p:/s/Operation/ES-2436mrKdNoGXegzdmb4kBtPlhKxfrMv1F7ODCOPwfwg?e=NmBlji</t>
  </si>
  <si>
    <t>BES East Jabo</t>
  </si>
  <si>
    <t>CX Human Error</t>
  </si>
  <si>
    <t>Hendra Saputra
Ellisa Kristiana
Iwan Santoso
Arifah Manishati</t>
  </si>
  <si>
    <t>Efisiensi perhitungan human error CS</t>
  </si>
  <si>
    <t>Problem Statement :
1. Perhitungan human error masih manual 
2. Tidak adanya platform untuk monitor human error CS
Dibutuhkan waktu 845 detik untuk mengolah perhitungan</t>
  </si>
  <si>
    <t>Efisiensi waktu 88%
Automasi perhitungan dan tampilan data menggunakan dashboard dengan Google Data Studio</t>
  </si>
  <si>
    <t>https://gdncomm.sharepoint.com/:x:/s/Operation/Ea3rB8EFpUFOtiEgebVKu00Bs4A56wPK6aZctyGyDrQCAQ?e=GyAq4h</t>
  </si>
  <si>
    <t>BLITS Internal Communication Squad</t>
  </si>
  <si>
    <t>Demi Apriliani
Ellisa Kristiana
Riska Hamidah</t>
  </si>
  <si>
    <t>Efisiensi dalam koordinasi materi content instagram dengan tim design</t>
  </si>
  <si>
    <t>Problem statement
Koordinasi pembuatan konten sosial media IG blitsbyblibli dilakukan di WhatsApp sehingga rentan salah pengertian dan missed
Tim designer sulit mengidentifikasi materi mana yang harus dibuat duluan</t>
  </si>
  <si>
    <t>Efisiensi waktu koordinasi 50%
Menggunakan PPT online untuk kordinasi pembuatan konten sosial media
Mengurangi penggunaan waktu dalam berkoordinasi dengan tim design dan tim design bisa mencicil untuk design content yang sudah ada di PPT online</t>
  </si>
  <si>
    <t>https://gdncomm.sharepoint.com/:x:/s/Operation/EdLy2q9ceBROiLYF5hneNZMBXnZiyG29qCAN-mQZ0NW22A?e=YlUMcq</t>
  </si>
  <si>
    <t>WH Non Jabodetabek </t>
  </si>
  <si>
    <t>Warehouse Bandung</t>
  </si>
  <si>
    <t>Khidir Zaman
Dimy Iryadie Cahya</t>
  </si>
  <si>
    <r>
      <t>Efisiensi waktu unloading inbound menggunakan </t>
    </r>
    <r>
      <rPr>
        <sz val="11"/>
        <color rgb="FF000000"/>
        <rFont val="-Apple-System"/>
        <charset val="1"/>
      </rPr>
      <t>Foldable Roller</t>
    </r>
  </si>
  <si>
    <t>Problem Indentification:
Design lantai loading dock inbound yang tidak rata atau lantai memiliki kemiringan dan memiliki atap yang menurun.
Membutuhkan resouce manpower yang banyak untuk unloading barang.
Data Before:
Membutuhkan waktu 180 menit untuk menyelesaikan putaway 2000 karton minyak.</t>
  </si>
  <si>
    <t>Efisiensi waktu unloading 50%
Menggunakan Foldable Roller ketika proses unloading minyak.
Waktu unloading minyak 2000 karton menjadi 90 menit</t>
  </si>
  <si>
    <t>https://gdncomm.sharepoint.com/:x:/s/Operation/ETvGFEcn7s9KiBadeJwg1VoB7oWpCitWoD9TrO6oJl44oA?e=3gg3Sr</t>
  </si>
  <si>
    <t>KMC Team</t>
  </si>
  <si>
    <t>Vina Vibrianti Kusuma
Novita Rahmawati</t>
  </si>
  <si>
    <t>Efisiensi pengisian data support AHA</t>
  </si>
  <si>
    <t>Problem : 
Pemindahan data dari confluence ke File database excel
Pengecekan dan pemindahan data satu persatu untuk data support validasi AHA
Lamanya proses yang diperlukan untuk melengkapi data support validasi AHA</t>
  </si>
  <si>
    <t>Efisiensi pengisian data pendukung AHA
Meminimalkan proses manual dalam pemrosesan AHA
Penggunaan microsoft form sebagai platform yang digunakan untuk menerima request AHA
Sinkronisasi microsoft form dengan excel online untuk meminimalkan proses pemindahan satu persatu dari request AHA Moment
Penggunaan data tarikan GDS agar dapat dilakukan penarikan data (langsung) secara keseluruhan</t>
  </si>
  <si>
    <t>https://gdncomm.sharepoint.com/:x:/s/Operation/Ec-xQec_gotAhxdZMzVa5coB92AO56y_co6-Mjsy2XEmrQ?e=hfV4ow</t>
  </si>
  <si>
    <t>Firsty Kartika
Yunita Rosalia
Riswanda Daniswara</t>
  </si>
  <si>
    <t>Efisien Proses Solusi Order Status DF yang Terupdate API</t>
  </si>
  <si>
    <t>Problem : 
- Pengecekan CM hasil Followup Customer Dilakukan 1 per 1
- Proses Pengerjaan Subtask Solusi Harus Dibuat 1 per 1
- Penggunakan Email sebagai sarana komunikasi anatara Express &amp; CS berpotensi miss checking
Analisa Sebab :
CM yang dilempar ke CM Admin Express menjadi lebih banyak
Pengerjaan membutuhkan waktu yang lama karena dilakukan 1 per 1</t>
  </si>
  <si>
    <t>- Admin tidak perlu melakukan pengecekan semua CM Hasil Followup, karena yang di lempar ke CM Admin hanya customer yang terhubung saja
- Hasil Follow up Bisa di filter berdasarkan hasil follow up customer (Refund &amp; Tidak terhubung bisa di refund bulk)
- Data Tidak Dikirim via Email, melainkan di masuka ke excel online
Improvement :
CM Hasil followup yang dilempar ke CM admin hanya yang terhubung saja
Untuk Hasil followup yang tidak terhubung dilakukan solusi refund bulk
Data GDS bisa refund bulk bisa di tarik sesuai dengan order item yang dibutuhkan
Request Folowup Customer menggunakan Excel Online tidak lagi via Email</t>
  </si>
  <si>
    <t>https://gdncomm.sharepoint.com/:x:/s/Operation/Ee2CE2PHLu9MlP5dy0ZEQnoBt6bmux5ST_i4w8B-fDPyfQ?e=VCJi8x</t>
  </si>
  <si>
    <t>Yesica Prayogi
Vionita Salim
Dina Anggraini
Nur Jannah
@ Dicky Darmawan 
jeremy tambunan</t>
  </si>
  <si>
    <t>Percepatan Pengiriman Email</t>
  </si>
  <si>
    <t>Problem Statement:
-Setiap hari akan ada email yang dikirimkan ke supplier untuk proses retur.
-Email ini dikirimkan ke supplier yang sama secara berulang dengan format yang sama ataupun berbeda untuk setiap supplier.
-Data poduk yang akan di retur dan data contact supplier (email, alamat pengiriman, dll) berada di database yang berbeda sehingga pada saat mengirimkan email perlu membuka file yang berbeda (database contact supplier).
Data Before:
- Perlu membuka database contact supplier untuk mencari alamat email supplier
- Pengetikkan TO, CC, &amp; Subject di email masih dilakukan secara manual
- Body email perlu di edit dari templete yang sudah ada sesuai dengan kebutuhan masing-masing supplier
- Proses membuka RMA masih manual</t>
  </si>
  <si>
    <t>Pengiriman email akan lebih cepat karena tidak perlu:
-Input TO, CC, &amp; Subject email secara manual
-Templete body email sudah disesuaikan dengan keperluan masing-masing supplier
-Proses membuka RMA automatic</t>
  </si>
  <si>
    <t>https://gdncomm.sharepoint.com/:x:/s/Operation/EfvGRI0oV55CmpRUp1k4FTEB-dvKAa2PGMcGZiN-nieFIw?e=FLnqMD</t>
  </si>
  <si>
    <t>WH Jabodetabek 1</t>
  </si>
  <si>
    <t>Maria Liveria</t>
  </si>
  <si>
    <t>Otomatisasi Report Pending IR</t>
  </si>
  <si>
    <t>Banyak IR yang belum closed dalam jangka waktu yang lama
- Perlu diinfokan ke warehouse untuk close IR tersebut dan pantau progress IR dengan menggunakan report
- waktu yang dibutuhkan untuk melakukan reporting dan mendapatkan data IR yang belum close tersebut cukup lama
Analisa sebab:
Banyak Status IR yang belum Closed
Masih ada IR yang statusnya PPC, Item Picked, Item Packed, Item Issued untuk waktu yang lama dan masih belum diproses lebih lanjut
Warehouse butuh investigasi IR tersebut
Analisa data untuk diberikan ke pihak warehouse</t>
  </si>
  <si>
    <t>Membuat dashboard reporting dan data IR di Google data studio</t>
  </si>
  <si>
    <t>https://gdncomm.sharepoint.com/:x:/s/Operation/Eb9LSllSys5ArNMGkRYxzFsBtlQYjTvxGXSn-eArftKoTQ?e=qw08C4</t>
  </si>
  <si>
    <t>Tauhid Pangestu
Muhammad Sudibjo</t>
  </si>
  <si>
    <t>Otomatisasi Pembuatan SPK Perawatan Kendaraan Operasional</t>
  </si>
  <si>
    <t>- Pembuatan SPK masih manual
'- Proses approval SPK masih berupa fisik
'- Proses distribusi SPK memerlukan waktu yang lama
Analisa Sebab:
'- Perlunya memenidahkan data dari online ke offline dalam pembuatan SPK
'- Dalam proses approval memerlukan proses print dan scan yang berulang
'- Pendistibusian terhambat karena operator harus mencari secara manual file SPK yang sudah dibuat</t>
  </si>
  <si>
    <t>Menggunakan fitur Microsoft Power Automate dalam pembuatan, approval, dan distribusi SPK</t>
  </si>
  <si>
    <t>https://gdncomm.sharepoint.com/:x:/s/Operation/EaSTwTiHN4tFq736ntCAPX0BFI-YSnNs4vuANqdppwCWLg?e=yOJCVo</t>
  </si>
  <si>
    <t>BES East Jabo, BES South Jabo, BES West Jabo, BES East Java, BES Joglosemar, BES Non Java, BES West Java</t>
  </si>
  <si>
    <t>Arifah ManishatiGuntur Putra
Amalia Agyanti
Hernawan Hernawan</t>
  </si>
  <si>
    <t>Percepatan proses QC Melebihi SLA</t>
  </si>
  <si>
    <t>Problem :
Proses QC produk harus di eskalasi ke Tim Production
Banyaknya QC lebih dari 5 hk
Membutuhkan proses kembali setelah dieskalasi ke Tim Production
Analisa Sebab :
Seller Care belum adanya empowerment untuk melakukan proses QC produk
Seller complaint karena produk sudah lewat dari 5 hk masih belum aktif</t>
  </si>
  <si>
    <t>Improvement :
Melakukan discussion dengan tim production terkait empowerment BSC Vendor
Memberikan empowerment ke TL &amp; Specialist untuk langsung ekseskusi proses QC produ</t>
  </si>
  <si>
    <t>https://gdncomm.sharepoint.com/:x:/s/Operation/EXxX8vSIC8hOsjx1A1Diza8Bt_ZmAud4cOMxnG32WDFNGQ?e=xm0hS6</t>
  </si>
  <si>
    <t xml:space="preserve"> Nanda
Ayie Manti
Iwan Santoso</t>
  </si>
  <si>
    <t>Efisiensi monitoring New Customer</t>
  </si>
  <si>
    <t>Problem
- Banyaknya jumlah NC yang late ETD (avg 300 order item id)
- Check last status setiap order item
- Copas last status setiap order item
ANALISA SEBAB
1. Membutuhkan waktu yang lama untuk monitoring order NC
2. Seringkali membutuhkan waktu pengerjaan diluar jam kerja</t>
  </si>
  <si>
    <t>IMPROVEMENT
- Penambahan last status (AWB) di idv pada email report
- Penambahan last time stamp IDV sehingga tidak perlu di cek 1-1 semua order item karena semua sudah reflect pada email report</t>
  </si>
  <si>
    <t>https://gdncomm.sharepoint.com/:x:/s/Operation/EeVKQIX_RE9Is4a6iSp_zDEBvB06AAXgDL3qHfDpxEAzgQ?e=2C3Gfm</t>
  </si>
  <si>
    <t>Masih masuk Kaizen kah??
Dalam brp minggu? Karena need changes in jasper</t>
  </si>
  <si>
    <t>Annissa Meuthia Kasih DaulayDicky Darmawan, Dandy A Putra, Yuni Widiasih, Aldiy Pramita</t>
  </si>
  <si>
    <t>Efisiensi Pengupdatean Produk Retur yang datang dari Warehouse Decentral</t>
  </si>
  <si>
    <t>Proses yang dilakukan saat mengupdate incoming produk dari decentral terlalu lama. Mayoritas dari proses ini merupakan proses berulang dan tidak dibutuhkan, sehingga tahapan updatenya bisa disederhanakan dan disesuaikan dengan kebutuhan di lapangan.
Saat ini waktu yang dibutuhkan untuk melakukan pengupdatean 1 produk dari decentral adalah 230 detik. Average produk dari decentral per hari: 15 produk.
com.atlassian.confluence.content.render.xhtml.XhtmlException: Missing required attribute: {http://atlassian.com/resource/identifier}value
Terdapat waste:
1. Ada proses pengupdatean yang tidak digunakan untuk followup case, namun tetap dilakukan.
2. Waktu yang dibutuhkan untuk pengupdatean menjadi lama, padahal waktu ini masih memungkinkan untuk dipersingkat sehingga waktu tersebut bisa dialihkan untuk melakukan pengecekan barang retur lainnya.</t>
  </si>
  <si>
    <t>Membuat ketentuan bila ada produk retur dari decentral, apakah perlu dilakukan
pengecekan ulang atau tidak. Bila tidak butuh dicek ulang, maka kita dapat menghilangkan step update incoming produk ke CM. Berikut ketentuan yang kami buat:
1. Cek apakah kasus sudah diberikan solusi dan tidak ada permintaan di CM untuk pengecekan ulang.
2. Bila sudah, maka step update BD tidak perlu dilakukan, dan inspector QC hanya update follow up decision.
Waktu yang dibutuhkan untuk melakukan pengupdatean 1 produk dari decentral adalah 75 detik.</t>
  </si>
  <si>
    <t>https://gdncomm.sharepoint.com/:x:/s/Operation/Ebx6YQqMxDtEiAov77nmGigBOfjvw3nxNrd2VPvN07pmnA?e=Ej7dfO</t>
  </si>
  <si>
    <t xml:space="preserve">Seteven Chandra Fachrizal Kholiq </t>
  </si>
  <si>
    <t>Penghentian penggunaan kertas dalam mencetak hardcopy untuk BAC Destroy Asuransi Tokio Marine</t>
  </si>
  <si>
    <t>Banyaknya waktu yang diperlukan dan kertas dalam mencetak BAC Destroy Asuransi Tokio Marine yaitu 64 lembar dengan waktu 32 menit per bulannya
Note: perlu konfirmasi apakah soft copy di saved? buat kebutuhan claim asuransi &amp; proof kedepannya
Feedback dari Note: sebelum improvement ini, soft copy dikirim ke Tim Return dan jika sudah dicek oleh Tim Return, mereka akan kirim feedbacknya via email, lalu akan dicetak hardcopy-nya.  Jadi untuk kebutuhan softcopy klaim bisa diambil dari email terkait. 
Terdapat waste: 1. Penggunaan kertas yang lumayan banyak dan kurang efektif   2. Waktu yang diperlukan untuk mencetak lumayan lama</t>
  </si>
  <si>
    <t>1. Tidak lagi menggunakan kertas 2. Menghemat waktu bekerja 32 menit per bulan</t>
  </si>
  <si>
    <t>WH Retur</t>
  </si>
  <si>
    <t>Igih Fauzi Fadillah
Gadis Karesa
Hayatunnisa Hayatunnisa
Lottar Matheus
Fauzan Hisbulloh</t>
  </si>
  <si>
    <t>Waktu tunggu lebih lama karena harus diproses perubahan data rekening oleh tim Admin Seller
Proses perubahan hanya dapat dilakukan dihari kerja
Seller membutuhkan interaksi lebih dari 1 kali untuk penyelesaian request perubahan profile merchant
Data eskalasi untuk proses perubahan profile merchant YTD 12 May 2022 sebanyak 694 cases atau 5 cases/day
Resolution time yang dibutuhkan adalah sebesar 50 jam dengan persentase SLA achievement sebesar 85%</t>
  </si>
  <si>
    <t>Mempercepat pemberian solusi ke Seller SIPLah
Meningkatkan SLA Achievement
Mengurangi Resolution Time
Memangkas proses perubahan data rekening dari tim Admin Seller</t>
  </si>
  <si>
    <t>https://gdncomm.sharepoint.com/:x:/s/Operation/EVC46RODqNpKkUw522E8TzIB2NQDBf1YWomNYTdl53PhtA?e=qpiUQ3</t>
  </si>
  <si>
    <t>Elvin Sastra
Riri Setiawati
Robi
Ursula</t>
  </si>
  <si>
    <t>Transfer chat inbound ke agent Diskusi Produk</t>
  </si>
  <si>
    <t>Handling Time agent inbound perihal pertanyaan mengenai spesifikasi membutuhkan waktu lebih lama untuk mencarin solusi
- Knowledge agent inbound terkait spesifikasi produk masih terbatas
- Tidak adanya empowerment dr agent inbound untuk mencari info (group WAG, youtube, telfon seller, excel, dll)
1. CS Inbound tidak memiliki empowerment untuk mencari informasi terkait spesifikasi produk
2. Agent inbound membutuhkan waktu untuk konfirmasi ke tim PD
3. Proses yang terjadi redundant (Inb - PD - PD cari info - Inb</t>
  </si>
  <si>
    <t xml:space="preserve"> Melakukan transfer chat dari agent inbound ke agent diskusi produk terkait case spesifikasi
- agent diskusi produk diberikan empowerment (WAG, OG seller, web resmi) untuk mencari informasi terkait case spesifikasi produk</t>
  </si>
  <si>
    <t>https://gdncomm.sharepoint.com/:x:/s/Operation/EdTW4ZuHu8hLvDIRZ2_i6nAB-wPK0Mb-Y8Ayv2olsE43UQ?e=GxMScd</t>
  </si>
  <si>
    <t>Yunika Nurmalia Delfina Sutanjie Sumiati Oktavianti Lia Arniati Nova Sitanggang</t>
  </si>
  <si>
    <t>Efisiensi pembuatan dokumen claim (manual) menggunakan Macro</t>
  </si>
  <si>
    <t>1. Proses pembuatan document claim manual menggunakan 2 Macro yang berbeda
-Macro surat claim + Kronologi
-Macro bukti complain customer"
2. Memerlukan 2x running data untuk mengerjakan satu case yang sama
1. Proses running 2 macro yang bebeda sehingga memakan waktu yang lebih lama
2. sumber rekapan data yang sama untuk memproses document claim</t>
  </si>
  <si>
    <t>1. Melakukan adjustment pada source data GDS yang digunakan untuk mendapatkan detail data yang dibutuhkan
2. Prosess 1x running macro sudah menghasilkan Surat claim + kronologi + bukti complain cust
3. Mengurangi waktu pengerjaan menjadi 1 Menit/case atau setara dengan 2 Jam/hari</t>
  </si>
  <si>
    <t>https://gdncomm.sharepoint.com/:x:/s/Operation/Ef1wG_x8XfdNrc7Mh1UP7UIB90fZbcaV_J5aHc0_K9t3Eg?e=7s56Bq</t>
  </si>
  <si>
    <t>Raimund Edwin</t>
  </si>
  <si>
    <t>Efisiensi Shifting BES Yogyakarta</t>
  </si>
  <si>
    <t>Besarnya biaya Overtime Operator di Q1 2022, rata rata 41 Jam per bulan atau sebesar RP 702.666 per bulan</t>
  </si>
  <si>
    <t>Menurunkan lamanya jam overtime per bulan hingga 50%
Merubah Jam Shifting Operator</t>
  </si>
  <si>
    <t>https://gdncomm.sharepoint.com/:x:/s/Operation/EYxxEyKLh55NoN5I3k92FHQB8DUyVD1Y7vNSZPMSUSLh1Q?e=shdjNb</t>
  </si>
  <si>
    <t>Indra Wahyu
Febrina Larasati</t>
  </si>
  <si>
    <t>Macro Email Sales Force</t>
  </si>
  <si>
    <t>- Agent mengerjakan email dengan template yang disimpan dalam bentuk word, notepad, quick text
- AHT (average handling time) agent yang tinggi (lama)
- Berdasarkan data traffic channel email YTD 2022 terdapat 139 daily case untuk 37 case subcategory (yang dibuatkan template Macros)</t>
  </si>
  <si>
    <t>Mempercepat AHT Agent
- Meminimalisir manual typing dan human error
Pembuatan Macro (template ) pada Salesforce untuk channel email</t>
  </si>
  <si>
    <t>https://gdncomm.sharepoint.com/:x:/s/Operation/EYqXB_Q1LOZFjls6-gEfCOcB6qPTU4u68-L2a1DQLCfkDQ?e=Q5FZBH</t>
  </si>
  <si>
    <t>Yohannes Yohannes
Mei Fitria Handayani
Gadis Karesa
Hernawan Hernawan</t>
  </si>
  <si>
    <t>Efisiensi Flow OOS after order on PC status</t>
  </si>
  <si>
    <t>Case Produk kosong setelah oder (seller infokan ke customer barang kosong dan customer complain ke CS) ketika status PC harus dieskalasi
- Proses eskalasi cukup kompleks status PC karena harus validasi ke seller terlebih dahulu
- Lamanya proses seller membalas terutama pada hari libur</t>
  </si>
  <si>
    <t>Efisiensi flow dari escalate menjadi quick kill (selesai seketika pada saat customer complaint) dan memberikan bukti chat seller yang menyatakan barang kosong
- Mengurangi kasus eskalasi
- Mengurangi cost outgoing
- Mempercepat proses resolution time ke customer
Melakukan research untuk menemukan cara agar bisa dilakukan oleh tim Inbound|
- Melakukan discussion dengan tim PPI &amp; Express
- Memberikan empowerment kepada tim Inbound untuk langsung cancel order saat status PC ketika customer memberikan bukti chat seller kepada CS</t>
  </si>
  <si>
    <t>https://gdncomm.sharepoint.com/:x:/s/Operation/EdJKM7hq_qpJuvkY1KJacsYByZK6VewwlYgoTIIRY6oEJA?e=JD3VBc</t>
  </si>
  <si>
    <r>
      <t>Nova Permatasari</t>
    </r>
    <r>
      <rPr>
        <sz val="11"/>
        <color rgb="FF172B4D"/>
        <rFont val="-Apple-System"/>
        <charset val="1"/>
      </rPr>
      <t> </t>
    </r>
    <r>
      <rPr>
        <sz val="11"/>
        <color rgb="FF42526E"/>
        <rFont val="-Apple-System"/>
        <charset val="1"/>
      </rPr>
      <t>Helda Andriani</t>
    </r>
    <r>
      <rPr>
        <sz val="11"/>
        <color rgb="FF172B4D"/>
        <rFont val="-Apple-System"/>
        <charset val="1"/>
      </rPr>
      <t> </t>
    </r>
    <r>
      <rPr>
        <sz val="11"/>
        <color rgb="FF42526E"/>
        <rFont val="-Apple-System"/>
        <charset val="1"/>
      </rPr>
      <t>Susanti A. Marpaung</t>
    </r>
  </si>
  <si>
    <t>Proses pengerjaan re-triger status cancel pengiriman grab dan gosend</t>
  </si>
  <si>
    <t>Proses pengecekan satu persatu ke CM ( Casemgt) untuk proses re-triger gojek dan grab di BSC</t>
  </si>
  <si>
    <t xml:space="preserve">Mengurangi proses pengecekan di CM 
Tidak ada pengechekan secara manual </t>
  </si>
  <si>
    <t>https://gdncomm.sharepoint.com/:x:/s/Operation/EWesmSuH0YZEpxBkF2HFTvgBunU1ghpfqEiHqO_CPhqEkw?e=fxmGxB</t>
  </si>
  <si>
    <t>Quality Assurance</t>
  </si>
  <si>
    <t>Efisiense upload foto ke RMA menggunakan fitur multiple drag and drop.</t>
  </si>
  <si>
    <t>Proses upload foto dilakukan satu persatu ke RMA.</t>
  </si>
  <si>
    <t>Efisiensi waktu upload foto ke RMA.
Pembuatan fitur multiple drag and drop di RMA sehingga proses upload foto bisa dilakukan secara masif dan lebih cepat.</t>
  </si>
  <si>
    <t>https://gdncomm.sharepoint.com/:x:/s/Operation/EQ0ji2CA5yFFlhOr2lEAJDwBjro2mS5tARLlJhxAx0trGg?e=5XocBe</t>
  </si>
  <si>
    <t>Proses pengerjaan trigger SKU untuk di ubah menjadi SKU DarkStore</t>
  </si>
  <si>
    <t>Banyak nya SKU yang harus di assembly untuk menjadi SKU Dark Store</t>
  </si>
  <si>
    <t>Mengurangi manual yang harus di kerjakan untuk pengubahan SKU tersebut
Trigger otomatis di lakukan di setiap hari Senin, Rabu &amp; Jumat
TP tidak perlu melakukan assembly
Penghematan waktu
Mengurangi pekerjaan manual
Barang tidak lama di area storage Non Distribusi</t>
  </si>
  <si>
    <t>https://gdncomm.sharepoint.com/:x:/s/Operation/ERamQvDAU0lCrG-rsZJhJJMB4MnS0tn2pKMEBa-nnoBu6Q?e=0lGQGC</t>
  </si>
  <si>
    <t>Warehouse Yogyakarta</t>
  </si>
  <si>
    <t>Aji Subo Anggono ; Piping Christiawan</t>
  </si>
  <si>
    <t>Penambahan jumlah storage di shelving ruang AC menggunakan shelving bar sisa</t>
  </si>
  <si>
    <t>Banyaknya product yang harus disimpan di Ruang AC tetapi jumlah storage terbatas</t>
  </si>
  <si>
    <t>Semua product dengan storage requirement di bawah 30 derajat celcius bisa disimpan di Ruang AC</t>
  </si>
  <si>
    <t>https://gdncomm.sharepoint.com/:x:/s/Operation/ES_NG6y_4HFIkuO83vzgNGABqo0g4eDFVOIdeN0nloXzhw?e=ZduUMI</t>
  </si>
  <si>
    <t>Arvina Utami
Dallia Sari
Sumidayana Sumidayana</t>
  </si>
  <si>
    <t>Efisiensi Collecting data Coaching Team Leader Inbound BLITS Non-Jakarta</t>
  </si>
  <si>
    <t xml:space="preserve"> Proses download berulang setelah penginputan data coaching team leader
- Proses collecting data yang memakan banyak waktu
- data yang di download berupa excel sehingga memakan banyak ruang penyimpanan</t>
  </si>
  <si>
    <t>tidak memerlukan Proses download berulang
- Proses collecting data hemat waktu karena selalu update
- Collect data berupa excel online sehingga tidak perlu download (tidak memakan waktu penyimpanan)
- Penggunaan sistem aplikasi power automate flow (Salah satu fitur Microsoft)
- Penggunaan sistem Excel online untuk collecting data</t>
  </si>
  <si>
    <t>https://gdncomm.sharepoint.com/:x:/s/Operation/EdkfAwZTBUBDodRwfcHNdIsB1ilhJY2OGiPNC1GW10Sx-A?e=HFItfU</t>
  </si>
  <si>
    <r>
      <t>Sherly Setiawan</t>
    </r>
    <r>
      <rPr>
        <sz val="11"/>
        <color rgb="FF172B4D"/>
        <rFont val="-Apple-System"/>
        <charset val="1"/>
      </rPr>
      <t> </t>
    </r>
    <r>
      <rPr>
        <sz val="11"/>
        <color rgb="FF42526E"/>
        <rFont val="-Apple-System"/>
        <charset val="1"/>
      </rPr>
      <t>Verencia Permatasari</t>
    </r>
    <r>
      <rPr>
        <sz val="11"/>
        <color rgb="FF172B4D"/>
        <rFont val="-Apple-System"/>
        <charset val="1"/>
      </rPr>
      <t> @hafiz.Fadilli</t>
    </r>
  </si>
  <si>
    <t>Efisiensi Proses Pembuatan Seller Free Shipping Subsidy Softcopy Invoice</t>
  </si>
  <si>
    <t>Membutuhkan waktu yang lama untuk menyesuaikan format terkait template softcopy Seller Free Shipping Subsidy Invoice masing-masing seller.
Data Before:
1. Durasi menarik dan membuka data order seller membutuhkan waktu 344 detik
2. Durasi menyesuaikan format data order sesuai dengan template softcopy seller free shipping subsidy yang digunakan membutuhkan waktu 1.328 detik</t>
  </si>
  <si>
    <t>Efisiensi waktu penyesuaian data order seller sesuai dengan template softcopy seller free shipping subsidy terkait = 75%
Improvement: Mengurangi waktu dalam menyesuaikan format data order dengan template penagihan ke seller menggunakan macro
Implementation: Menerapkan penggunaan macro untuk penagihan seller free shipping subsidy</t>
  </si>
  <si>
    <t>https://gdncomm.sharepoint.com/:x:/s/Operation/EQmd2SqpPiBFgaDNBWE7swoB36J-zZgyw2m-C7RtyOscyA?e=JzK5Zt</t>
  </si>
  <si>
    <t>Vinka Rosdianti
R Yudhawirawan
Hayatunnisa Hayatunnisa</t>
  </si>
  <si>
    <t>Service Recovery &amp; Human Error Dashboard</t>
  </si>
  <si>
    <t xml:space="preserve">Problem:
- Service Development findings data are all stored in excel online that is not ideal for large amount of data
- Creating report can only be done manually using powerpoint
- Team Service Development have to input data manually
- Data processing and reporting were executed manually
- Multiple files to monitor (Customer care, seller care, retur)
- Prone to errors (human error and function error)
</t>
  </si>
  <si>
    <t xml:space="preserve">- Migrating service development data to detroit, connect ke GDS, langsung buat dashboard
- Provide scalable solution for data storing and reporting in the future
- Requesting Serdev team to move SR (service recovery) and HE (human error) input to detroit : SOP adjustment for data input from excel online to detroit
- Requesting data team to create datamart for detroit data : alignment with data team for what data should be available on datamart; cross checking the data output on GDS
- Create dashboard for stakeholders monitoring : replacing the previously manual report with GDS dashboard; create dashboard with more insights to address different stakeholders needs
Detroit = aplikasi live monitoring </t>
  </si>
  <si>
    <t>https://gdncomm.sharepoint.com/:x:/s/Operation/EacJ108qF21Ko4xWNent_vkBbpdqQIe6rop_RkksJQQvnQ?e=jdAncB</t>
  </si>
  <si>
    <t>Hendra, Heri, Andika, Edi</t>
  </si>
  <si>
    <t>Efisiensi Penggunaan Shipping Label Thermal Dan Lakban Fragile Untuk Paket Food Dan Non Food Menggunakan Plastik 102</t>
  </si>
  <si>
    <t>Paket order food dan non food terpisah. Penggunaan shipping label thermal dan lakban fragile jadi boros</t>
  </si>
  <si>
    <t>Efisiensi penggunaan shipping label thermal sebesar 50%, efisiensi penggunaan lakban fragile 30%
Paket food dan non food yang sudah di packing masing masing menggunakan plastik 102, disatukan menggunakan lakban fragile sehingga menjadi 1 paket yang menggunakan 1 shipping label thermal saja</t>
  </si>
  <si>
    <t>https://gdncomm.sharepoint.com/:x:/s/Operation/ET2I2y2wo7FGmuNmr5MJ4VYBkYPbJO__VCrFMvhTXQlh6A?e=f9GJMg</t>
  </si>
  <si>
    <t>Guntur Putra
Dwi Agustin
Amalia Agyanti
Siti Mahwa
Hernawan Hernawan</t>
  </si>
  <si>
    <t>Efficiency Process Seller Cancel Order OOS</t>
  </si>
  <si>
    <t>- Proses Cancel order harus di eskalasi ke Tim XO
- Order yang terbatalkan otomatis sebelum dieksekusi
- Membutuhkan waktu untuk proses cancel order
Data Before Improvement:
Data eskalasi untuk Cancel order OOS dari 01 April 2022 - 30 Juni 2022 sebanyak 679 cases atau sebanyak 4 cases / hari</t>
  </si>
  <si>
    <t>- Efisiensi flow dari escalate menjadi quick kill (selesai seketika TL / Specialist eksekusi)
- Mempercepat proses cancel order OOS
- Mengurangi case eskalasi
- Melakukan discussion dengan tim XO terkait empowerment cancel order saat status PC atau PU
- Memberikan empowerment ke TL &amp; Specialist untuk langsung proses cancel order</t>
  </si>
  <si>
    <t>https://gdncomm.sharepoint.com/:x:/s/Operation/EYzD95OqEJNEoRoJL3t_Y6oBZAQAXM4poxqi_YVwre8oXA?e=IWjUTJ</t>
  </si>
  <si>
    <t>Anggita anggita
Athirah Fitrianthy
Fauzan Hisbulloh
Irfan Wahyudin</t>
  </si>
  <si>
    <t>Efisiensi Flow penyampaian informasi untuk peserta New Hired Training (NHT BLITS)</t>
  </si>
  <si>
    <t xml:space="preserve">Background
- Trainer akan menginvite peserta dalam 1 grup Whatsapp untuk memberikan informasi terkait proses NHT (Informasi yang disampaikan; Alamat training, Perlengkapan yang harus dibawa, Dresscode
- Lamanya proses penyimpanan nomor peserta satu persatu secara manual
- Trainer mengirimkan pesan melalui SMS ke para peserta yang ada pada list (cost Rp 350,-/SMS)
Data Before Improvement
- Trainer save nomor peserta satu persatu dan manual -&gt; menghabiskan waktu 90 detik/peserta (termasuk save nomor dan kirim WA)
- Trainer mengirimkan pesan melalui SMS ke para peserta yang ada pada list (cost Rp 350,-/SMS) -&gt; Menghabiskan waktu 90 detik/peserta dan costing Rp 7000/Batch ( 1 batch 20 peserta)
- Ada gap antara pengiriman pesan pertama dengan pesan berikutnya sampai ke seluruh peserta
</t>
  </si>
  <si>
    <t>- Efisiensi flow dari manual menjadi lebih praktis dengan cara blast Whatsapp
- Mengurangi waktu saving nomor HP
- Mengurangi cost outgoing
- Mempercepat Proses penyebaran informasi kepada peserta NHT
- Mempercepat gap waktu antara sms pertama dengan sms berikutnya
Step by Step:
- Melakukan research untuk menemukan software atau aplikasi yang tidak berbayar untuk menyebarkan pesan secara lebih cepat
- Melakukan discussion dengan trainer lain untuk asess beberapa software yang disesuaikan dengan kebutuhan
- Pilihan jatuh pada software extension google yaitu WAPI (Software Blast WA tanpa save nomor)
- Install WAPI di laptop trainer
- Buat form csv dengan detail (Nama Peserta, Nomor HP, dan pesan yang ingin disampaikan)</t>
  </si>
  <si>
    <t>https://gdncomm.sharepoint.com/:x:/s/Operation/Ed4aWPX6kftElYDnyk-IFQQBMxnw0yJmJQPFBFWDlsj19A?e=EwLRl4</t>
  </si>
  <si>
    <r>
      <t>Robert Soleman</t>
    </r>
    <r>
      <rPr>
        <sz val="11"/>
        <color rgb="FF172B4D"/>
        <rFont val="-Apple-System"/>
        <charset val="1"/>
      </rPr>
      <t> </t>
    </r>
    <r>
      <rPr>
        <sz val="11"/>
        <color rgb="FF42526E"/>
        <rFont val="-Apple-System"/>
        <charset val="1"/>
      </rPr>
      <t>Hendro Purnomo</t>
    </r>
    <r>
      <rPr>
        <sz val="11"/>
        <color rgb="FF172B4D"/>
        <rFont val="-Apple-System"/>
        <charset val="1"/>
      </rPr>
      <t> </t>
    </r>
    <r>
      <rPr>
        <sz val="11"/>
        <color rgb="FF42526E"/>
        <rFont val="-Apple-System"/>
        <charset val="1"/>
      </rPr>
      <t>Tinnu Dwiseptyanie</t>
    </r>
  </si>
  <si>
    <t>Penggunaan RPA untuk pembuatan subtask Approval - Inject Cashback</t>
  </si>
  <si>
    <t>Problem Statement:
- Ditemukan secara rutin adanya kasus X / DF Delivered (Status X / DF, namun paket diterima Customer)
- Ditemukan di dalam kasus X / DF Delivered adanya kode voucher cashback yang tidak ter-inject ke akun Customer karena statusnya X / DF
- Perlu pembuatan subtask approval - inject cashback secara manual satu per satu yang membutuhkan waktu 110 detik per subtask</t>
  </si>
  <si>
    <t>Efisiensi waktu pengerjaan sebesar 50%
1. Merubah proses pengerjaan dengan menggunakan RPA
2. Tim Express Delivery akan mengisi file excel yang digunakan sebagai template untuk running RPA
3. Proses running RPA dilakukan pada pukul 16:00</t>
  </si>
  <si>
    <t>https://gdncomm.sharepoint.com/:x:/s/Operation/ETpF4C3P5IRBkjXWI1ZbPHQBiJkCM7GcBfmCLtCtaY0nTw?e=7eEb1x</t>
  </si>
  <si>
    <t>Neglasari</t>
  </si>
  <si>
    <r>
      <t>Haris Triraditia</t>
    </r>
    <r>
      <rPr>
        <sz val="11"/>
        <color rgb="FF172B4D"/>
        <rFont val="-Apple-System"/>
        <charset val="1"/>
      </rPr>
      <t>; </t>
    </r>
    <r>
      <rPr>
        <sz val="11"/>
        <color rgb="FF42526E"/>
        <rFont val="-Apple-System"/>
        <charset val="1"/>
      </rPr>
      <t>Handi Kusworo</t>
    </r>
    <r>
      <rPr>
        <sz val="11"/>
        <color rgb="FF172B4D"/>
        <rFont val="-Apple-System"/>
        <charset val="1"/>
      </rPr>
      <t>; </t>
    </r>
    <r>
      <rPr>
        <sz val="11"/>
        <color rgb="FF42526E"/>
        <rFont val="-Apple-System"/>
        <charset val="1"/>
      </rPr>
      <t>Win Purwanto</t>
    </r>
    <r>
      <rPr>
        <sz val="11"/>
        <color rgb="FF172B4D"/>
        <rFont val="-Apple-System"/>
        <charset val="1"/>
      </rPr>
      <t> ;</t>
    </r>
    <r>
      <rPr>
        <sz val="11"/>
        <color rgb="FF42526E"/>
        <rFont val="-Apple-System"/>
        <charset val="1"/>
      </rPr>
      <t>Ombun Soemantri</t>
    </r>
    <r>
      <rPr>
        <sz val="11"/>
        <color rgb="FF172B4D"/>
        <rFont val="-Apple-System"/>
        <charset val="1"/>
      </rPr>
      <t> ; </t>
    </r>
    <r>
      <rPr>
        <sz val="11"/>
        <color rgb="FF42526E"/>
        <rFont val="-Apple-System"/>
        <charset val="1"/>
      </rPr>
      <t>Demianus Gea</t>
    </r>
    <r>
      <rPr>
        <sz val="11"/>
        <color rgb="FF172B4D"/>
        <rFont val="-Apple-System"/>
        <charset val="1"/>
      </rPr>
      <t> ; </t>
    </r>
    <r>
      <rPr>
        <sz val="11"/>
        <color rgb="FF42526E"/>
        <rFont val="-Apple-System"/>
        <charset val="1"/>
      </rPr>
      <t>Sanni Sanni</t>
    </r>
  </si>
  <si>
    <t>Efisiensi Lead Time Proses Handover Ojol</t>
  </si>
  <si>
    <t>Antrian ojol panjang dan proses handover barangnya lama
Penggunaan kertas manual untuk mencatat no resi/airwaysbill
Waktu menunggu barang lama
Antrian tidak efisien, ojol perlu mengantri 2-3 kali</t>
  </si>
  <si>
    <t>Efisiensi lama/lead time antrian ojol 20-30% lebih cepat
Menggunakan aplikasi microsoft form di honeywell/zebra untuk mencatat no resi/airwaysbill/package id 
Menggunakan microsoft power automate menghubungkan form dan excel online
Menggunakan microsoft excel online untuk mengecek package id yang diinput oleh security</t>
  </si>
  <si>
    <t>https://gdncomm.sharepoint.com/:x:/s/Operation/EfsgVNDyvB9GvFfNrtHoL1sBChClRJMEgwXWpjC-EMZPcQ?e=KQ6dcv
https://gdncomm.sharepoint.com/:x:/s/Operation/EYYDV4-9XPlKjm5_WZpBpT0B9XvLXLcjd10rtJiAAxQp4w?e=t9djYl</t>
  </si>
  <si>
    <t xml:space="preserve">WH Jabodetabek 2	</t>
  </si>
  <si>
    <t>Cikarang</t>
  </si>
  <si>
    <r>
      <rPr>
        <sz val="11"/>
        <color rgb="FF42526E"/>
        <rFont val="-Apple-System"/>
      </rPr>
      <t xml:space="preserve">Faisal Wibowo
</t>
    </r>
    <r>
      <rPr>
        <sz val="11"/>
        <color rgb="FF172B4D"/>
        <rFont val="-Apple-System"/>
      </rPr>
      <t xml:space="preserve">Syah Fauzi
Anisa Trisiana
</t>
    </r>
    <r>
      <rPr>
        <sz val="11"/>
        <color rgb="FF444444"/>
        <rFont val="-Apple-System"/>
      </rPr>
      <t>Zulhijjah Fadilah</t>
    </r>
  </si>
  <si>
    <t>Pengembangan Area QC Inbound</t>
  </si>
  <si>
    <t>Rawan terjadi kesalahan pengecekan karena barangnya tercecer
Area QC inbound terlihat tidak rapih dan berantakan
Posisi Checker saat QC tidak ergonomic karena lesehan
Barang fashion rawan kotor karena diletakan di lantai</t>
  </si>
  <si>
    <t>Menerapkan prinsip 5R pada ruangan QC inbound dengan menambahkan Meja, Kursi dan Kontainer/Keranjang
Siapkan container biru dan kuning, warna kuning untuk barang yang belum di QC dan Warna Biru untuk barang sudah selesai QC
Pengecekan Fashion harus di Meja QC inbound
pengecekan fashion per SKU menghindari salah checking</t>
  </si>
  <si>
    <t>https://gdncomm.sharepoint.com/:x:/s/Operation/EUlHDDUtxyBFg66dqNw82mcBGnsUClEMIVrvkR3M3WmmhA?e=TCeOtX</t>
  </si>
  <si>
    <t>Notes: Saving 40rb per pallet per bulan itu dapat data dari mana cikarang?</t>
  </si>
  <si>
    <t>WH Jabodetabek 3</t>
  </si>
  <si>
    <t>Hendra Sita Maulana
Subkhan Prianto
Faisal Wibowo</t>
  </si>
  <si>
    <t>Efisiensi Proses Fulfillment MAPAN</t>
  </si>
  <si>
    <t>- Lamanya waktu untuk picking dan fulfill order
- Jarak yang harus ditempuh dalam setiap proses
- proses picking manual
- Potensi Selisih stock efek dari proses picking manual
- Complaint rate order MAPAN tinggi</t>
  </si>
  <si>
    <t>- Pemindahan storage Produk MAPAN didalam satu zona
- Membuat zonasi khusus untuk area MAPAN
- Merubah hak akses untuk picker MAPAN</t>
  </si>
  <si>
    <t>https://gdncomm.sharepoint.com/:x:/s/Operation/EVOwE8_2QEdOoAts-w9RQtoBygBopnm0PnYYqSEN4IA4uA?e=uW9Ua5</t>
  </si>
  <si>
    <t>WH Jabodetabek 4</t>
  </si>
  <si>
    <t>Darmina, Budi Santoso, Andri, Tri Budiono Erfandi Asra</t>
  </si>
  <si>
    <t>Optimalisasi penyimpanan sepatu pada rack shelving</t>
  </si>
  <si>
    <t>Problem Statement
- Penyimpanan sepatu kurang efisien, masih banyak space yang kosong
- Pemborosan area Warehouse yang digunakan
- Peyimpanan di shelving masih sedikit
- Penyimpanan sepatu tersebar (F dan B)</t>
  </si>
  <si>
    <t>Goal Statement
- Optimalisasi penyimpanan SKU sepatu agar muat lebih banyak tanpa membuat storage terlalu penuh
- Efisiensi penggunaan area Warehouse sebanyak 20%
- Perapihan area storage sepatu agar menjadi satu area (B saja)
Improvement
- Perubahan penyusunan sepatu di rak shelving agar lebih optimal penyimpanannya
- Penghematan penggunaan rack shelving untuk penyimpanan sepatu
- Pengelompokan SKU sepatu dalam satu area saja (Zona B)
- Setting rules dalam penempatan sepatu agar penempatannya tidak asal-asalan</t>
  </si>
  <si>
    <t>https://gdncomm.sharepoint.com/:x:/s/Operation/ETavuu94Sp1Lp5P1pnP0LccBAMBP00EG2TyS1yJotZC3BQ?e=uOLUi0</t>
  </si>
  <si>
    <t>BES Yogyakarta</t>
  </si>
  <si>
    <t>Dian Dinta Herlambang, Anggito Arsyad</t>
  </si>
  <si>
    <t>PENGHEMATAN BIAYA PRINT KERTAS RUNSHEET MANUAL</t>
  </si>
  <si>
    <t xml:space="preserve">Penggunaan kertas untuk print runsheet manual rata rata sebesar RP 144.000 per bulan
</t>
  </si>
  <si>
    <t xml:space="preserve">Mentiadakan print kertas manual runsheet
Mengganti print kertas runsheet manual dengan mengirimkan runsheet ke chat whatapp masing-masing kurir dan driver dalam formst JPEG
</t>
  </si>
  <si>
    <t>https://gdncomm.sharepoint.com/:x:/s/Operation/EQiYUTPxKLVEo7jGRIt-MMYBmhcoutrUFKbEfzIS2qZCJg?e=ocqI3J</t>
  </si>
  <si>
    <r>
      <t>Iman Iskandar</t>
    </r>
    <r>
      <rPr>
        <sz val="11"/>
        <color rgb="FF172B4D"/>
        <rFont val="-Apple-System"/>
        <charset val="1"/>
      </rPr>
      <t> </t>
    </r>
    <r>
      <rPr>
        <sz val="11"/>
        <color rgb="FF42526E"/>
        <rFont val="-Apple-System"/>
        <charset val="1"/>
      </rPr>
      <t>Yossep Eriyanto</t>
    </r>
    <r>
      <rPr>
        <sz val="11"/>
        <color rgb="FF172B4D"/>
        <rFont val="-Apple-System"/>
        <charset val="1"/>
      </rPr>
      <t> @daniala.kenedy</t>
    </r>
  </si>
  <si>
    <t>2HD/Instan Improvement Handover</t>
  </si>
  <si>
    <t>Proses Handover atau Submit GIN mulai dari handover dashboard hingga GIN memerlukan waktu 8 – 15 detik
Flow Proses :
-Copy no Airwaiybill di handover Dashboard
-Paste di fitur Handover – Goods Issue Note
-Print – Hand Over</t>
  </si>
  <si>
    <t>Efisiensi proses submit shortcut GIN melalui "Klik" pada shortcut Dashboard
Proses submit GIN melalui dashboard memerlukan waktu lama dikarenakan proses copy paste no AWB untuk proses GIN
Menimbulkan antrian driver ojol lama
Membuat shortcut submit GIN dengan fungsional tinggal "klik" (tanpa copy paste no AWB)
Tidak menimbulkan antrian driver dikarenakan proses tinggal "klik" Dashboard dan tidak memerlukan waktu lama</t>
  </si>
  <si>
    <t>https://gdncomm.sharepoint.com/:x:/s/Operation/EVT9-NaE_zFGk47yjHfbe4gBKnLHsjD3XHDPYI7MxtRKRg?e=jqCzCh</t>
  </si>
  <si>
    <t>BES Berbek</t>
  </si>
  <si>
    <r>
      <t>Maman Hanafie</t>
    </r>
    <r>
      <rPr>
        <sz val="11"/>
        <color rgb="FF172B4D"/>
        <rFont val="-Apple-System"/>
        <charset val="1"/>
      </rPr>
      <t>, </t>
    </r>
    <r>
      <rPr>
        <sz val="11"/>
        <color rgb="FF42526E"/>
        <rFont val="-Apple-System"/>
        <charset val="1"/>
      </rPr>
      <t>Dony Setyawan</t>
    </r>
    <r>
      <rPr>
        <sz val="11"/>
        <color rgb="FF172B4D"/>
        <rFont val="-Apple-System"/>
        <charset val="1"/>
      </rPr>
      <t>, Joko Susilo, </t>
    </r>
    <r>
      <rPr>
        <sz val="11"/>
        <color rgb="FF323130"/>
        <rFont val="-Apple-System"/>
        <charset val="1"/>
      </rPr>
      <t>Aldia Wira Trispantia</t>
    </r>
  </si>
  <si>
    <t>EFISIENSI BIAYA TOL UNTUK ARMADA LINEHAUL EXTRA RUTE BMS-BERBEK</t>
  </si>
  <si>
    <t>Saat ini sudah tersedia 1 trip Linehaul Internal Trans Jawa rute BMS-Berbek (BMS-Tembalang PP dan Berbek Tembalang PP) dengan armada CDD Long
Saat event promo, shipment dari Jabo maupun Joglosemar tujuan Jatim meningkat, kapasitas armada Linehaul Internal tdk mencukupi
Diperlukan tambahan Armada Linehaul Extra dari BMS maupun Semarang Tembalang tujuan Berbek (Direct)
Ada Idle Time Process dimana sebenarnya tidak diperlukan percepatan perjalanan kedatangan armada (jam 17.00-06.00)
Ada potensi penghematan biaya Tol</t>
  </si>
  <si>
    <t>Linehaul Extra BMS-Jatim (Berbek)
Perjalanan Tol Parsial
Jam 17.00 s/d 06.00 barang Linehaul dari Non Jatim Idle Process, tidak diperlukan percepatan kedatangan pada rentang waktu tersebut
Ada Penghematan biaya Tol untuk rute Semarang-Gresik
Estimasi tiba di Berbek maksimal jam 06.00, barang dilakukan proses Inward, selanjutnya bisa langsung Delivery Schedule to Customer atau Linehaul Intra
Tidak ada Idle Time
Penambahan SLA Transporter sebanyak 4 Jam, menjadi 19-21 Jam
Perjalanan Tol Parsial
BMS-Semarang via Tol, Semarang-Gresik via Non Tol (jalur Pantura), Gresik-Berbek via Tol kembali
Berangkat dari BMS di interval jam 05.00 – 09.00 saja
Atau berangkat dari Tembalang di Interval jam 13.00 – 21.00 saja
Perjalanan tetap Full Tol
BMS – Kalikangkung – Warugunung - Berbek
Berangkat dari BMS diatas jam 09.00
Atau berangkat dari Tembalang diatas jam 21.00</t>
  </si>
  <si>
    <t>https://gdncomm.sharepoint.com/:x:/s/Operation/EW0oAtVXLCBBtegJkhbBeZQBegOJvEGHC958afIQjcLgGQ?e=7fWI5W</t>
  </si>
  <si>
    <t>BES East Java</t>
  </si>
  <si>
    <t>Seteven Chandra  dan tim</t>
  </si>
  <si>
    <t>Efisiensi Waktu Proses Picking TV Trade In dengan Metode Poka Yoke</t>
  </si>
  <si>
    <t>Waktu proses picking yang lama yaitu 1 menit 44 detik per unit TV
Proses picking yang lama karena tidak ada pembeda antar TV dalam 1 pallet sehingga harus melihat form hasil pemeriksaan barang yang ditempel di bagian layar TV satu per satu</t>
  </si>
  <si>
    <t>Membuat simbol pada setiap unit TV sebagai pembeda/penanda sehingga tidak harus melihat form satu per satu yang ditempel di bagian layar TV
Waktu proses picking dari 1 menit 44 detik menjadi 49 detik per unit TV
Jika rata-rata per bulan, TV Trade In di-picking sebanyak 135 unit (data Januari sampai Agustus 2022) maka, saving waktu 53 % lebih cepat dari sebelumnya yaitu 2 jam 4 menit 12 detik per bulan</t>
  </si>
  <si>
    <t>https://gdncomm.sharepoint.com/:x:/s/Operation/EVbOMkrcupBEosIbX6mM2FYByGYzAcelXo8jL1Ooxwx6BA?e=00BrDq</t>
  </si>
  <si>
    <t>WH Jabodetabek 2</t>
  </si>
  <si>
    <t>WH Kramat Jati</t>
  </si>
  <si>
    <t>Jaka Malela
Johan Wahyudi
Rismawati Nur Muharomah
Adi Surya Indra Kharisma</t>
  </si>
  <si>
    <t>Efisiensi Waktu Follow up driver ojol via aplikasi pihak ketiga </t>
  </si>
  <si>
    <t xml:space="preserve">Waktu yang dibutuhkan untuk menghubungi per driver Ojol 33.2 detik 
Proses untuk menghubungi driver ojol via  whatsapp lebih lama dikarenakan harus save kontak nomor telp driver terlebih dahulu. 	</t>
  </si>
  <si>
    <t xml:space="preserve">Efisiensi waktu untuk menghubungi driver ojol sebesar 41% atau 19.6 detik . 
Menginstall aplikasi pihak ketiga tambahan " Open Chat"  pada device Handphone agar operator tidak perlu save kontak nomor driver Ojol terlebih dahulu untuk menghubungi driver tersebut </t>
  </si>
  <si>
    <t>https://gdncomm.sharepoint.com/:x:/s/Operation/EWaA_uK06mROr6RdBtbcsMUBQ-QiuSgZDOuZwp1H58lH-g?e=2lnW8C</t>
  </si>
  <si>
    <t>Dark Store</t>
  </si>
  <si>
    <r>
      <t>Rismawati Nur Muharomah</t>
    </r>
    <r>
      <rPr>
        <sz val="11"/>
        <color rgb="FF172B4D"/>
        <rFont val="-Apple-System"/>
        <charset val="1"/>
      </rPr>
      <t> </t>
    </r>
    <r>
      <rPr>
        <sz val="11"/>
        <color rgb="FF42526E"/>
        <rFont val="-Apple-System"/>
        <charset val="1"/>
      </rPr>
      <t>Johan Wahyudi</t>
    </r>
    <r>
      <rPr>
        <sz val="11"/>
        <color rgb="FF172B4D"/>
        <rFont val="-Apple-System"/>
        <charset val="1"/>
      </rPr>
      <t> </t>
    </r>
    <r>
      <rPr>
        <sz val="11"/>
        <color rgb="FF42526E"/>
        <rFont val="-Apple-System"/>
        <charset val="1"/>
      </rPr>
      <t>Jaka Malela</t>
    </r>
    <r>
      <rPr>
        <sz val="11"/>
        <color rgb="FF172B4D"/>
        <rFont val="-Apple-System"/>
        <charset val="1"/>
      </rPr>
      <t> </t>
    </r>
    <r>
      <rPr>
        <sz val="11"/>
        <color rgb="FF42526E"/>
        <rFont val="-Apple-System"/>
        <charset val="1"/>
      </rPr>
      <t>Adi Surya Indra Kharisma</t>
    </r>
  </si>
  <si>
    <t>Efisiensi Waktu Proses Checking Inbound Transfer Warehouse</t>
  </si>
  <si>
    <t>1. Checking IR = 65 detik/SKU. 2. Assembly ke SKU Dark Store = 72 detik/SKU. 3. Transfer warehouse ke Distribusi =58 detik/SKU. Total waktu yang dibutuhkan = 195 detik/SKU atau 1 jam 1 menit 45 detik/IR number
- Dark Store menggunakan SKU khusus untuk setiap produk yang dijual, karena hanya melayani service Ojol.
- SKU yang inbound dari Stock Transfer harus diassembly ke SKU dark store sebelum di up ke distribusi.
Sehingga dibutuhkan 3x proses pengecekan barang inbound IR Transfer Warehouse</t>
  </si>
  <si>
    <t xml:space="preserve">Menghilangkan proses checking IR saat barang pertama kali selesai unloading dari mobil.
	Waktu yang dibutuhkan untuk checking menjadi = 130 detik/SKU atau 41 menit/IR Number. Lebih cepat 33.3% dari sebelumnya.
Dari data bulan Agustus, dalam 1 bulan, jumlah kedatangan IR sebanyak 73 IR Number. Maka total saving dalam 1 bulan = 20 menit x 73 = 1,460 menit atau 24 jam menit 20 menit.	</t>
  </si>
  <si>
    <t>https://gdncomm.sharepoint.com/:x:/s/Operation/Ee9rC2eVE7ZPp7XtqsDJ0YYBFw35ZXsISOs8KXlezUKClQ?e=drRa2V</t>
  </si>
  <si>
    <t>WH Jabodetabek 4 </t>
  </si>
  <si>
    <t>WH Ciikarang</t>
  </si>
  <si>
    <t>Erfandi Asra Darmina, Lisnawati, Indah Putri Tanjung, Afif Arbianto</t>
  </si>
  <si>
    <t>Optimalisasi Penyimpanan Karpet</t>
  </si>
  <si>
    <t>Problem Statement
- Penyimpanan karpet yang tidak efisien (Maksimal 28 Pcs dalam satu palet)
- Karpet tidak bisa di tumpuk tinggi
- Karpet mudah terjatuh dan tercecer
Analisa Sebab
- Karpet hanya bisa ditempatkan di racking posisi disebelah tembok karena panjangnya yang melebihi palet
- Karpet tidak bisa ditumupuk terlalu tinggi sehingga jumlah per palletnya hanya sekitar 28 pcs
- Karena bentuknya yang seperti tabung, tumpukan karpet mudah rubuh dan mudah berceceran
- Lokasi penyimpanan karpet jauh dari area picking</t>
  </si>
  <si>
    <t>Goal Statement
- Optimalisasi penyimpanan karpet agar lebih rapih dan muat lebih banyak
- Efisiensi penggunaan storage untuk penyimpanan palet
- Meminimalisir karpet tercecer di area storage</t>
  </si>
  <si>
    <t>https://gdncomm.sharepoint.com/:x:/s/Operation/EbXPAiHKCz5JkUpNMzl-FMwBLb015w_13vgb1_9XttAUgw?e=IDYS3O</t>
  </si>
  <si>
    <t>Semarang</t>
  </si>
  <si>
    <t>Erwan Bagus Saputro
Adytyas Sunjaya</t>
  </si>
  <si>
    <t>Pemanfaatan rak shelving paling atas untuk penyimpanan material packaging</t>
  </si>
  <si>
    <t>Material packaging diletakkan di pallet floor. Karena buffer stok cukup banyak sedangkan area penyimpanan pallet floor terbatas maka diperlukan tambahan area penyimpanan.
area penyimpanan material packaging kurang
buffer stok material packaging cukup banyak di gudang
karena jumlah pallet floor untuk material packaging sedikit maka tumpukan ditinggikan dan berisiko jatuh dan rusak</t>
  </si>
  <si>
    <t>-menentukan area shelving pada rak bagian atas yang tidak terpakai sebagai area penyimpanan material packaging
-menghitung kapasitas yang bisa digunakan berikut panjang, lebar dan tinggi maksimal
-mendaftar area storage material packaging
                                                                                                                                                                                                                                                               -memindahkan sebagian material packaging ke rak shelving</t>
  </si>
  <si>
    <t>https://gdncomm.sharepoint.com/:x:/s/Operation/EW8Zj9um2jNBrt-H24Z_f5QButOavx4B7oW3q526ElYOdg?e=Ag3kMH</t>
  </si>
  <si>
    <t>Aji Subo Anggono, Dewi Torina Setyowati, Muhammad Raihan, Piping Christiawan</t>
  </si>
  <si>
    <t>Real Time Transfer Storage</t>
  </si>
  <si>
    <t xml:space="preserve">1) Waktu dan step yang dibutuhkan terlalu lama (cek storage --&gt; create --&gt; print --&gt; pindahkan barang --&gt; input)
2) Penggunaan kertas yang terlalu banyak
3) Jika product yang sedang dalam proses Transfer Storage ter-reserved oleh order customer maka statusnya menjadi Storage Not Available (tidak dapat dilanjutkan picking)
</t>
  </si>
  <si>
    <t>1) Mempersingkat waktu dan proses yang dibutuhkan
2) Menghilangkan penggunaan kertas
3) Menghindarkan status Storage Not Available yang disebabkan oleh pending Transfer Storage, sehingga proses picking bisa lebih cepat
Implementation
1) Transfer Storage menggunakan handheld dengan membuka Stockholm web di Chrome handheld tersebut sehingga tidak perlu ke meja komputer
2) Tidak ada kertas yang digunakan dan tidak ada proses mencatat yang dilakukan</t>
  </si>
  <si>
    <t>https://gdncomm.sharepoint.com/:x:/s/Operation/EY6lPiqzGS1EgXsg2tjMaRABSqY-3o7Pjyg2LS3EaswUWw?e=fBCQLf</t>
  </si>
  <si>
    <t>BES SOLO</t>
  </si>
  <si>
    <t>Raimund Gunawandan BES SOLO</t>
  </si>
  <si>
    <t>PENGHEMATAN BIAYA PRINT KERTAS BAG DAN SURAT JALAN LINEHAUL JOGLOSEMAR</t>
  </si>
  <si>
    <t>Problem Statement : Penggunaan kertas untuk print BAG dan Surat Jalan rata rata sebesar RP 30.000 per bulan</t>
  </si>
  <si>
    <t>Mentiadakan print kertas bag dan surat jalan dengan mengirimkan surat jalan via Group Whatsapp
Mengirimkan  data bag dan surat jalan via Whatsapp</t>
  </si>
  <si>
    <t>https://gdncomm.sharepoint.com/:x:/s/Operation/EfjTwXz2AehHm7MhJZBCgCYBKEgKjL-UIvYTIRFsBC0REQ?e=y7QhuM</t>
  </si>
  <si>
    <t>Customer Management</t>
  </si>
  <si>
    <t>Budi Arianto
Rizki Ikhwan</t>
  </si>
  <si>
    <t>Efisiensi penggunaan Dispenser Panas &amp; Dingin</t>
  </si>
  <si>
    <t>Problem Statement:
- Efisiensi Dispenser pada setiap area kerja yang belum digunakan secara regular
- Sering terjadi kerusakan dispenser khususnya di bagian Fitur HOT dan COOL
- Tingginya tagihan listrik karena tombol HOT dan COOL beroprasi 24 jam</t>
  </si>
  <si>
    <t>- Melakukan penonaktifan tombol Hot &amp; Cool dibeberapa Dispenser
- Pengaktifan tombol Hot &amp; Cool hanya di beberapa Dispenser</t>
  </si>
  <si>
    <t>https://gdncomm.sharepoint.com/:x:/s/Operation/Ec97WTeKS4FMkWDC2D-g_QoBY6LIPdOR6V7icJWTeVnmcw?e=b6aMBl</t>
  </si>
  <si>
    <r>
      <t>Vina Vibrianti Kusuma</t>
    </r>
    <r>
      <rPr>
        <sz val="11"/>
        <color rgb="FF172B4D"/>
        <rFont val="-Apple-System"/>
        <charset val="1"/>
      </rPr>
      <t> </t>
    </r>
    <r>
      <rPr>
        <sz val="11"/>
        <color rgb="FF42526E"/>
        <rFont val="-Apple-System"/>
        <charset val="1"/>
      </rPr>
      <t>Novita Rahmawati</t>
    </r>
  </si>
  <si>
    <t>Efisiensi Waktu Pencarian Knowledge Article di Salesforce </t>
  </si>
  <si>
    <t>PROBLEM : 
- Pencarian artikel pada Confluence akan memperoleh banyak pilihan informasi
- Banyaknya hasil pencarian informasi sehingga cukup memakan waktu
- Apabila user belum mengetahui informasi secara pasti serta belum tahu tips &amp; trick pencarian maka user akan terus melakukan scroll materi
DATA BEFORE : 
-User lakukan login confluence
- User lakukan pencarian artikel menggunakan keyword tertentu
- User memperoleh hasil pencarian atas keyword yang digunakan
- Hasil pencarian menggunakan keyword umum akan banyak ditemukan sebab platform digunakan oleh seluruh GDN</t>
  </si>
  <si>
    <t>IMPROVEMENT &amp; IMPLEMENTATION
- Penggunaan platform Sales Force digunakan untuk pencarian materi/ artikel knowledge
- Hasil pencarian masih dapat dijangkau oleh user (tidak dihadapkan oleh ribuan artikel yang tampil)
- Cakupan hasil pencarian lebih simpel dikarenakan artikel yang terdapat pada sales force hanya informasi terkait knowledge CS
- Dengan penggunaan platform tersebut tentunya akan menghemat waktu</t>
  </si>
  <si>
    <t>https://gdncomm.sharepoint.com/:x:/s/Operation/EbVBc38cy5NFosufxl5TE4IBUbu2s5Bi5u9Szuwr_i4R-w?e=1djhh8</t>
  </si>
  <si>
    <t>Syah Fauzi
Faisal Wibowo</t>
  </si>
  <si>
    <t>Optimalisasi pengecekan IR</t>
  </si>
  <si>
    <t>Problem :
-Sulitnya mencari per IR
-Rawanya produk rusak
-Rawanya kesalahan pengecekan pada IR
-Penggunaan area staging cukup banyak
-Checker sulit saat proses pengecekan IR karena belum di grouping
-Membutuhkan waktu yang cukup lama untuk proses pengecekan dan QC</t>
  </si>
  <si>
    <t>-Melakukan groping IR di area loading dock saat bongkar
-Proses pengecekan setelah grouping IR</t>
  </si>
  <si>
    <t>https://gdncomm.sharepoint.com/:x:/s/Operation/EZrueiXCC05DpD9Jwv43IWYBzFtJKXeke8QF1TsY3zUygw?e=tphylO</t>
  </si>
  <si>
    <t>Strategic Talent Management Taskforce</t>
  </si>
  <si>
    <r>
      <t>Vinka Rosdianti
Athirah Fitrianthy
Demi Apriliani</t>
    </r>
    <r>
      <rPr>
        <sz val="11"/>
        <color rgb="FF172B4D"/>
        <rFont val="-Apple-System"/>
        <charset val="1"/>
      </rPr>
      <t xml:space="preserve">
@Yoserizal</t>
    </r>
  </si>
  <si>
    <t>Efisiensi 9 Box Model Talent Management</t>
  </si>
  <si>
    <t>Problem:
- Penentuan posisi angka pada 9 box dilakukan berdasarkan sumber di internet
- Penempatan hasil mapping agent pada tiap box mengikuti 9 box model di internet
- Memungkinkan terjadinya dispute, karena proses mapping belum sejalan dengan GDN
- Double checking saat promote agent ke GDN
Analisa sebab:
1. Tim butuh waktu untuk memvalidasi data agar selaras dengan standard GDN
2. Kurang terukurnya hasil scoring parameter dan evaluasi (karena berdasarkan panduan internet)</t>
  </si>
  <si>
    <t>- Menggunakan standard GDN yang pasti
- Mempermudah proses validasi dalam career path agent
- Tiap box sudah memiliki title sesuai dengan karakteristik GDN</t>
  </si>
  <si>
    <t>https://gdncomm.sharepoint.com/:x:/s/Operation/EXNCjh9am1NMtRHfheqqvQkBYppzrRy7Yg9DKGs2ln09aA?e=71CnrR</t>
  </si>
  <si>
    <t>WH Jabodetabek 5</t>
  </si>
  <si>
    <t>Hendra Sita
Melinda
Wildan Bashari</t>
  </si>
  <si>
    <t>Efisiensi Proses Fulfillment Produk launching</t>
  </si>
  <si>
    <t>- Lamanya waktu untuk picking dan fulfill order
- Jarak yang harus ditempuh dalam setiap proses
- Area Antrian Trolley Terbatas
- Potensi Selisih stock efek dari Terbatas nya Area
- Complaint rate order Saat Launching tinggi</t>
  </si>
  <si>
    <t>- Pemindahan storage Produk Launching lebih dekat dengan Area QC
- Membuat Area khusus untuk QC Packer Perbantuan
- Antrian Trolley lebih Luas</t>
  </si>
  <si>
    <t>https://gdncomm.sharepoint.com/:x:/s/Operation/Ee47lI0k2ltEvg4VnLoYQMYBzSytWGmVTQP0PYmERJ5s8w?e=RcbH49</t>
  </si>
  <si>
    <t>R Yudhawirawan
Vinka Rosdianti
Febrina Larasati
Muhammad Raharjo</t>
  </si>
  <si>
    <t>Dashboard Monthly OPM Performance</t>
  </si>
  <si>
    <t>Problem:
- Waktu yang dibutuhkan untuk mengolah data cenderung lama
- Data bisa dibutuhkan secara tiba-tiba sehingga sulit untuk fulfill karena pengerjaannya manual
- Sumber report berbeda-beda dan harus ditarik manual</t>
  </si>
  <si>
    <t xml:space="preserve">1. Proses yang ada sekarang sangat memakan waktu
2. Dengan excel, dibutuhkan waktu dan tenaga lebih untuk menyelesaikan data
3.  Bisa terjadi human error dalam mengolah data
Membuat dashboard monthly OPM Performance di Google Data Studio </t>
  </si>
  <si>
    <t>https://gdncomm.sharepoint.com/:x:/s/Operation/EQz5G2PPttdOkj-7PZnGf78BpJBmKdDRGHWKuf8yZNFxGw?e=ntYXdT</t>
  </si>
  <si>
    <t>WH Jabodetabek 7</t>
  </si>
  <si>
    <t>Daniel Usmany
Bambang Eko Rahardjo</t>
  </si>
  <si>
    <t>Perubahan Layout Packing &amp; Outbound untuk Efisiensi Waktu Proses Fulfillment</t>
  </si>
  <si>
    <t>Problem :
Proses weight capture tidak FIFO
Terlalu banyak pallet menumpuk dan menghambat mobilitas operator
Paket terlalu lama mengendap di packer</t>
  </si>
  <si>
    <t>https://gdncomm.sharepoint.com/:x:/s/Operation/EeVvuq4cBopPlwQn9K7k1mwBHAOggH9ZK7P5JJK-gkt8CQ?e=Cbyshf</t>
  </si>
  <si>
    <t>Maireni Maireni Made Datu
@daniel.usmani
Bambang Eko Rahardjo
Nisaul Aulia</t>
  </si>
  <si>
    <t>Penggunaan Karet Ban Elastis sebagai pengganti plastic Wrapped guna efisiensi cost dan Pengurangan Limbah/proses Kerja di Warehouse</t>
  </si>
  <si>
    <t>Problem :
- Cost WH untuk wrapping yang lumayan mahal, per Roll = Rp. 90.000 (Website Price)
- Plastik Wrapping menjadi sampah setelah digunakan karena tidak dapat di Refill
- Plastic Wrapping Mudah rusak saat digunakan sehingga butuh lebih banyak plastic yang digunakan dalam proses wrapping
- Proses wrapping membutuhkan tenaga extra karena mengandalkan tenaga manusia (Proses Wrapping dilakukan dengan mengelilingi pallet)
- ManPower WH sering pusing jika sudah selesai wrapping barang, kemungkinan akan terjadinya Human Error saat proses checking.</t>
  </si>
  <si>
    <t>Doing: 
Karet ban ini sangat mudah didapatkan dengan harga yang relatif murah apalagi dibeli dalam jumlah banyak, sehingga cost nya sangat turun sampai 30%
Karet Ban adalah salah satu alat yang bisa digunakan untuk pengganti wrapping, selain bisa di refill dengan bentuknya juga elastis serta sangat kuat (sudah di trial dilapangan), karet ban sangat mudah di aplikasikan di lapangan
MPP hanya mengaitkan dibeberapa sudut dan posisi barang di pallet sudah kuat
Saat trial sudah di coba kekuatannya dan sangat kuat/tidak roboh
Search harga yang lebih murah agar cost nya sangat turun dan sangat menarik jika menggunakan ban Karet</t>
  </si>
  <si>
    <t>https://gdncomm.sharepoint.com/:x:/s/Operation/ERhnnWHXyahNgx0YaUp67DMBF_GtAxSY32u6-MDVGTj-yA?e=m4g03p</t>
  </si>
  <si>
    <t>WHS bogor</t>
  </si>
  <si>
    <t>Rommy Putra Gazali
Ferdi Ferdi
Gilang Giffary</t>
  </si>
  <si>
    <t>Perubahan Layout storage material packaging menjadi storage Pick face</t>
  </si>
  <si>
    <t>Problem :
Proses picking menjadi lama dari sisi waktu 
Area pickface menjadi sedikit/kurang
Picker berjalan terlalu jauh
Analisa Sebab:
Area storage pickface yang dinilai kurang cukup
Mobilitas picker yang berjalan cukup jauh untuk ke storage/zona B
Lamanya proses picking yang dilakukan oleh picker dalam sekali proses pick</t>
  </si>
  <si>
    <t>- Pemindahan storage di zona B (storage BB) ke zona yang dahulu di gunakan untuk material packaging.Yang sekarang menjadi storage BA
- Membuat Area khusus yang sebelumnya storage product di zona dekat tembok belakang menjadi storage material packaging di whs non distribusi
- Storage pick face di zona BA sudah menjadi luas yaitu mempunyai 40 pallet storage area</t>
  </si>
  <si>
    <t>https://gdncomm.sharepoint.com/:x:/s/Operation/EaHEZK3IwJFMiHU-C2UsOWYBQc_2gL2MQAj9BNzUg0AjiA?e=HF4kve</t>
  </si>
  <si>
    <t>CS Inbound WTC</t>
  </si>
  <si>
    <r>
      <t>Hanifa Izmi</t>
    </r>
    <r>
      <rPr>
        <sz val="11"/>
        <color rgb="FF172B4D"/>
        <rFont val="-Apple-System"/>
        <charset val="1"/>
      </rPr>
      <t> </t>
    </r>
    <r>
      <rPr>
        <sz val="11"/>
        <color rgb="FF42526E"/>
        <rFont val="-Apple-System"/>
        <charset val="1"/>
      </rPr>
      <t>Angger Mahdani</t>
    </r>
    <r>
      <rPr>
        <sz val="11"/>
        <color rgb="FF172B4D"/>
        <rFont val="-Apple-System"/>
        <charset val="1"/>
      </rPr>
      <t> </t>
    </r>
    <r>
      <rPr>
        <sz val="11"/>
        <color rgb="FF42526E"/>
        <rFont val="-Apple-System"/>
        <charset val="1"/>
      </rPr>
      <t>Rahayu Stianingsih</t>
    </r>
    <r>
      <rPr>
        <sz val="11"/>
        <color rgb="FF172B4D"/>
        <rFont val="-Apple-System"/>
        <charset val="1"/>
      </rPr>
      <t> </t>
    </r>
    <r>
      <rPr>
        <sz val="11"/>
        <color rgb="FF42526E"/>
        <rFont val="-Apple-System"/>
        <charset val="1"/>
      </rPr>
      <t>Nurlela Nurlela</t>
    </r>
  </si>
  <si>
    <t>Effisiensi FCR dari Payment Aging, Menggantung, dan Terdebet 2x GKS</t>
  </si>
  <si>
    <t>Problem
- Data eskalasi untuk case Payment aging, status Menggantung, dan Terdebet 2x GKS YTD 31 Juli 2022 734 cases, atau 4 cases perhari
- Resolution time yang dibutuhkan adalah sebesar 36 jam dengan persentase SLA achievement sebesar 83.38%
- 96% customer complaint &amp; dieskalasi (4 case/day) pada saat status M dan X
Analisa sebab:
1. CS inbound tidak memiliki empowerment untuk quick kill case complaint pembayaran customer
2. Proses eskalasi yang cukup kompleks karena harus menunggu update dari tim RM pada hari kerja</t>
  </si>
  <si>
    <t>-Memuat flow proses case pembayaran aging dan menggantung GKS
-CS bisa cek mandiri menggunakan dashboard khusus payment GKS untuk memastikan pembayaran fund in atau tidak
-Sosialisasi ke CS inbound all site</t>
  </si>
  <si>
    <t>https://gdncomm.sharepoint.com/:x:/s/Operation/EbJqX96nddlDvTBELH2qDngBuxbYlaKldYgBKrd-E_b12A?e=bPbzG4</t>
  </si>
  <si>
    <t>Task Force Project &amp; Service Development</t>
  </si>
  <si>
    <t>Novita Rahmawati
Stephanus Andiputra
Riska Hamidah
Dani H. Saputra
Agnes Putri</t>
  </si>
  <si>
    <t>Empowerment Cancel Add On Insurance</t>
  </si>
  <si>
    <t>Problem
- Ada beberapa add on insurance yang automatis ter-apply pada saat customer melakukan check out sehingga akhirnya customer meminta agar add on nya dibatalkan dan dananya di refund
- Untuk membatalkan add on insurance, CS harus melakukan eskalasi ke team TP agar team TP dapat melakukan pembatalan melalui Insurance Center
- Proses pembatalan hanya dapat dilakukan jika beberapa kondisi terpenuhi</t>
  </si>
  <si>
    <t>- Melakukan diskusi dengan PM mengenai empowerment yang dapat diberikan ke CS
- Memberikan panduan ke CS untuk proses pembatalan add on insurance : https://bliblicom.lightning.force.com/lightning/articles/Knowledge/NEW-Case-Handling-Request-Cancel-Recreate-Order-dengan-Add-On</t>
  </si>
  <si>
    <t>https://gdncomm.sharepoint.com/:x:/s/Operation/EdhlH4aT4I9NobYctxCHmzgBtG0OKsgw9HtWLAsqMyNhmg?e=gdyVW5</t>
  </si>
  <si>
    <t>Express</t>
  </si>
  <si>
    <r>
      <t>Eka Sriningsih</t>
    </r>
    <r>
      <rPr>
        <sz val="11"/>
        <color rgb="FF172B4D"/>
        <rFont val="-Apple-System"/>
        <charset val="1"/>
      </rPr>
      <t> </t>
    </r>
    <r>
      <rPr>
        <sz val="11"/>
        <color rgb="FF42526E"/>
        <rFont val="-Apple-System"/>
        <charset val="1"/>
      </rPr>
      <t>Anjar Wulandari</t>
    </r>
    <r>
      <rPr>
        <sz val="11"/>
        <color rgb="FF172B4D"/>
        <rFont val="-Apple-System"/>
        <charset val="1"/>
      </rPr>
      <t> </t>
    </r>
    <r>
      <rPr>
        <sz val="11"/>
        <color rgb="FF42526E"/>
        <rFont val="-Apple-System"/>
        <charset val="1"/>
      </rPr>
      <t>Luthfi Kurnia</t>
    </r>
    <r>
      <rPr>
        <sz val="11"/>
        <color rgb="FF172B4D"/>
        <rFont val="-Apple-System"/>
        <charset val="1"/>
      </rPr>
      <t> </t>
    </r>
    <r>
      <rPr>
        <sz val="11"/>
        <color rgb="FF42526E"/>
        <rFont val="-Apple-System"/>
        <charset val="1"/>
      </rPr>
      <t>Lia Nainggolan</t>
    </r>
  </si>
  <si>
    <t>Efficiency distribution cases cmAdmin</t>
  </si>
  <si>
    <t>Tarik cases setiap hari dan dilakukan sehari 2x
Pembagian cases dilakukan melalui excel
Olah data pending cases kemarin vs cases baru, jika new cases baru dibagikan manual ke cmadmin
Pembagian di share by email dan grup teams
Manual copy paste dari excel ke CM satu per satu</t>
  </si>
  <si>
    <t>Mengurangi waktu copy paste dari excel ke CM
Mengurangi olah data by excel
Efisiensi waktu distribusi 50%
Improvement:
Pembagian cases dilakukan by label dan admin bisa cek berdasarkan query
Tidak perlu olah data dan lookup karena pembagian cases berdasarkan label</t>
  </si>
  <si>
    <t>https://gdncomm.sharepoint.com/:x:/s/Operation/EQ3pSueDMIRLkZTwywGHCfMB7mx7dc1vaAAsjsbGwtAcYg?e=Ex7pjR</t>
  </si>
  <si>
    <t> JD Dwicahyo Wardhana</t>
  </si>
  <si>
    <t>Michael Jonathan</t>
  </si>
  <si>
    <t>Jesslyn</t>
  </si>
  <si>
    <t>Carbon Saving / month (kgCO2e)</t>
  </si>
  <si>
    <t>Carbon Saving per 30 Jun</t>
  </si>
  <si>
    <t>Carbon Saving / year</t>
  </si>
  <si>
    <t>Materiality Topic Carbon Saving</t>
  </si>
  <si>
    <t>Source Carbon Saving</t>
  </si>
  <si>
    <t>UoM</t>
  </si>
  <si>
    <t>Kwh / month</t>
  </si>
  <si>
    <t>CS Inbound BSD</t>
  </si>
  <si>
    <t xml:space="preserve">	
Tresna Indahswari
Sumidayana Sumidayana
@lailya.shahara
Aries Risnandi</t>
  </si>
  <si>
    <t xml:space="preserve"> Efisiensi Proses Collecting Data Score Card Agent Inbound BLITS</t>
  </si>
  <si>
    <t>PROBLEM
- Banyak tahapan yang di lakukan untuk cek nilai score card
- Proses comparing data dilakukan secara manual
- Data yang di download berulang sehingga memakan banyak ruang penyimpanan
- Output ke Agent hanya berupa nilai dan angka
ANALISA SEBAB
1. Proses collecting data yang membutuhkan step terlalu banyak
2. Proses collecting data score card per TL membutuhkan waktu rata-rata 411 Sec atau setara 6 menit 9 detik
3. Proses compare data yang masih manual sehingga membutuhkan banyak waktu
4. Penggunaan ruang penyimpanan sebesar 750 KB/file/download</t>
  </si>
  <si>
    <t>Penggunaan Dasboard KPI untuk collecting score card Agent yang dapat menampilkan seluruh nilai dan grafik untuk proses compare data Score Card.
Menyediakan katalog berisi materi refreshment yang dapat dibaca terlebih dahulu dan link pre-test yang dapat dikerjakan peserta sebelum sesi training in class
Melakukan pengurangan waktu training in class dengan mengubah flow (menjadi review materi, study case, dan post-test)</t>
  </si>
  <si>
    <t>https://gdncomm.sharepoint.com/:x:/s/Operation/ET7DFFbJgJRLjuDyAL-y2aEBuz5_HS-uU9_QntYVE3T-EQ?e=nqM1bt</t>
  </si>
  <si>
    <t>Electricity</t>
  </si>
  <si>
    <t>Time</t>
  </si>
  <si>
    <t>h</t>
  </si>
  <si>
    <t>Seteven Chandra dan tim</t>
  </si>
  <si>
    <t xml:space="preserve">	Efisiensi Penggunaan Listrik di Storage Gudang Return Lantai 5</t>
  </si>
  <si>
    <t>Penggunaan listrik di Gudang Return Lantai 5 rata-rata selama 13 jam/hari
Adanya penggunaan listrik yang tidak diperlukan/belum tepat guna selama 13 jam/hari tersebut</t>
  </si>
  <si>
    <t>Penggunaan listrik sesuai kebutuhan dengan cara mematikan perangkat listrik tersebut jika tidak digunakan, baik lampu di area storage/toilet, kipas, Standing AC, dan Air Curtain</t>
  </si>
  <si>
    <t>https://gdncomm.sharepoint.com/:x:/s/Operation/EeMScdmLQb1ErekHJHcsV1ABdZjHxi3QXkNxO3y8eydZVQ?e=R3a6bD</t>
  </si>
  <si>
    <t>kWh</t>
  </si>
  <si>
    <t xml:space="preserve">	Pallet Storage Divider</t>
  </si>
  <si>
    <t>1. Saat putaway sulit menempatkan posisi product di palet agar tidak tercampur
2. Picker dan counter kesulitan menjangkau saat picking
3. Picker dan counter membutuhkan waktu mencari product yang akan dipicking di dalam satu pallet</t>
  </si>
  <si>
    <t>Penggunaan keranjang ukuran 63 cm x 44 cm x 39 cm yang bisa ditumpuk ke atas untuk menjadi bin storage di satu pallet, mempercepat proses picking, putaway, dan daily SO (total 95 jam/bulan)</t>
  </si>
  <si>
    <t>https://gdncomm.sharepoint.com/:x:/s/Operation/EWzNRFQgxkNHgZpPu2xorxABqg0yQOhLc51CMumDBMulgQ?e=Wbo5iQ</t>
  </si>
  <si>
    <t>TF HE</t>
  </si>
  <si>
    <t>Muh Fajri</t>
  </si>
  <si>
    <t>Automasi Distribusi Bucket XO</t>
  </si>
  <si>
    <t>Distribusi bucket oleh tim XO sebanyak 12x/hari, dilakukan manual (pnearikan, pengolahan, pendistribusian)</t>
  </si>
  <si>
    <t>Automasi proses penarikan, pengolahan, dan pendistribusian dengan RPA, menghemat waktu 840 detik/case.</t>
  </si>
  <si>
    <t>https://gdncomm.sharepoint.com/:x:/s/Operation/EUXuuYoc0ClMt_uZVezBM-YBhHHBKFOJrDzANAlI6F1OVQ?e=q0NfJU</t>
  </si>
  <si>
    <t>hour</t>
  </si>
  <si>
    <t>Josephine Helbert, Ryan Wirjan</t>
  </si>
  <si>
    <t>Automate Email Airwaybill Send to Merchant to Seller's Email</t>
  </si>
  <si>
    <t>1. Proses blast email list AWB untuk pengiriman produk retur dari warehouse retur ke merchant masih ada yang manual (copy data yang dibutuhkan dan update database apabila sudah diblast via Thunderbird), total waktu yang dibutuhkan 2,100 detik/hari (1x blast/hari, asumsi 100 AWB/hari).
2. Proses blast email dilakukan 2x/minggu, tetap ada kemungkinan seller menanyakan mengenai AWB dan proses pengiriman ke seller</t>
  </si>
  <si>
    <t>1. Power Automate untuk mengirimkan email ke seller dengan sumber data langsung dari database online yang diupdate setiap harinya. Waktu proses menjadi 600 detik/hari.
2. Pengiriman email dilakukan setiap hari sehingga informasi lebih real-time.</t>
  </si>
  <si>
    <t>https://gdncomm.sharepoint.com/:x:/s/Operation/EQBJODLy0ARChlmgXGhTRioBpp_wALkYqvUv5LELsHJ4tg?e=pi0p3m</t>
  </si>
  <si>
    <t>Susanti A. Marpaung
Firsty Kartika
Helda Andriani
Lia Nainggolan</t>
  </si>
  <si>
    <t>Automate update report status 3PL non API</t>
  </si>
  <si>
    <t>Pengerjaan report logistik masih dilakukan manual untuk mendonwload dan menggabungkan beberapa file excel, report tidak sesuai format, dan pengerjaan oleh lebih dari 1 orang.</t>
  </si>
  <si>
    <t>Macro via Power Automate untuk pembuatan report, standardisasi report format yang dikirim 3PL, pengerjaan oleh 1 orang, proses lebih cepat 204 detik/hari.</t>
  </si>
  <si>
    <t>https://gdncomm.sharepoint.com/:x:/s/Operation/ETYyoD5MGHFOlFBG4Hz3Bq8BRYEPwfJIagNEIplzNgPD1Q?e=xqcDNi</t>
  </si>
  <si>
    <t>Return </t>
  </si>
  <si>
    <r>
      <t>Delfina Sutanjie</t>
    </r>
    <r>
      <rPr>
        <sz val="11"/>
        <color rgb="FF172B4D"/>
        <rFont val="-Apple-System"/>
        <charset val="1"/>
      </rPr>
      <t> </t>
    </r>
    <r>
      <rPr>
        <sz val="11"/>
        <color rgb="FF42526E"/>
        <rFont val="-Apple-System"/>
        <charset val="1"/>
      </rPr>
      <t>Yesica Prayogi</t>
    </r>
    <r>
      <rPr>
        <sz val="11"/>
        <color rgb="FF172B4D"/>
        <rFont val="-Apple-System"/>
        <charset val="1"/>
      </rPr>
      <t> </t>
    </r>
    <r>
      <rPr>
        <sz val="11"/>
        <color rgb="FF42526E"/>
        <rFont val="-Apple-System"/>
        <charset val="1"/>
      </rPr>
      <t>Steven Liauw</t>
    </r>
    <r>
      <rPr>
        <sz val="11"/>
        <color rgb="FF172B4D"/>
        <rFont val="-Apple-System"/>
        <charset val="1"/>
      </rPr>
      <t> </t>
    </r>
    <r>
      <rPr>
        <sz val="11"/>
        <color rgb="FF42526E"/>
        <rFont val="-Apple-System"/>
        <charset val="1"/>
      </rPr>
      <t>Yunika Nurmalia</t>
    </r>
  </si>
  <si>
    <t>Cost Efficiency - Adjustment mapping Insurance on time guarantee</t>
  </si>
  <si>
    <t>1. Reduce insurance cost for insurance ontime guarantee
2. Terdapat order yang diasuransikan namun tidak possible diproses claim sesuai dengan TnC ontime guarantee.</t>
  </si>
  <si>
    <t>1. Take out data order with shipping cost paid by customer &lt;=0
2. Declaration insurance ontime guarantee only of shipping cost paid by customer &gt; 0
3. Adjustment logic mapping in streamlit</t>
  </si>
  <si>
    <t>https://gdncomm.sharepoint.com/:x:/s/Operation/EZTovgdyPG9PuEnBDMDA3b8BmMIxDTfvq7hP_EthOILoMQ?e=HBkqqo</t>
  </si>
  <si>
    <r>
      <t>Gilang Giffary</t>
    </r>
    <r>
      <rPr>
        <sz val="11"/>
        <color rgb="FF172B4D"/>
        <rFont val="-Apple-System"/>
        <charset val="1"/>
      </rPr>
      <t> </t>
    </r>
    <r>
      <rPr>
        <sz val="11"/>
        <color rgb="FF42526E"/>
        <rFont val="-Apple-System"/>
        <charset val="1"/>
      </rPr>
      <t>Ferdi Ferdi</t>
    </r>
    <r>
      <rPr>
        <sz val="11"/>
        <color rgb="FF172B4D"/>
        <rFont val="-Apple-System"/>
        <charset val="1"/>
      </rPr>
      <t> </t>
    </r>
    <r>
      <rPr>
        <sz val="11"/>
        <color rgb="FF42526E"/>
        <rFont val="-Apple-System"/>
        <charset val="1"/>
      </rPr>
      <t>Rommy Putra Gazali</t>
    </r>
    <r>
      <rPr>
        <sz val="11"/>
        <color rgb="FF172B4D"/>
        <rFont val="-Apple-System"/>
        <charset val="1"/>
      </rPr>
      <t> </t>
    </r>
    <r>
      <rPr>
        <sz val="11"/>
        <color rgb="FF42526E"/>
        <rFont val="-Apple-System"/>
        <charset val="1"/>
      </rPr>
      <t>Galih Rizki</t>
    </r>
  </si>
  <si>
    <t>Relokasi Posisi Storage Bin</t>
  </si>
  <si>
    <t>-Picker agak sulit dan lama mencari barang;
- Perlu naik turun tangga lebih dari 1x;
-Level atas rackng shelving bukan storage bin (banyak storage) tapi storage shelving (1 storage)</t>
  </si>
  <si>
    <t>- Level paling atas pada rack shelving menggunakan storage bin;</t>
  </si>
  <si>
    <t xml:space="preserve">
WH Non Jabodetabek </t>
  </si>
  <si>
    <t>Edi Purwanto, Andika Cahyadi, Oktobilli Perangin Angin, Muhammad Sofri</t>
  </si>
  <si>
    <t>Efisiensi Penggunaan Material Packaging Dengan Menggunakan Box/Kemasan Bawaan Pabrik</t>
  </si>
  <si>
    <t>Banyak nya orderan piece yang diproses Warehouse Medan. Banyak nya kardus bekas yang belum dijual dikarenakan rendahnya harga jual kardus bekas.
Banyaknya order dengan quantity piece dan beragam produk khususnya order blimitra. Banyaknya kardus bekas yang belum dijual dikarenakan rendahnya harga jual kardus bekas</t>
  </si>
  <si>
    <t>Memanfaatkan kembali kardus &amp; kemasan bekas bawaan pabrik untuk digunakan sebagai material packaging order</t>
  </si>
  <si>
    <t>WH medan</t>
  </si>
  <si>
    <t xml:space="preserve">	WH Kramat Jati</t>
  </si>
  <si>
    <t>Adi Surya Indra Kharisma
Johan Wahyudi
Rismawati Nur Muharomah
Jaka Malela</t>
  </si>
  <si>
    <t>Efesiensi kertas serah terima dokumen Ojol dengan kertas A6</t>
  </si>
  <si>
    <t xml:space="preserve">Banyaknya penggunaan kertas A5 sebagai bukti serath terima ojol , yaitu rata-rata per hari sebanyak 3.418 lembar all warehouse . 
Analisa sebab:
Banyaknya space kosong saat proses pencetakan bukti HO ojol 
kertas yang digunakan untuk serah terima ojol cukup besar sehingga cukup menyita storage penyimpanan bukti HO tersebut </t>
  </si>
  <si>
    <t xml:space="preserve">Menggunakan kertas A6 untuk bukti serah terima paket ojol 
Membuat tutorial  untuk konfigurasi  dan sosialisaskan ke all warehouse untuk diterapkan. </t>
  </si>
  <si>
    <t>Paper</t>
  </si>
  <si>
    <t>pcs</t>
  </si>
  <si>
    <t>WH kramat jati</t>
  </si>
  <si>
    <r>
      <t>Arifah Manishati</t>
    </r>
    <r>
      <rPr>
        <sz val="11"/>
        <color rgb="FF172B4D"/>
        <rFont val="-Apple-System"/>
        <charset val="1"/>
      </rPr>
      <t> </t>
    </r>
    <r>
      <rPr>
        <sz val="11"/>
        <color rgb="FF42526E"/>
        <rFont val="-Apple-System"/>
        <charset val="1"/>
      </rPr>
      <t>Iwan Santoso</t>
    </r>
    <r>
      <rPr>
        <sz val="11"/>
        <color rgb="FF172B4D"/>
        <rFont val="-Apple-System"/>
        <charset val="1"/>
      </rPr>
      <t> </t>
    </r>
    <r>
      <rPr>
        <sz val="11"/>
        <color rgb="FF42526E"/>
        <rFont val="-Apple-System"/>
        <charset val="1"/>
      </rPr>
      <t>Intan Lestari</t>
    </r>
    <r>
      <rPr>
        <sz val="11"/>
        <color rgb="FF172B4D"/>
        <rFont val="-Apple-System"/>
        <charset val="1"/>
      </rPr>
      <t> </t>
    </r>
    <r>
      <rPr>
        <sz val="11"/>
        <color rgb="FF42526E"/>
        <rFont val="-Apple-System"/>
        <charset val="1"/>
      </rPr>
      <t>Nuka Shelly</t>
    </r>
  </si>
  <si>
    <t>Reduce MPP PD &amp; New Process PD Hybrid</t>
  </si>
  <si>
    <t>Problem: 
Butuh waktu lama dan beberapa tahap proses eskalasi setiap case
Rendahnya jumlah tiket PD yang masuk pada range waktu waktu 23.00 malam - 06.00 Pagi, yaitu sebanyak 60 tiket/shift dibanding dengan shift lainnya yang memiliki jumlah rata-rata tiket sebanyak 168 tiket/shift</t>
  </si>
  <si>
    <t>Mengurangi proses untuk eskalasi pertanyaan seputar PD dengan eskalasi langsung ke stakeholder atau seller oleh tim PD
Mengurangi jadwal shifting pada jam 13:30 - 07:00</t>
  </si>
  <si>
    <t>Sub S - Sidoarjo</t>
  </si>
  <si>
    <t>Erick.dwicahya@gdn-commerce.com, Yossep Eriyanto Iman Iskandar</t>
  </si>
  <si>
    <t>Hand Pallet Timbang</t>
  </si>
  <si>
    <t>Proses Checking Metode Sampling Membutuhkan Waktu yang Cukup Lama
Akurasi perhitungan quantity barang inbound dengan metode timbang Perlu rendah dan proses kecepatan untuk proses akurasi perhitungan quantity cukup lama</t>
  </si>
  <si>
    <t xml:space="preserve">Proses Timbang Sebagai Referensi Metode Sampling jauh Lebih Cepat
Tingkat Akurasi perhitungan Quantity product Inbound Jauh Lebih tinggi dan kecepatan untuk proses akurasi checking lebih cepat
Menggunakan Hand Pallet Timbang </t>
  </si>
  <si>
    <t>https://gdncomm.sharepoint.com/:x:/s/Operation/ESMDtAspdy5CreSXFNq4ApABkbtGK50JFBAiJaqk3CO3oQ?e=blHILk</t>
  </si>
  <si>
    <t>Satya Putra</t>
  </si>
  <si>
    <t>Diactive LH Batununggal-Bandung</t>
  </si>
  <si>
    <t>Volume muatan barang untuk Hub Bandung yang di linehaul dari Hub Batununggal kurang maximal.
Jarak KM kedua hub tidak terlalu jauh.
Cost BBM &amp; Armada Linehaul (L300).</t>
  </si>
  <si>
    <t>Reduce Cost BBM linehaul lokal Bandung</t>
  </si>
  <si>
    <t>BES West Java</t>
  </si>
  <si>
    <t>Karanganyar</t>
  </si>
  <si>
    <t>Deny, Tedi, Lidia</t>
  </si>
  <si>
    <t>Efisiensi tempat untuk SKU Mapan - Karpet</t>
  </si>
  <si>
    <t>SKU Karpet mempunyai dimensi lebih dari 1 palet, sehingga memerlukan 2 palet atau 1 palet tp menutup sebagian jalan untuk picking.</t>
  </si>
  <si>
    <t>Dimensi karpet melebihi dimensi palet terutama dari panjangnya.</t>
  </si>
  <si>
    <t xml:space="preserve">
Return </t>
  </si>
  <si>
    <t>Return Management - Claim</t>
  </si>
  <si>
    <r>
      <t>Yunika Nurmalia</t>
    </r>
    <r>
      <rPr>
        <sz val="11"/>
        <color rgb="FF172B4D"/>
        <rFont val="-Apple-System"/>
        <charset val="1"/>
      </rPr>
      <t> </t>
    </r>
    <r>
      <rPr>
        <sz val="11"/>
        <color rgb="FF42526E"/>
        <rFont val="-Apple-System"/>
        <charset val="1"/>
      </rPr>
      <t>Delfina Sutanjie</t>
    </r>
    <r>
      <rPr>
        <sz val="11"/>
        <color rgb="FF172B4D"/>
        <rFont val="-Apple-System"/>
        <charset val="1"/>
      </rPr>
      <t> </t>
    </r>
    <r>
      <rPr>
        <sz val="11"/>
        <color rgb="FF42526E"/>
        <rFont val="-Apple-System"/>
        <charset val="1"/>
      </rPr>
      <t>Yesica Prayogi</t>
    </r>
    <r>
      <rPr>
        <sz val="11"/>
        <color rgb="FF172B4D"/>
        <rFont val="-Apple-System"/>
        <charset val="1"/>
      </rPr>
      <t> </t>
    </r>
    <r>
      <rPr>
        <sz val="11"/>
        <color rgb="FF42526E"/>
        <rFont val="-Apple-System"/>
        <charset val="1"/>
      </rPr>
      <t>Steven Liauw</t>
    </r>
    <r>
      <rPr>
        <sz val="11"/>
        <color rgb="FF172B4D"/>
        <rFont val="-Apple-System"/>
        <charset val="1"/>
      </rPr>
      <t> Lia Arniati, Nova Yanty</t>
    </r>
  </si>
  <si>
    <t>Efficiency insurance cost - Exclude possibility double insurance cost shipment IR Transfer with logistic BES</t>
  </si>
  <si>
    <t xml:space="preserve">Problem:
Possibility double insurance for shipment IR transfer with logistic BES.
Data Before:
1. Process declaration IR shipment based on Recap DPIM and this shipment insured based on IR number.
Example data manual from DPIM
2. All shipments from BES offline are insured based on AWB number, for IR Shipment the IR number will be listed on the product name in bulk.
Based on source data DPIM and BES, the data cannot definitively identify duplicate shipment and any possibility double insurance. </t>
  </si>
  <si>
    <t xml:space="preserve"> Collaborate with DPIM to add AWB number BES in recap data shipment IR transfer.
• Based on data AWB in recap DPIM and recap BES, PIC claim will cross check and eliminate any duplicate data</t>
  </si>
  <si>
    <t>https://gdncomm.sharepoint.com/:x:/s/Operation/EdEfxX9eUBBJuiKHpamgAuEB06QZmsMeDNpdohUs9kDvQQ?e=v6p0GE</t>
  </si>
  <si>
    <t xml:space="preserve">	Express</t>
  </si>
  <si>
    <t>Express delivery</t>
  </si>
  <si>
    <t>Riswan,Nova dan Tinu</t>
  </si>
  <si>
    <t>Efisensi pengerjaan status DF  dan RTS Belum solusi dengan MACRO</t>
  </si>
  <si>
    <t>Process before :
1. Pengambilan data dari Multiple file excel
2. Menulis header yang berulang
3. Melakukan proses filter yang berulang
4. Waktu loading yang lama
Proses pengerjaan DF yang lama dan sering terjadi human error</t>
  </si>
  <si>
    <t>Mengunakan macro untuk proses pengerjaan pending DF</t>
  </si>
  <si>
    <t>Josephine Helbert
Ryan Wirjan
Gerardo Laudus
Levanna Levanna</t>
  </si>
  <si>
    <t>Send to Merchant and Customer Scheduling Automation</t>
  </si>
  <si>
    <t>Pemilihan logistik dan penjadwalan untuk pengiriman produk retur dari warehouse retur ke customer dan seller dilakukan manual (35 menit/hari)</t>
  </si>
  <si>
    <t>Macro, Power Automate Cloud, dan RPA untuk proses penjadwalan.</t>
  </si>
  <si>
    <t>https://gdncomm.sharepoint.com/:x:/s/Operation/Ebt8WKnXh3JKgop-RJXW5WUB6oREeK25_o9DUxe56bAomA?e=RvRqa3</t>
  </si>
  <si>
    <t xml:space="preserve">	BES Non-Jabodetabek</t>
  </si>
  <si>
    <t>BES Non-Jabo</t>
  </si>
  <si>
    <t>Dony Setyawan Raimund Gunawan Satya Putra Maman Hanafie &amp; Joko Susilo</t>
  </si>
  <si>
    <t>Efisiensi biaya transfer bank untuk setoran COD</t>
  </si>
  <si>
    <t>Operator BES Hub Berbek melakukan setoran 3 Slip COD/Hari
   ( Slip Transfer COD Hub Berbek, Hub Sidoarjo Krian &amp; Hub Malang )
Biaya transfer yang cukup tinggi Rp 5.000,-/Transaksi atau sebesar 15.000,-/Hari
Penulisan 3 slip setoran yang cukup memakan waktu setiap harinya.</t>
  </si>
  <si>
    <t>Penghematan biaya transfer
Mengurangi waktu penulisan Slip Transferan dari 3 slip menjadi 1 Slip</t>
  </si>
  <si>
    <t>https://gdncomm.sharepoint.com/:x:/s/Operation/EUM3aCWIcqtBoo6xzdbzzRwB3CA00lNg4x34aViKuensew?e=wGdMD7</t>
  </si>
  <si>
    <t>Vionita Salim dan team</t>
  </si>
  <si>
    <t>Efisiensi Close Subtask Return Product to Warehouse</t>
  </si>
  <si>
    <t>Waktu close subtask Return Product to Warehouse di CM masih manual. Total waktu dibutuhkan: 48s x 80 case/hari = 3,840s/hari</t>
  </si>
  <si>
    <t>Melakukan bulk close subtask dengan Excel Query, sehingga menghemat waktu 62.8 menit/hari (80 case/hari)</t>
  </si>
  <si>
    <t>https://gdncomm.sharepoint.com/:x:/s/Operation/EbtmrAv-1iFCn7VsKJDVxSgB0BwUm8hPV8zP4t6U8MYm2A?e=yRR9Cj</t>
  </si>
  <si>
    <t>Return Management team 3</t>
  </si>
  <si>
    <r>
      <t>Nucke Aurelia</t>
    </r>
    <r>
      <rPr>
        <sz val="11"/>
        <color rgb="FF172B4D"/>
        <rFont val="-Apple-System"/>
        <charset val="1"/>
      </rPr>
      <t> </t>
    </r>
    <r>
      <rPr>
        <sz val="11"/>
        <color rgb="FF42526E"/>
        <rFont val="-Apple-System"/>
        <charset val="1"/>
      </rPr>
      <t>Vionita Salim</t>
    </r>
    <r>
      <rPr>
        <sz val="11"/>
        <color rgb="FF172B4D"/>
        <rFont val="-Apple-System"/>
        <charset val="1"/>
      </rPr>
      <t>dan team 3 return management</t>
    </r>
  </si>
  <si>
    <t>Efisiensi Compile Data BAC Claim Partial</t>
  </si>
  <si>
    <t>Waktu mengumpulkan data untuk BAC Claim Partial masih manual</t>
  </si>
  <si>
    <t>Membuat GDS untuk compile data</t>
  </si>
  <si>
    <t>https://gdncomm.sharepoint.com/:x:/s/Operation/EU8CvGZBGiBFstA3FvjJKpgB-jbqfHaUZLckket_AgndXA?e=fEnJiC</t>
  </si>
  <si>
    <t>Athirah Fitrianthy Winda Surya Nawang Wulan Fauzan Hisbulloh</t>
  </si>
  <si>
    <t>Efisiensi Flow Refreshment</t>
  </si>
  <si>
    <t>Problem:
Durasi training in class lama (&gt;2 jam) menyulitkan WFM dalam menjadwalkan training in class (terbentur dengan traffic)
Tidak ada perbedaan dari segi metode pengajaran untuk peserta training yang sudah menguasai knowledge dan yang belum
Periode training refreshment yang lebih panjang mengakibatkan penumpukan request refreshment modul yang lainnya
Agent tidak memiliki keinginan untuk self learning</t>
  </si>
  <si>
    <t>Mengurangi waktu training refreshment in class dengan mengubah flow dan metode ajar
Meningkatkan self learning dari sisi peserta training</t>
  </si>
  <si>
    <t>https://gdncomm.sharepoint.com/:x:/s/Operation/EZkYcpOUNUBGndLLqJKFKzEB78JatSEiV-XhhGRfEEOtUg?e=yhJ7Eo</t>
  </si>
  <si>
    <t>Inventory &amp; Asset Recovery x BPT</t>
  </si>
  <si>
    <r>
      <t>Gerardo Laudus</t>
    </r>
    <r>
      <rPr>
        <sz val="11"/>
        <color rgb="FF172B4D"/>
        <rFont val="-Apple-System"/>
        <charset val="1"/>
      </rPr>
      <t> ,</t>
    </r>
    <r>
      <rPr>
        <sz val="11"/>
        <color rgb="FF42526E"/>
        <rFont val="-Apple-System"/>
        <charset val="1"/>
      </rPr>
      <t>Vionita Salim</t>
    </r>
    <r>
      <rPr>
        <sz val="11"/>
        <color rgb="FF172B4D"/>
        <rFont val="-Apple-System"/>
        <charset val="1"/>
      </rPr>
      <t>,Levanna (intern), and team</t>
    </r>
  </si>
  <si>
    <t>Efisiensi input data supplier claim</t>
  </si>
  <si>
    <t>Proses input data di database supplier claim masih manual</t>
  </si>
  <si>
    <t>Copy Paste data yang akan diinput</t>
  </si>
  <si>
    <t>https://gdncomm.sharepoint.com/:x:/s/Operation/EbmvQa5psnRNiLoHmTtxZwABMmbOw6ysNSbd9vFxG4t1Zw?e=klSM63</t>
  </si>
  <si>
    <r>
      <t>Adytyas Sunjaya</t>
    </r>
    <r>
      <rPr>
        <sz val="11"/>
        <color rgb="FF172B4D"/>
        <rFont val="-Apple-System"/>
        <charset val="1"/>
      </rPr>
      <t>, @erwan, </t>
    </r>
    <r>
      <rPr>
        <sz val="11"/>
        <color rgb="FF42526E"/>
        <rFont val="-Apple-System"/>
        <charset val="1"/>
      </rPr>
      <t>Raimund Gunawan</t>
    </r>
  </si>
  <si>
    <t>Efisiensi pemakaian Air PDAM Warehouse &amp; BES Semarang Tembalang dengan pembatasan frekuensi pencucian armada BES &amp; Linehaul </t>
  </si>
  <si>
    <t>Pencucian armada BES baik linehaul &amp; dropping dilakukan hampir setiap hari 
Selain untuk kebutuhan cuci tangan dan keperluan toilet, Volume penggunaan air untuk pencucian armada sebanding dengan lamanya waktu pemakaian</t>
  </si>
  <si>
    <t>Driver Armada BES dilakukan rolling sehingga tanggung jawab pembersihan dan pencucian armada dilakukan setiap hari oleh driver selesai melakukan aktivitas pengiriman
Pencucian armada dilakukan setiap hari walaupun secara kondisi sebetulnya armada masih cukup bersih</t>
  </si>
  <si>
    <t>(33.93*Carbon saving per m3)</t>
  </si>
  <si>
    <t>Water</t>
  </si>
  <si>
    <t>m3</t>
  </si>
  <si>
    <t xml:space="preserve">	WH Jabodetabek 2</t>
  </si>
  <si>
    <t xml:space="preserve">	
Galih Rizki Gilang Giffary Ferdi Ferdi Rommy Putra Gazali</t>
  </si>
  <si>
    <t>Efisiensi Pemakaian Kertas di surat jalan dan TIN Project/TS</t>
  </si>
  <si>
    <t>1 Pemakaian A5 yang terlalu tinggi sehingga cost untuk pembelian juga tinggi
'2. masih terdapat banyak space kosong pada kertas A5 yang menimbulkan pemborosan
'3. penggunaan Tinta yang tinggi</t>
  </si>
  <si>
    <t>- Mengubah penggunaan Kertas dari A5 menjadi A6 sehingga menghemat penggunaan kertas dan biaya</t>
  </si>
  <si>
    <t>https://gdncomm.sharepoint.com/:x:/s/Operation/EZ0aHTQ1BBNBmWQsLE8eq6EBbxKjt26RnGinmbxciBw2Aw?e=nSrrbH</t>
  </si>
  <si>
    <t>Galih Rizki, Gilang Giffary</t>
  </si>
  <si>
    <t>Efisiensi Pemakaian Shipping label TS Dengan menambahkan tampilan Barcode pada Package list</t>
  </si>
  <si>
    <t>1. Tingginya penggunaan shipping label untuk TS (2x print: package list dan shipping label), butuh cost dan waktu untuk menempelkan
2. Masih terdapat banyak ruang kosong pada package list
3. Avg created TS out/day dari 6 WH Jabodetabek = 1205, avg sipping label/day = 2412 shipping label
4. Waktu copy paste package ID = 6 detik/label</t>
  </si>
  <si>
    <t>1. Menggabungkan package list dan shipping label (menu shipping label dimasukkan ke ruang kosong dalam package list)
2. Avg shipping label/day menjadi 1205
3. Waktu copy paste package ID = 2 detik/label</t>
  </si>
  <si>
    <t>https://gdncomm.sharepoint.com/:x:/s/Operation/ERGtb05UCPhEu_auqBlpursBBeE_Dktfjw8QAGsu1jdUhg?e=WJCpRx</t>
  </si>
  <si>
    <t>Label</t>
  </si>
  <si>
    <t>Rekonsiliasi</t>
  </si>
  <si>
    <t xml:space="preserve">Aisya Ratih Amelia Arifin @maria.tiffany Intan P </t>
  </si>
  <si>
    <t>Efisiensi Pembuatan Approval Pembayaran Invoice GDPa Menggunakan Macro</t>
  </si>
  <si>
    <t>Membutuhkan waktu yang lama untuk pembuatan approval pembayaran invoice GDPa
Membutuhkan waktu yang lama untuk pembuatan approval pembayaran invoice GDPa: 1. Proses manual untuk pemisahan amount sesuai order date pada approval, 2. Proses manual untuk pembuatan tabel list approval pembayaran invoice</t>
  </si>
  <si>
    <t>Mengurangi waktu pembuatan approval secara manual dengan menggunakan macro</t>
  </si>
  <si>
    <t xml:space="preserve">
https://gdncomm.sharepoint.com/:x:/s/Operation/EdhryrsTKVdDqEtQ0bKJn0YBEqY2nIUxWn2EbS1QyVtE9A?e=szda1Z</t>
  </si>
  <si>
    <t xml:space="preserve">Return </t>
  </si>
  <si>
    <t>Inventory &amp; Asset Recovery</t>
  </si>
  <si>
    <t xml:space="preserve">Vionita Salim, Lenfa (intern), and team </t>
  </si>
  <si>
    <t>Efisiensi Pembuatan Surat Jalan</t>
  </si>
  <si>
    <t>Proses pembuatan surat jalan masih manual</t>
  </si>
  <si>
    <t>Melakukan automate di beberapa proses</t>
  </si>
  <si>
    <t>https://gdncomm.sharepoint.com/:x:/s/Operation/EacMs1bAWBVDh_UP3YiRw-cBZQKAcaP5_kUQudO2gpBvqA?e=nMecuA</t>
  </si>
  <si>
    <t>Experience Solution</t>
  </si>
  <si>
    <t>Mega Sintia Yusuf Igih Fauzi Fadillah Suci Amalia Nathania Dea Dika Novelia Anggreiny Widya</t>
  </si>
  <si>
    <t>Efisiensi Pemilihan Group Assignee (ENERGY)</t>
  </si>
  <si>
    <t>Problem Statement:
Waktu pemilihan group assignee dilakukan secara manual
Membutuhkan waktu yang lebih panjang ketika pembuatan laporan
Potensi salah group assignee
Data:
Terdapat 31 sub-category yang memerlukan pemilihan group assignee dalam pembuatan laporan oleh agent inbound
Dari data Jan-Des 2022, terdapat 47,121 escalated case atau 129 escalated case/hari (jumlah case dari seluruh 31 sub-category) yang memerlukan pemilihan group assignee
Selama periode 12-25 desember 2022 terdapat 11 findings human error karena salah pemilihan group assignee
Pemilihan group assignee memerlukan waktu pengerjaan selama 126s</t>
  </si>
  <si>
    <t>Menghilangkan proses pemilihan group assignee untuk 31 sub-category tersebut dengan merubah group assignee ke CS.Internal secara otomatis
Kita dapat menghemat banyak sekali waktu dari pemotongan proses pembuatan query filter baru danpenggunaan macro tersebut</t>
  </si>
  <si>
    <t>https://gdncomm.sharepoint.com/:x:/s/Operation/EWd7IsrK4T1ChnvTJibuRTEBvhp4f0s3YAJYdXXxnOtIKA?e=em9EEA</t>
  </si>
  <si>
    <t>Syah Fauzi
Erfandi Asra
Faisal Wibowo</t>
  </si>
  <si>
    <t>Efisiensi Pengecekan Sepatu</t>
  </si>
  <si>
    <t>Proses wrapping sepatu dilakukan dengan membawa sepatu ke area meja wrapping lalu dibawa kembai ke area staging, sehingga proses wrapping menjadi lama dan rawan kesalahan pengecekan sepatu. Waktu yang dibutuhkan 1 menit/pcs.</t>
  </si>
  <si>
    <t>Menggunakan alat wrapping portable untuk mempercepat proses menjadi 0.5 menit/pcs, mengurangi aktivitas checker, produk lebih rapih dan berkurangnya salah tempel label</t>
  </si>
  <si>
    <t>https://gdncomm.sharepoint.com/:x:/s/Operation/ESXhuyjRDjdHmDPdH03_kdoBu3cmOTeal8BP40xHkhnXbg?e=KFvfvQ</t>
  </si>
  <si>
    <t>Zahra Addini
Nucke Aurelia
Vionita Salim</t>
  </si>
  <si>
    <t>Efisiensi Pengecekkan Lokasi Rak Produk TD</t>
  </si>
  <si>
    <t>Pengecekkan lokasi rak produk TD masih manual satu persatu, membutuhkan 2600 detik/hari (avg 60 case/hari)</t>
  </si>
  <si>
    <t>Membuat GDS untuk penarikkan data sekaligus, waktu menjadi 145 detik/hari</t>
  </si>
  <si>
    <t>https://gdncomm.sharepoint.com/:x:/s/Operation/ETw993Z0_fpFrkX8B_7na4UB0euTbM5TfXPr0Vc1jRqUsA?e=IZviFo</t>
  </si>
  <si>
    <t>Return Management </t>
  </si>
  <si>
    <t>Return &amp; Dispute (QA)</t>
  </si>
  <si>
    <t>Annissa Meuthia Kasih Daulay Theresia Wibowo Arie Chandra Nucke Aurelia</t>
  </si>
  <si>
    <t>Efisiensi penggunaan GDS untuk verifikasi IMEI produk (Integrated IMEI)</t>
  </si>
  <si>
    <t>Membutuhkan waktu yang cukup lama untuk mendapatkan informasi terkait apakah IMEI produk yang datang terdaftar pada stockholm sehingga proses pengambilan solusi oleh team Return &amp; Dispute menjadi tidak efisien</t>
  </si>
  <si>
    <t>Membuat data GDS untuk database IMEI yang tersedia pada stockholm sehingga seluruh staff Return Management dapat melihat dan mengecek IMEI produk aktual yang datang apakah terdaftar atau tidak pada stockholm</t>
  </si>
  <si>
    <t>https://gdncomm.sharepoint.com/:x:/s/Operation/Ef7t3uybeTFBrZu4fRu143YBmGu9c6pMUP1JF_DZVHkFOQ?e=edXeQC</t>
  </si>
  <si>
    <t>Rommy Putra Gazali Enggi prayoga</t>
  </si>
  <si>
    <t>Efisiensi Penggunaan Hand Stretch Wrapper untuk Proses Wrapping Pallet pada Saat Sebelum Putaway Storage Racking</t>
  </si>
  <si>
    <t>Proses wrapping untuk product di pallet yang siap di-putaway ke racking setelah GRN dinilai memakan waktu (1.7 jam/hari) dan dapat melukai tangan dari karyawan warehouse.</t>
  </si>
  <si>
    <t>Wrapping menggunakan Hand Stretch Wrapper, menghemat waktu dan cost sebesar 49%/hari (menjadi 0.8 jam/hari), pengerjaan lebih mudah dan aman.</t>
  </si>
  <si>
    <t>https://gdncomm.sharepoint.com/:x:/s/Operation/EXCvVhE4Af5Jhzl-r8mbtRMBAMXETPX9C3qCBv3j54O4yQ?e=oj3gkt</t>
  </si>
  <si>
    <t>Rommy Putra Gazali
Enggi Prayoga</t>
  </si>
  <si>
    <t>Efisiensi Penggunaan Hand Wrapping pada Proses Wrapping untuk Barang-Barang yang Berdimensi dan Berat Besar</t>
  </si>
  <si>
    <t>Proses wrapping untuk packing product yang berdimensi besar atau berat dinilai cukup lama (rata-rata 0.01 jam/pcs) dan dapat melukai tangan dari karyawan warehouse.</t>
  </si>
  <si>
    <t>Wrapping menggunakan Hand Stretch Wrapper, menghemat waktu dan cost sebesar 56%/hari, pengerjaan lebih mudah dan aman.</t>
  </si>
  <si>
    <t>https://gdncomm.sharepoint.com/:x:/s/Operation/EQ1VMhqHS4xEsUgerqpKrUsBEEDY2bBOgnQMH130WcKbyg?e=eY2JWu</t>
  </si>
  <si>
    <t>TWICE Buzzer</t>
  </si>
  <si>
    <t>Rizal Sujana Deni Widendra Ellisa Kristiana Riska Hamidah</t>
  </si>
  <si>
    <t>Efisiensi Penggunaan Lampu dan Workstation saat Shift Malam</t>
  </si>
  <si>
    <t>Kurang efisiennya penggunaan area kerja di jam 8 malam ke atas sehingga tagihan listrik tinggi. Total 50 Lampu LED (14.5 w) yang terpasang pada area workstation setelah jam 8 malam, khususnya di lantai 5. Ada 2 lantai yang dijadikan area kerja.</t>
  </si>
  <si>
    <t xml:space="preserve">Melakukan penyesuain area workstation di jam 8 malam ke atas menjadi di satu lantai saja di lantai 3A (Lantai 5 off)
</t>
  </si>
  <si>
    <t>https://gdncomm.sharepoint.com/:x:/s/Operation/Eej7JxGRt3NKm_vMivvVUygBiAWBUcT-WPhZ8wDEs3oy9A?e=hDrz14</t>
  </si>
  <si>
    <t>Indra Wahyu Febrina Larasati Swandini Syahrin Deni Apriyadi</t>
  </si>
  <si>
    <t>Efisiensi Penggunaan Lampu Work Station Site WTC</t>
  </si>
  <si>
    <t>Problem:
Penggunaan listrik khususnya lampu pada setiap area kerja belum merata.
Work sheet agent yang tidak teratur
Tingginya tagihan listrik
Tagihan listrik dari penggunaan lampu yang tinggi
Tidak semua row yang lampunya menyala dipakai oleh Agent.</t>
  </si>
  <si>
    <t>Membuat Schedule Mapping sesuai shift Agent untuk meminimalisir penggunaan lampu dan televisi
Membuat schedule control lampu dengan security</t>
  </si>
  <si>
    <t>https://gdncomm.sharepoint.com/:x:/s/Operation/EfP2DLla9elAqfytk73T80kBZ3b0b6vC89EQ76WawNvwCQ?e=PBY4mO</t>
  </si>
  <si>
    <t>Anggita anggita, Istichanah Istichanah, Athirah Fitrianthy</t>
  </si>
  <si>
    <t>Efisiensi Penggunaan NCT Agent</t>
  </si>
  <si>
    <t>1. Pemberian materi training yang kurang merata ke all unit
2. Periode training refreshment yang membutuhkan waktu lama mengakibatkan penumpukan request refreshment modul yang lainnya
3. Schedule agent yang shifting menyulitkan proses penjadwalan in class training
4. Agent tidak memiliki inisiatif belajar mandiri
5. Waktu training yang dibutuhkan 1.17 jam</t>
  </si>
  <si>
    <t>1. Menyediakan catalogue digital berisi materi training (NCT) beserta post quiz dan dilengkapi materi soft skill
2. Memberikan point XP Adves untuk meningkatkan peserta NCT
3. Memastikan penyebaran informasi dengan mengingatkan user agar semua member teamnya mengerjakan NCT
4. Waktu pengerjaan NCT lebih singkat dibandingkan in class training (menjadi 0.92 jam).
5. NCT dapat berjalan bersama dengan in-class training, team WFM lebih mudah menjadwalkan agent, serta penyebaran informasi lebih cepat dan merata.</t>
  </si>
  <si>
    <t>https://gdncomm.sharepoint.com/:x:/s/Operation/EVizoveXRghAgJIRPGGfJvsB6gdNHtrwUVflfHehsT7R6Q?e=ybFHPT</t>
  </si>
  <si>
    <t xml:space="preserve">	WH jabodetabek</t>
  </si>
  <si>
    <t>WH bogor</t>
  </si>
  <si>
    <r>
      <t>Galih Rizki</t>
    </r>
    <r>
      <rPr>
        <sz val="11"/>
        <color rgb="FF172B4D"/>
        <rFont val="-Apple-System"/>
        <charset val="1"/>
      </rPr>
      <t> </t>
    </r>
    <r>
      <rPr>
        <sz val="11"/>
        <color rgb="FF42526E"/>
        <rFont val="-Apple-System"/>
        <charset val="1"/>
      </rPr>
      <t>Gilang Giffary</t>
    </r>
    <r>
      <rPr>
        <sz val="11"/>
        <color rgb="FF172B4D"/>
        <rFont val="-Apple-System"/>
        <charset val="1"/>
      </rPr>
      <t> </t>
    </r>
    <r>
      <rPr>
        <sz val="11"/>
        <color rgb="FF42526E"/>
        <rFont val="-Apple-System"/>
        <charset val="1"/>
      </rPr>
      <t>Ferdi Ferdi</t>
    </r>
    <r>
      <rPr>
        <sz val="11"/>
        <color rgb="FF172B4D"/>
        <rFont val="-Apple-System"/>
        <charset val="1"/>
      </rPr>
      <t> </t>
    </r>
    <r>
      <rPr>
        <sz val="11"/>
        <color rgb="FF42526E"/>
        <rFont val="-Apple-System"/>
        <charset val="1"/>
      </rPr>
      <t>Rommy Putra Gazali</t>
    </r>
  </si>
  <si>
    <t>Efisiensi Penggunaan Shipping Label Pada proses Consolidation</t>
  </si>
  <si>
    <t>1. Pemakaian Shipping label yang terlalu tinggi sehingga cost untuk pembelian juga tinggi
'2. Untuk Shipping label tidak di tempel, melainkan hanya diletakan didalam nestcontainer untuk penanda</t>
  </si>
  <si>
    <t>- Mengubah penggunaan Shipping label TS menjadi A6 sehingga menghemat penggunaan shipping label dan biaya</t>
  </si>
  <si>
    <t>https://gdncomm.sharepoint.com/:x:/s/Operation/EX3QyCKPsPpPgBFcytJGR9sBAeUI-DXORwmsICBqUP1tBw?e=x4weiV</t>
  </si>
  <si>
    <r>
      <t>Budi Arianto</t>
    </r>
    <r>
      <rPr>
        <sz val="11"/>
        <color rgb="FF172B4D"/>
        <rFont val="-Apple-System"/>
        <charset val="1"/>
      </rPr>
      <t> </t>
    </r>
    <r>
      <rPr>
        <sz val="11"/>
        <color rgb="FF42526E"/>
        <rFont val="-Apple-System"/>
        <charset val="1"/>
      </rPr>
      <t>Syifa Fulki</t>
    </r>
    <r>
      <rPr>
        <sz val="11"/>
        <color rgb="FF172B4D"/>
        <rFont val="-Apple-System"/>
        <charset val="1"/>
      </rPr>
      <t> </t>
    </r>
    <r>
      <rPr>
        <sz val="11"/>
        <color rgb="FF42526E"/>
        <rFont val="-Apple-System"/>
        <charset val="1"/>
      </rPr>
      <t>Moehammad Fahrezi</t>
    </r>
    <r>
      <rPr>
        <sz val="11"/>
        <color rgb="FF172B4D"/>
        <rFont val="-Apple-System"/>
        <charset val="1"/>
      </rPr>
      <t> </t>
    </r>
    <r>
      <rPr>
        <sz val="11"/>
        <color rgb="FF42526E"/>
        <rFont val="-Apple-System"/>
        <charset val="1"/>
      </rPr>
      <t>Remon Tobing</t>
    </r>
    <r>
      <rPr>
        <sz val="11"/>
        <color rgb="FF172B4D"/>
        <rFont val="-Apple-System"/>
        <charset val="1"/>
      </rPr>
      <t> </t>
    </r>
    <r>
      <rPr>
        <sz val="11"/>
        <color rgb="FF42526E"/>
        <rFont val="-Apple-System"/>
        <charset val="1"/>
      </rPr>
      <t>Try Shidiq</t>
    </r>
    <r>
      <rPr>
        <sz val="11"/>
        <color rgb="FF172B4D"/>
        <rFont val="-Apple-System"/>
        <charset val="1"/>
      </rPr>
      <t> </t>
    </r>
    <r>
      <rPr>
        <sz val="11"/>
        <color rgb="FF42526E"/>
        <rFont val="-Apple-System"/>
        <charset val="1"/>
      </rPr>
      <t>Siti Mahwa</t>
    </r>
  </si>
  <si>
    <t>Efisiensi Proses Eskalasi Perubahan Data Rekening pada SIPLah</t>
  </si>
  <si>
    <t>Problem: Penyelesaian case perubahan data rekening SIPLah membutuhkan waktu yang lama</t>
  </si>
  <si>
    <t>Memberikan empowerment sistem SIPLah Mitra di Hybrid Seller Care</t>
  </si>
  <si>
    <t>https://gdncomm.sharepoint.com/:x:/s/Operation/EZuV2Kv12KxNnbsk7Rv-MLQBvuRKOzWG4BeYgxA9d_swNg?e=E0xXF3</t>
  </si>
  <si>
    <t>Project and Service Development</t>
  </si>
  <si>
    <r>
      <t>Novita Rahmawati</t>
    </r>
    <r>
      <rPr>
        <sz val="11"/>
        <color rgb="FF172B4D"/>
        <rFont val="-Apple-System"/>
        <charset val="1"/>
      </rPr>
      <t> </t>
    </r>
    <r>
      <rPr>
        <sz val="11"/>
        <color rgb="FF42526E"/>
        <rFont val="-Apple-System"/>
        <charset val="1"/>
      </rPr>
      <t>Hanifa Izmi</t>
    </r>
    <r>
      <rPr>
        <sz val="11"/>
        <color rgb="FF172B4D"/>
        <rFont val="-Apple-System"/>
        <charset val="1"/>
      </rPr>
      <t> </t>
    </r>
    <r>
      <rPr>
        <sz val="11"/>
        <color rgb="FF42526E"/>
        <rFont val="-Apple-System"/>
        <charset val="1"/>
      </rPr>
      <t>Ardiansyah Ramadhan</t>
    </r>
    <r>
      <rPr>
        <sz val="11"/>
        <color rgb="FF172B4D"/>
        <rFont val="-Apple-System"/>
        <charset val="1"/>
      </rPr>
      <t> </t>
    </r>
    <r>
      <rPr>
        <sz val="11"/>
        <color rgb="FF42526E"/>
        <rFont val="-Apple-System"/>
        <charset val="1"/>
      </rPr>
      <t>Dani H. Saputra</t>
    </r>
    <r>
      <rPr>
        <sz val="11"/>
        <color rgb="FF172B4D"/>
        <rFont val="-Apple-System"/>
        <charset val="1"/>
      </rPr>
      <t> </t>
    </r>
    <r>
      <rPr>
        <sz val="11"/>
        <color rgb="FF42526E"/>
        <rFont val="-Apple-System"/>
        <charset val="1"/>
      </rPr>
      <t>Hernawan Hernawan</t>
    </r>
    <r>
      <rPr>
        <sz val="11"/>
        <color rgb="FF172B4D"/>
        <rFont val="-Apple-System"/>
        <charset val="1"/>
      </rPr>
      <t> </t>
    </r>
    <r>
      <rPr>
        <sz val="11"/>
        <color rgb="FF42526E"/>
        <rFont val="-Apple-System"/>
        <charset val="1"/>
      </rPr>
      <t>Rendra Rahmana</t>
    </r>
  </si>
  <si>
    <t>Efisiensi Proses Eskalasi untuk Complaint terkait Promo Cashback </t>
  </si>
  <si>
    <t>Problem:
Customer belum menerima cashback blipay hingga lebih dari 2 hari kalender.
Proses eskalasi yang dilakukan CS second layer kurang efisien dikarenakan hanya menginput data customer diexcel online</t>
  </si>
  <si>
    <t>Membuat flow FCR cashback blipay
Kordinasi dengan team opm untuk koordinasi empowermen selanjutnya akan dipegang CS
CS memberikan jaminan dalam waktu 7hk cashbacknya akan masuk ke Blipay</t>
  </si>
  <si>
    <t>https://gdncomm.sharepoint.com/:x:/s/Operation/Ebv-bohcC4FBl_n7b7KwvKMBwyjuvXvTGBaPlA8s7ukVUA?e=GWFGfb</t>
  </si>
  <si>
    <t>Inbound Unit WTC</t>
  </si>
  <si>
    <t>Hanifa Izmi Ellisa Kristiana Elvin Sastra Aida LenaRahayu Stianingsih Tsalis Duha</t>
  </si>
  <si>
    <t>Efisiensi Proses Eskalasi untuk Kendala Pembayaran SIPLah</t>
  </si>
  <si>
    <t>Problem: Pihak sekolah saat melakukan pembayaran mengalami kendala VA tidak muncul dan invalid, namun proses penyelesaian case yang diperlukan cukup lama.
Data Before Improvement:
Data eskalasi untuk case kendala setelah pembayaran Agustus - Oktober 2022 adalah 612 cases atau 204 cases/bulan
Resolution time yang dibutuhkan adalah sebesar 60 jam dengan persentase SLA achievement sebesar 80%</t>
  </si>
  <si>
    <t>Membuat flow Kendala pembayaran SIPLah
Kordinasi dengan team B2G Siplah untuk penarikan query case kendala saat pembayaran untuk di Follow-up
CS memberikan jaminan dalam waktu 2hk akan kembali valid dan muncul VAnya
Sosialisasi ke all site customer care
Rata-rata dapat mengurangi 151 cases/month yang dieskalasi menjadi Quick Kill</t>
  </si>
  <si>
    <t>https://gdncomm.sharepoint.com/:x:/s/Operation/EdL8Tl2csE1Pj-TW7ibfE2kB5PHXmvBBZwFHoN7gDS53mg?e=ooQrMh</t>
  </si>
  <si>
    <t xml:space="preserve">	Lottar Matheus, Ayu Fitri, Setya Pramesti, Vita Fepriatiningtyas</t>
  </si>
  <si>
    <t>Efisiensi Proses Handling Case Request Terkait Customer Status DF</t>
  </si>
  <si>
    <t>Pembuatan CM, input feedback, nomor CM untuk penanganan kasus DF request dari Tim Express masih manual oleh Agent CS melalui Excel Online.</t>
  </si>
  <si>
    <t>Penanganan dengan menarik by Query, komen, dan update status di CM yang sudah dibuat bulk oleh WFM (melalui Las Vegas), proses lebih cepat 120 detik/case dan mengurangi potensi kesalahan input feedback dari customer.</t>
  </si>
  <si>
    <t>https://gdncomm.sharepoint.com/:x:/s/Operation/EbnoGi5j88JCt7BddZdRm74B2P51hURN5-S9a14m4O8agQ?e=ShiyL4</t>
  </si>
  <si>
    <r>
      <t>Galih Rizki</t>
    </r>
    <r>
      <rPr>
        <sz val="11"/>
        <color rgb="FF172B4D"/>
        <rFont val="-Apple-System"/>
        <charset val="1"/>
      </rPr>
      <t> </t>
    </r>
    <r>
      <rPr>
        <sz val="11"/>
        <color rgb="FF42526E"/>
        <rFont val="-Apple-System"/>
        <charset val="1"/>
      </rPr>
      <t>Rommy Putra Gazali</t>
    </r>
    <r>
      <rPr>
        <sz val="11"/>
        <color rgb="FF172B4D"/>
        <rFont val="-Apple-System"/>
        <charset val="1"/>
      </rPr>
      <t> @dita.lestari</t>
    </r>
  </si>
  <si>
    <t>Efisiensi Proses inbound dengan papan kalender dan form kedatangan suplier (barcode scan )</t>
  </si>
  <si>
    <t>1. tim inbound tidak mengetahui aktual jam kedatangan suplier
2. pihak suplier tidak mengetahui jam booking sehingga terjadi miss antar wh dan suplier
3. terjadinya proses yang berulang jika suplier tidak mengetahui jam booking / inbound tidak mngetahui kedatangan suplier
4. form barcode kertas tidak efektif karena terlalu lama dan membuat cost kertas tinggi</t>
  </si>
  <si>
    <t>1. membuat papan informasi inbound kalender
'2. membuat form kedatangan suplier (bentuk barcode)</t>
  </si>
  <si>
    <t>https://gdncomm.sharepoint.com/:x:/s/Operation/EZuw0-MMIIZGmqcAXxiS0EUBgi366H_9RFq8Py7zK_xTCg?e=KCB0YX</t>
  </si>
  <si>
    <t>Return Management Team 3</t>
  </si>
  <si>
    <t>Hardian Ruben Tobing Annissa Meuthia Kasih Daulay Theresia Wibowo</t>
  </si>
  <si>
    <t>Efisiensi Proses Monitoring Kasus Retur</t>
  </si>
  <si>
    <t xml:space="preserve">Untuk melakukan monitoring kasus retur pengambilan datanya masih dilakukan manual dan perlu diolah secara manual dan membutuhkan waktu yang cukup lama untuk prosesnya. Proses pengerjaan pengolahaan data untuk monitoring membutuhkan waktu 2,408 detik per hari
</t>
  </si>
  <si>
    <t>Membuat dashboard monitoring pada GDS sehingga tidak perlu proses pengolahan data yang lamaz
Waktu yang dibutuhkan dari buka GDS hingga dapat data untuk monitoring hanya butuh waktu 138 detik per hari</t>
  </si>
  <si>
    <t>https://gdncomm.sharepoint.com/:x:/s/Operation/EX0F2Gyf-S9Bj4DU5H60k5QBUXowkL_ZwrUFCy0k6AvM1A?e=tw0aGo</t>
  </si>
  <si>
    <t xml:space="preserve">	WH Non Jabodetabek</t>
  </si>
  <si>
    <t>Khidir Zaman
@Achmad Nur Rizal
@Megia Budian</t>
  </si>
  <si>
    <t>Efisiensi Proses Packer Ketika Pengambilan Produk Picking</t>
  </si>
  <si>
    <t>Penyusunan produk picking tidak teratur pada pallet
Packer memiliki delay untuk mencari pasangan nomor container dan produknya 
Analisa sebab:
Ukuran container picking yang terbatas
Penyusunan produk picking tidak selalu berada di dalam container picking</t>
  </si>
  <si>
    <t xml:space="preserve">Menggunakan trolley yang memiliki sekat setiap tiernya dan dapat di adjust lebarnya sesuai keinginan
Menggunakan plug and play container </t>
  </si>
  <si>
    <t>https://gdncomm.sharepoint.com/:x:/s/Operation/EXi4s12LCIVHtQhZzft2ckwBR7_zFRWZ-JoxRSvxc-QMPg?e=6fc5ff</t>
  </si>
  <si>
    <t>Service and Quality Management</t>
  </si>
  <si>
    <t>Mei Fitria Handayani Nadhiira Alifah Novita Rahmawati Vina Vibrianti Kusuma Agnes Putri R Yudhawirawan</t>
  </si>
  <si>
    <t>Efisiensi Proses Pembuatan Report Live Monitoring pada Bagian Kuantitatif</t>
  </si>
  <si>
    <t>Proses pengerjaan report Live Monitoring tidak efisien dan efektif. Terdapat 5 langkah yang tidak efektif (Penarikan data, data cleansing, input data, olah &amp; visualisasi data), dan saat ini untuk keseluruhan proses memerlukan waktu sampai 2190 detik.
Tidak adanya dashboard terpusat terkait hasil Live Monitoring oleh tim Service Development.
Setiap minggu terdapat 4 weekly report hasil Live Monitoring yang diperlukan, sedangkan setiap bulan terdapat 4 monthly report yang diperlukan. Sehingga dalam sebulan terdapat 20 report hasil Live Monitoring yang diperlukan.</t>
  </si>
  <si>
    <t>Improvement: Pembuatan dashboard GDS untuk Live Monitoring yang dapat langsung menarik data dari detroit dan menyediakan data, tabel ataupun grafik sesuai yang diperlukan untuk reporting Live Monitoring</t>
  </si>
  <si>
    <t>https://gdncomm.sharepoint.com/:x:/s/Operation/ETKSRm1BPOZHnZR6hECmXqwB28GHh-fidAADQxtmDHOBwg?e=hdqS6U</t>
  </si>
  <si>
    <t xml:space="preserve">	Return Management</t>
  </si>
  <si>
    <t>Hardian Ruben Tobing Annissa Meuthia Kasih Daulay Gerardo Laudus Adinda Suffi Alizha Putri Sintia Seprinalti Manawarah Pithaloka</t>
  </si>
  <si>
    <t>Efisiensi Proses Penarikan dan Pembagian Kasus Retur EPR No</t>
  </si>
  <si>
    <t>Proses penarikan data untuk kasus2 EPR no masih dilakukan secara manual dan setelah melakukan penarikan data pun pembagian kasus untuk tim EPR no masih dilakukan secara manual. Proses-proses tersebut membutuhkan waktu yang cukup lama dan dilakukan setiap hari
Rata-rata waktu yang diperlukan untuk melakukan penarikan dan pembagian kasus EPR no membutuhkan waktu 48 menit setiap harinya</t>
  </si>
  <si>
    <t xml:space="preserve">1. Membuatkan 1 filter baru yang mencakup tarikan untuk beberapa filter lama
2. Membuat macro sehingga tidak ada proses edit data secara manual
</t>
  </si>
  <si>
    <t>https://gdncomm.sharepoint.com/:x:/s/Operation/EVe9bd80kmxCrOD3-X3L7fgBUK8Th_tyeEdPN1jusX2-vw?e=GtTiY5</t>
  </si>
  <si>
    <t>Service &amp; Quality Management</t>
  </si>
  <si>
    <r>
      <t>Nadhiira Alifah</t>
    </r>
    <r>
      <rPr>
        <sz val="11"/>
        <color rgb="FF172B4D"/>
        <rFont val="-Apple-System"/>
        <charset val="1"/>
      </rPr>
      <t> </t>
    </r>
    <r>
      <rPr>
        <sz val="11"/>
        <color rgb="FF42526E"/>
        <rFont val="-Apple-System"/>
        <charset val="1"/>
      </rPr>
      <t>Fadly Aulia</t>
    </r>
  </si>
  <si>
    <t>Efisiensi Proses Penarikan Data Validasi dan Pembuatan Label Pengiriman untuk AHA Moment</t>
  </si>
  <si>
    <t>Problem:
Proses validasi alamat customer penerima AHA Moment yang memerlukan alamat utama, namun tim AHA Moment perlu menariknya secara manual melalui IDV tiap customer
Proses pembuatan label pengiriman AHA Moment yang masih dilakukan secara manual yaitu dengan menyalin data satu persatu dari file Ms. Excel ke file Ms. Word
Dashboard sebelumnya yang belum mencakup seluruh data yang diperlukan oleh tim AHA untuk proses validasi
Data:
Request untuk pemberian AHA Moment yang diterima tim AHA pada Januari 2022 - Januari 2023 adalah 1,597 request/month
Pada Januari 2022 - Januari 2023, terdapat 56% (895 AHA Moment/month) AHA Moment request yang sesuai dengan kriteria AHA Moment
Waktu pada proses sebelum perbaikan:</t>
  </si>
  <si>
    <t>Pembuatan dashboard untuk penarikan data secara otomatis yang bersumber dari CM dan IDV, sehingga proses penarikan seluruh data untuk validasi AHA Moment dapat dilakukan dalam satu kali penarikan data untuk setiap batch validasi
Pembuatan template file Ms. Word dengan fitur Mailings yang dapat menarik langsung data dari file Ms. Excel dan membuat label sesuai template</t>
  </si>
  <si>
    <t>https://gdncomm.sharepoint.com/:x:/s/Operation/EYwlkM9YyNlBptFt6jMnbEwBbNx2UO-KYtN6UYrz_9ENFw?e=cYFLkb</t>
  </si>
  <si>
    <t>WHS Sentul bogor</t>
  </si>
  <si>
    <r>
      <t>Rommy Putra Gazali</t>
    </r>
    <r>
      <rPr>
        <sz val="11"/>
        <color rgb="FF172B4D"/>
        <rFont val="-Apple-System"/>
        <charset val="1"/>
      </rPr>
      <t> </t>
    </r>
    <r>
      <rPr>
        <sz val="11"/>
        <color rgb="FF42526E"/>
        <rFont val="-Apple-System"/>
        <charset val="1"/>
      </rPr>
      <t>Bagas Setyadi</t>
    </r>
    <r>
      <rPr>
        <sz val="11"/>
        <color rgb="FF172B4D"/>
        <rFont val="-Apple-System"/>
        <charset val="1"/>
      </rPr>
      <t> </t>
    </r>
    <r>
      <rPr>
        <sz val="11"/>
        <color rgb="FF42526E"/>
        <rFont val="-Apple-System"/>
        <charset val="1"/>
      </rPr>
      <t>Galih Rizki</t>
    </r>
    <r>
      <rPr>
        <sz val="11"/>
        <color rgb="FF172B4D"/>
        <rFont val="-Apple-System"/>
        <charset val="1"/>
      </rPr>
      <t> </t>
    </r>
    <r>
      <rPr>
        <sz val="11"/>
        <color rgb="FF42526E"/>
        <rFont val="-Apple-System"/>
        <charset val="1"/>
      </rPr>
      <t>Gilang Giffary</t>
    </r>
    <r>
      <rPr>
        <sz val="11"/>
        <color rgb="FF172B4D"/>
        <rFont val="-Apple-System"/>
        <charset val="1"/>
      </rPr>
      <t> </t>
    </r>
    <r>
      <rPr>
        <sz val="11"/>
        <color rgb="FF42526E"/>
        <rFont val="-Apple-System"/>
        <charset val="1"/>
      </rPr>
      <t>Ferdi Ferdi</t>
    </r>
  </si>
  <si>
    <t>Efisiensi proses pencatatan device dan pencatatan keluar masuk karyawan dengan scan barcode</t>
  </si>
  <si>
    <t>- Peminjaman device dan pencatatan karyawan di ketik manual di PC
- Proses pengetikan yang terlalu lama
-Tidak diketahui jam pinjam dan kembali device serta total waktu istirahat karyawan sudah sesuai atau Tidak</t>
  </si>
  <si>
    <t>-Pembuatan barcode nama karyawan di warehouse dan di tempel pada id card masing-masing setiap karyawan</t>
  </si>
  <si>
    <t>https://gdncomm.sharepoint.com/:x:/s/Operation/ESbQaKn36FpNntErlH5PWH0BwiR_DS5XR59fK17pJW0_eA?e=xG5ijL</t>
  </si>
  <si>
    <t>Sherly Setiawan Verencia Permatasari @Hafiz Fadilli</t>
  </si>
  <si>
    <t>Efisiensi Proses Pencatatan Tanggal Pembayaran Invoice</t>
  </si>
  <si>
    <t xml:space="preserve">Membutuhkan waktu yang lama untuk mendapatkan informasi terkait tanggal pembayaran invoice
Data Before:
1. Durasi mendapatkan informasi terkait tanggal pembayaran invoice membutuhkan waktu 83 detik/inv (± 100 invoice)
2 .Durasi pencatatan tanggal pembayaran invoice ke kompilasi rekon membutuhkan waktu 6.79 detik/inv (± 100 invoice)
</t>
  </si>
  <si>
    <t>Mengurangi waktu dalam mendapatkan informasi tanggal pembayaran menggunakan tarikan data Bolivia</t>
  </si>
  <si>
    <t>https://gdncomm.sharepoint.com/:x:/s/Operation/Ea_xX098_WJBlzPmswceRIAB2ZnoqJx0qg4Y7zflz-JN6Q?e=cx2bkc</t>
  </si>
  <si>
    <t>Hafiz Fadilli Sherly Setiawan Amelia Arifin Verencia Permatasari</t>
  </si>
  <si>
    <t>Efisiensi Proses Pengerjaan Invoice Non Order &amp; Retur</t>
  </si>
  <si>
    <t>Pengerjaan invoice non order dan retur, rekonsiliasi invoice masih dilakukan secara manual, waktu yang dibutuhkan adalah 5,276 detik dan 356 detik (total 5,632 detik)</t>
  </si>
  <si>
    <t>Pembuatan Macro sehingga total waktu yang dibutuhkan menjadi 1,076 detik</t>
  </si>
  <si>
    <t>https://gdncomm.sharepoint.com/:x:/s/Operation/EZTwb03gkGVNozSZoug4uyYBVnCc8ZT_zwZ4m_4BdihrUw?e=oqb1uU</t>
  </si>
  <si>
    <t>Muh Fajri Febrina Larasati Hayatunnisa Hayatunnisa</t>
  </si>
  <si>
    <t>Efisiensi Proses Pengolahan Data untuk CSAT dan SSAT</t>
  </si>
  <si>
    <t>Agent melakukan process pengolahan data manual, proses cleaning, pengabungan, dan formating sesuai dengan template. Proses ini memakan waktu 105 menit.</t>
  </si>
  <si>
    <t>Mengeleminasi 3 Proses cleaning, pengabungan, dan formating sesuai dengan template, dengan menggunakan tools Power Query sehingga proses menjadi 50 menit.</t>
  </si>
  <si>
    <t>https://gdncomm.sharepoint.com/:x:/s/Operation/EQ_MDTGJSOFNgJpQfpF242wBXibijY-2xLlyFhM8TfdFLw?e=x1qnlh</t>
  </si>
  <si>
    <t>Return Dispute</t>
  </si>
  <si>
    <r>
      <t>Annissa Meuthia Kasih Daulay</t>
    </r>
    <r>
      <rPr>
        <sz val="11"/>
        <color rgb="FF172B4D"/>
        <rFont val="-Apple-System"/>
        <charset val="1"/>
      </rPr>
      <t> </t>
    </r>
    <r>
      <rPr>
        <sz val="11"/>
        <color rgb="FF42526E"/>
        <rFont val="-Apple-System"/>
        <charset val="1"/>
      </rPr>
      <t>Theresia Wibowo</t>
    </r>
  </si>
  <si>
    <t>Efisiensi Proses Penulisan Follow Up Decision di QC Form</t>
  </si>
  <si>
    <t>Saat ini penulisan follow up decision masih dilakukan dengan menulis manual di kertas dokumen hasil pengecekan QC.
Average process time per RMA/produk: 5 detik/</t>
  </si>
  <si>
    <t>Pembuatan parameter dan logic follow up decision di RMA, sehingga informasi yang ditampilkan di kertas dokumen hasil pengecekan QC dapat sesuai dengan yang digunakan di lapangan.
Adjust UI dokumen hasil pengecekan QC, sehingga informasi dapat terlihat jelas dan juga adjust informasi yang dikirimkan ke seller (follow up decision tertentu akan mengirimkan automatic email ke seller)
Proses penulisan manual follow up decision di dokumen hasil pengecekan QC tidak perlu dilakukan lagi.
Sehingga dapat menghemat 5 detik/RMA.</t>
  </si>
  <si>
    <t>Syifa Fulki, Ricky Oktaviani, Galih Listianika, Nuraisa Wadani, Nurfitri Nurfitri, Thias Handayani</t>
  </si>
  <si>
    <t>Efisiensi Proses Penyelesaian Case Request Aktifkan Akun (Dormant)</t>
  </si>
  <si>
    <t>1. Penyelesaian Case Request aktifkan akun (Dormant) membutuhkan resolution time 72 jam dengan persentase SLA achievement sebesar 99% untuk subcategory "Access Management - Request aktifkan akun"
2. Proses pengaktifan akun membutuhkan waktu 0.93 jam/case, karena butuh eskalasi ke banyak stakeholders (avg 8 case/hari)</t>
  </si>
  <si>
    <t>Empowerment toggle aktifkan akun di BSC (sudah pernah didevelop sebelumnya) kepada Agent Seller Care, sehingga mengeleminasi proses eskalasi ke banyak stakeholders. Waktu yang dibutuhkan menjadi 0.21 jam/case.</t>
  </si>
  <si>
    <t>https://gdncomm.sharepoint.com/:x:/s/Operation/Ed7fZRDLVZdLgA7oN86I9REBHXODIGTVUdDFzBaeJRIQew?e=gXk7r5</t>
  </si>
  <si>
    <t xml:space="preserve">
Return</t>
  </si>
  <si>
    <t>Vionita Salim dan team Return Managenement</t>
  </si>
  <si>
    <t>Efisiensi Proses PO</t>
  </si>
  <si>
    <t>Problem:
- Waktu penginformasian nomor PO di CM masih manual</t>
  </si>
  <si>
    <t>Melakukan bulk comment untuk penginformasian no PO</t>
  </si>
  <si>
    <t>https://gdncomm.sharepoint.com/:x:/s/Operation/EZr5m5Oc_9pNpeH_fNGYP2EBRUQXpan9yS6RcoMWY9IMdA?e=W2kc9u</t>
  </si>
  <si>
    <t>Vionita Salim dan team Return Managenement</t>
  </si>
  <si>
    <t>Efisiensi Proses PO - Bulk Closed Subtask</t>
  </si>
  <si>
    <t>Waktu close subtask PO di CM masih manual</t>
  </si>
  <si>
    <t>Melakukan bulk close subtask</t>
  </si>
  <si>
    <t>https://gdncomm.sharepoint.com/:x:/s/Operation/EV40nsT7f3BPhdAZQ921QzsBTuvmwAZKI5dVw_6kI5zjMg?e=7bgqUl</t>
  </si>
  <si>
    <t>Hendra Sita Maulana
Subkhan Prianto</t>
  </si>
  <si>
    <t>Efisiensi Proses Transit saat Picking</t>
  </si>
  <si>
    <t>Area peletakan container transit terbatas dan tidak ada sekat antar nomor shelf, complaint rate order saat Launching tinggi. Total waktu proses picking per hari: 1.9 jam</t>
  </si>
  <si>
    <t>1. Mengganti area terbatas transit (pallet floor) dengan shelving sebanyak 3 bay, memberikan label dan partisi area transit.
2. Menempatkan container transit pada shelving sesuai satu angka terakhir container transit tersebut guna memudahkan pencarian oleh picker berikutnya
3. Efisiensi waktu picking menjadi 0.6 jam/hari dan meminimalisasi kesalahan picking</t>
  </si>
  <si>
    <t>https://gdncomm.sharepoint.com/:x:/s/Operation/Ed_JCJVgJZ1AoUgq37QkfVIBjChWEjUD4mKHFhKvplCxbw?e=go3rbm</t>
  </si>
  <si>
    <t>Inbound</t>
  </si>
  <si>
    <t>Wahyu Anggara Yonathan Yonathan Deni Widendra Lenny Dwiyanti Rajiv Dewanto</t>
  </si>
  <si>
    <t>Efisiensi Waktu Pengecekan Request Performance oleh Agent Inbound</t>
  </si>
  <si>
    <t>Waktu yang dibutuhkan agent untuk mengetahui jumlah AHA yang diajukan dan direject relatif lama karena harus download file excel dan pengelompokkan manual (total waktu yang dibutuhkan 138 agent adalah 4.18 jam/minggu, 1x download/minggu), serta tampilan tidak user-friendly.</t>
  </si>
  <si>
    <t>Memaksimalkan penggunaan dashboard untuk pengecekan AHA moment agent, waktu yang dibutuhkan 138 agent menjadi 2.45 jam/minggu dan lebih user friendly.</t>
  </si>
  <si>
    <t>https://gdncomm.sharepoint.com/:x:/s/Operation/EXqJtkAbVPRNmEJxUNs8sBkBosQ6vVwc939w-8iqoLNk7Q?e=6gCVkQ</t>
  </si>
  <si>
    <t>Reverse Logistik</t>
  </si>
  <si>
    <t>Ryan Wirjan Josephine Helbert Deiske Nurlita, Galuh Witri, Charlina Wahyuni, Ari Kurniawan, Ronald Luwijaya</t>
  </si>
  <si>
    <t>Efisiensi Waktu Pengisian Lokasi Rak Produk</t>
  </si>
  <si>
    <t>Problem Statement:
Sebagian besar RMA atau produk yang dikirimkan dari warehouse retur ke customer dan seller harus dilakukan pengecekan lokasi rak produk di gudang retur sebelum di handover ke bagian outbound
Pengisian lokasi rak produk untuk RMA yang dijadwalkan pengiriman ke customer dan seller masih dilakukan secara manual oleh 1 PIC
Pengisian rak produk membutuhkan waktu yang lama
Data Before:
Rata-rata per hari terdapat 75 RMA yang dikirimkan ke customer dan seller dari warehouse retur
Dari 75 RMA, terdapat 45 yang perlu diberi keterangan lokasi rak produk karena produk sudah ditempatkan di rak warehouse retur
Proses keseluruhan penjadwalan dan pengisian lokasi rak produk memakan waktu sekitar 1531 detik per hari ~ 26 menit per hari</t>
  </si>
  <si>
    <t>Improvement &amp; implementation:
Mewajibkan requester subtask pengiriman produk retur ke seller dan customer (sentmp &amp; sentcust) untuk mengisi lokasi rak produk di field "warehouse" pada subtask
Melakukan sosialisasi kepada requester subtask mengenai cara menentukan lokasi rak produk
Mengubah proses pengecekan manual lokasi rak produk menjadi proses lookup yang hanya dilakukan dalam sekali tahapan</t>
  </si>
  <si>
    <t>https://gdncomm.sharepoint.com/:x:/s/Operation/EfAcUN3XnTRKvRo5IMf5pDMBGaLRlo85uJPy8avFQNoiUQ?e=uUbdZz</t>
  </si>
  <si>
    <t>return</t>
  </si>
  <si>
    <t xml:space="preserve">	
Ryan Wirjan Josephine Helbert</t>
  </si>
  <si>
    <t>Efisiensi Waktu Pengisian Lokasi Rak Produk Menggunakan GDS</t>
  </si>
  <si>
    <t>Problem:
1. Sebagian besar RMA atau produk yang dikirimkan dari warehouse retur ke customer dan seller harus dilakukan pengecekan lokasi rak produk di gudang retur sebelum di handover ke bagian outbound
2. Sudah dilakukan sosialisasi agar requester mengisi lokasi produk pada subtask sentmp &amp; sentcust manual, namun masih ada human error karena kesalahan penulisan lokasi produk sehingga produk tidak terkirim
3. Subtask "Return Product to Merchant" yang terbentuk dari RMA tidak dilakukan pengisian lokasi produk oleh requester sehingga diisi manual oleh PIC penjadwalan
4. Pengecekan lokasi rak produk membutuhkan waktu yang lama
Data Before:
1. Rata-rata per hari terdapat 75 RMA yang dikirimkan ke customer dan seller dari warehouse retur
2. Dari 75 RMA, terdapat 45 yang perlu diberi keterangan lokasi rak produk karena produk sudah ditempatkan di rak warehouse retur
3. Proses keseluruhan penjadwalan dan pengisian lokasi rak produk memakan waktu sekitar 1531 detik per hari ~ 26 menit per hari</t>
  </si>
  <si>
    <t>1. Menambahkan field "Lokasi Produk" pada GDS "Seller Return Address" sebagai sumber data untuk penjadwalan pengiriman produk retur dengan data yang diambil dari subtask terakhir pada Case Management untuk menentukan lokasi produk sesuai dengan logic yang sudah ada
2. Menambahkan kolom "Lokasi Produk" pada RPU template yang digunakan untuk membuat file penjadwalan yang akan langsung melakukan proses lookup ke GDS sehingga hanya dilakukan dalam 1 kali proses
3. Mengubah proses pengecekan manual lokasi rak produk menjadi proses lookup yang hanya dilakukan dalam sekali tahapan, sehingga waktu yang dibutuhkan hanya 105 detik</t>
  </si>
  <si>
    <t>https://gdncomm.sharepoint.com/:x:/s/Operation/EdV6nbS0-9pGnd02SvpvNs4B1AGWnWRJLM3QRNJwK3im2g?e=huSzb0</t>
  </si>
  <si>
    <t>Hendro Purnomo Luthfi Kurnia Yunita Rosalia</t>
  </si>
  <si>
    <t>Efisiensi waktu Pengolahan Update Report Logistik Shipment Offline menggunakan Macro</t>
  </si>
  <si>
    <t>Proses pengolahan update status logistik shipment offline dikerjakan secara manual, waktu pengerjaan report 604 detik (dilakukan 1x/hari)</t>
  </si>
  <si>
    <t>Pembuatan macro, waktu pengolahan report menjadi 102 detik dan meminimalisasi kesalahan</t>
  </si>
  <si>
    <t>https://gdncomm.sharepoint.com/:x:/s/Operation/EasWbtLx_WhAtqagr3CfKzcBniHxGd7HbkiD-Na4Ym3eig?e=FJXrb4</t>
  </si>
  <si>
    <t>Efisiensi Waktu Proses Pencarian Paket OJOL</t>
  </si>
  <si>
    <t xml:space="preserve">Problem Statement:
Pencarian paket OJOL secara manual melalui penglihatan mata normal operator dengan referensi 5 digit terakhir  nomor AWB di Area staging OJOL membutuhkan waktu kurang lebih 95 detik per AWB-nya
Analisa Sebab:
Ukuran font 5 Digit terakhir AWB tidak terlalu besar dengan visibility penglihatan mata normal dalam jarak  &lt; 200 cm
Mayoritas paket di packing menggunakan packaging yang serupa sehingga
</t>
  </si>
  <si>
    <t>Menambahkan Kode Box Packing di Form draft GIN/GIN untuk referensi pertama operator dalam pencarian cepat paket oleh operator di staging area. Proposed Enhancement ke Tim PIR Aditya Prakoso
Menambah ukuran font 5 Digit Terakhir AWB lebih besar dengan visibility penglihatan ukuran mata normal dalam jarak 300 cm untuk referensi kedua operator dalam pencarian paket. Proposed Enhancement ke Tim PIR Aditya Prakoso</t>
  </si>
  <si>
    <t>https://gdncomm.sharepoint.com/:x:/s/Operation/EQHGtEkaECFNs7uOEo7bE8wBJHfupGuTaxNNZDmKH8lzLA?e=Ju5czX</t>
  </si>
  <si>
    <t>WH kramat Jati</t>
  </si>
  <si>
    <t>Efisiensi Waktu Reporting AWB Send to Customer</t>
  </si>
  <si>
    <t>Rata-rata per hari ada 34 case send customer yang perlu dilakukan reporting AWB pengiriman (based on data H2 2022) dengan melakukan comment manual satu per satu kepada case management. Waktu yang dibutuhkan per hari untuk proses manual comment AWB send customer adalah 17,7 menit.</t>
  </si>
  <si>
    <t>Efisiensi waktu pengerjaan comment AWB send customer secara manual satu per satu case bisa dilakukan secara bulk dalam 1 tahapan proses (reduce time &gt; 50%)</t>
  </si>
  <si>
    <t>https://gdncomm.sharepoint.com/:x:/s/Operation/EadNM9CHU9lDoTlImN5jVBYB9-L4xBi5EK0MTgHdse7WAQ?e=fzA2zZ</t>
  </si>
  <si>
    <t>GDN 4</t>
  </si>
  <si>
    <t>Vinka Rosdianti, Amanda Amanda, Athirah Fitrianthy, Demi Apriliani, Nadhiira Alifah</t>
  </si>
  <si>
    <t>Email &amp; Chat Teams Automation for CCARE BULLETIN</t>
  </si>
  <si>
    <t>Waktu yang dibutuhkan untuk compose email dan Teams message cenderung lama &amp; masih manual. Dalam sehari terdapat rata-rata 8 artikel KMC yang dibuat. Waktu yang dibutuhkan untuk compose di email dan teams setiap update-nya adalah 260 detik.</t>
  </si>
  <si>
    <t>Automasi compose email dan Teams CCARE Bulletin jika ada update KMC dengan Power Automate. Waktu yang dibutuhkan menjadi 80 detik.</t>
  </si>
  <si>
    <t>https://gdncomm.sharepoint.com/:x:/s/Operation/EdS_hfT5kplFmfMze8latZQBJ263_EPk5U9Pr41_JnG_ug?e=YdNWqr</t>
  </si>
  <si>
    <r>
      <t>Ryan Wirjan</t>
    </r>
    <r>
      <rPr>
        <sz val="11"/>
        <color rgb="FF172B4D"/>
        <rFont val="-Apple-System"/>
        <charset val="1"/>
      </rPr>
      <t> ,</t>
    </r>
    <r>
      <rPr>
        <sz val="11"/>
        <color rgb="FF42526E"/>
        <rFont val="-Apple-System"/>
        <charset val="1"/>
      </rPr>
      <t>Josephine Helbert</t>
    </r>
    <r>
      <rPr>
        <sz val="11"/>
        <color rgb="FF172B4D"/>
        <rFont val="-Apple-System"/>
        <charset val="1"/>
      </rPr>
      <t> , Ronald Luwijaya (intern)</t>
    </r>
  </si>
  <si>
    <t>Enhancing Visibility - Sharing Send MP AWB List</t>
  </si>
  <si>
    <t>Pengiriman list AWB untuk pengiriman produk retur dari warehouse retur ke merchant sebelumnya dilakukan dengan cara blast email berisikan file excel
Proses pembuatan file excel dan blast email dilakukan secara manual dan memakan waktu sekitar 13 menit per hari nya
Proses belum dilakukan secara daily sehingga merchant dan tim seller care belum memiliki visibility yang maksimal terhadap airwaybill pengiriman produk dari warehouse blibli ke merchant</t>
  </si>
  <si>
    <t>Memberikan akses "view only" kepada team seller care ke database online team reverse untuk pengiriman produk retur dari warehouse return ke merchant yang diupdate setiap hari
Database online pengiriman produk Send MP sudah mencakup detail yang lengkap dari produk: No. RMA, Order ID, Order Item ID, AWB, Email merchant, etc sehingga team seller care dapat menginformasikan nomor AWB ke merchant terkait</t>
  </si>
  <si>
    <t>https://gdncomm.sharepoint.com/:x:/s/Operation/EZFJDYk5b5ZJlZYv2kz1X9gBARJvo1m8anaAfg5kAqEB7A?e=ROk8OX</t>
  </si>
  <si>
    <t>Rommy Putra Gazali
Yuni Wardani</t>
  </si>
  <si>
    <t>Improvement Pemindahan Staging Area Ojol untuk Grab/Gocar</t>
  </si>
  <si>
    <t>Proses pengambilan barang untuk Grab/Gocar instan lama karena jarak antara area staging dengan loading dock jauh (cycle time 2.1 jam/hari)</t>
  </si>
  <si>
    <t>Membuat staging area ojol baru (dipisahkan antara kendaraan roda dua dan roda empat) menjadi lebih dekat ke loading dock (cycle time 0.8 jam/hari)</t>
  </si>
  <si>
    <t>https://gdncomm.sharepoint.com/:x:/s/Operation/Ee6E4Kw-JPNDotps1W__HlwBExSmS05oQ9MAUaaHoB9CnA?e=DoOktE</t>
  </si>
  <si>
    <t>Erfandi Al Asra, Edi Marjuki, Nurhadi Hidayatullah, Andri, Darmina</t>
  </si>
  <si>
    <t>Improvement Proses  Pengiriman IR Mapan</t>
  </si>
  <si>
    <t>1. Tingginya keluhan dari Warehouse Penerima IR Mapan karena kurang/lebih kirim, barang tidak sesuai/nyasar, sehingga tim perlu waktu untuk investigasi barang
2. Staging IR berantakan dan tidak dapat di identifikasi dengan mudah
3. Team project sering tidak fokus dengan pekerjaannya, karena memegang 3 Job desc sekaligus, IR Out, Fulfill Big Product, dan TS Out
4. Total cost untuk investigasi dan untuk barang salah proses dan kirim ulang: Rp1,066,018/bulan</t>
  </si>
  <si>
    <t>1. Menerapkan sistem double check IR baik secara quantity maupun koliannya pada saat persiapan barang oleh Picker dan Packer dan juga pada saat pengeluaran barang oleh team Outbound
2. Membuat marking dan penanda untuk area staging IR sesuai dengan Warehouse tujuannya
3. Memisahkan team project menjadi dua bagian, Team Project IR dan Team Project TS agar pekerjaan lebih terfokus
4. Team project juga melakukan investigasi mandiri pada setiap case yang terjadi agar meningkatkan product knowledge
5. Case IR mapan berkurang 81%, akurasi stock terjaga, dan produk lebih cepat di GRN di WH tujuan</t>
  </si>
  <si>
    <t>https://gdncomm.sharepoint.com/:x:/s/Operation/ESB5TWTeOXhMmUyU9AURlEcBXc7-XtsoR2HPdKbBKEsDkA?e=VChnDf</t>
  </si>
  <si>
    <t>Fuel</t>
  </si>
  <si>
    <t>Distance</t>
  </si>
  <si>
    <t>km</t>
  </si>
  <si>
    <t>Erfandi Asra
Nurhadi Hidayatullah
Edi Marjuki
Darmina</t>
  </si>
  <si>
    <t>Improvement Proses Pengiriman IR Bulk untuk Event</t>
  </si>
  <si>
    <t>1. Tingginya frekuensi pengiriman IR Bulk disaat periode bazaar/event
2. Proses pengerjaan IR memiliki step yang panjang dan lama (LT proses pick-pack per pieces: 1.47 menit, item harus dipindahkan terlebih dahulu ke WH Non-Distribution kemudian di relabel ulang, sehingga hanya menyisakan sedikit waktu untuk proses picking dan packing)
4. Barang yang akan di IR posisinya terpencar-pencar
5. Seringkali terjadi ketidaksesuaian sehingga barang salah kirim dan harus dilakukan investigasi (waktu investigasi dan repack ulang: 2 jam)</t>
  </si>
  <si>
    <t>1. Berkoordinasi dengan asmer dengan meminta list SKU yang akan diproses terlebih dahulu
2. Berkoordinasi dengan team Inbound untuk penyimpanan barang pada saat proses putaway agar barang dapat dipisahkan terlebih dahulu per SKU per Pallet
3. Menyediakan area khusus untuk penyimpanan barang yang akan di assembly dan di pick untuk IR
4. Mengklasifikasikan SKU per storage dan memberikan tanda urutan nomor IR agar team Asmer dapat membuat IR menggunakan SKU sesuai dengan urutan yang telah ditentukan
5. LT proses pick-pack per pieces lebih singkat: 0.78 detik, aktivitas investigasi dan repack ulang barang dihilangkan</t>
  </si>
  <si>
    <t>https://gdncomm.sharepoint.com/:x:/s/Operation/EZBVqHwofIpPnlvXPZRoKosBea323cAW44FCJ8i4xis9Wg?e=XEibLQ</t>
  </si>
  <si>
    <r>
      <t>Robert Soleman</t>
    </r>
    <r>
      <rPr>
        <sz val="11"/>
        <color rgb="FF172B4D"/>
        <rFont val="-Apple-System"/>
        <charset val="1"/>
      </rPr>
      <t> </t>
    </r>
    <r>
      <rPr>
        <sz val="11"/>
        <color rgb="FF42526E"/>
        <rFont val="-Apple-System"/>
        <charset val="1"/>
      </rPr>
      <t>Anjar Wulandari</t>
    </r>
    <r>
      <rPr>
        <sz val="11"/>
        <color rgb="FF172B4D"/>
        <rFont val="-Apple-System"/>
        <charset val="1"/>
      </rPr>
      <t> Aziz Kalam, </t>
    </r>
    <r>
      <rPr>
        <sz val="11"/>
        <color rgb="FF42526E"/>
        <rFont val="-Apple-System"/>
        <charset val="1"/>
      </rPr>
      <t>Eka Sriningsih</t>
    </r>
  </si>
  <si>
    <t>Logistics Utilization to Handle Cases via LCP Singapore</t>
  </si>
  <si>
    <t>Problem :
Terdapat development pada LCP Singapore yang memungkinkan 3PL dapat berkomunikasi secara langsung dengan CS Blibli untuk menangani tiket (Issue Type: New Logistic).
Pengerjaan tiket (Issue Type: New Logistic) belum efektif karena tim Express Delivery masih terlibat dalam penanganan kasus yang seharusnya cukup dilakukan oleh 3PL terlebih dahulu di masa awal terbentuknya tiket.</t>
  </si>
  <si>
    <t>Mengeluarkan tanggung jawab pengerjaan kasus baru (Issue Type: New Logistic) dari cmAdmin.
Memberikan tanggung jawab pengerjaan kasus baru (Issue Type: New Logistic) secara langsung kepada PIC dari masing-masing 3PL.
Memprioritaskan kasus yang lebih penting untuk ditindaklanjuti oleh cmAdmin.</t>
  </si>
  <si>
    <t>https://gdncomm.sharepoint.com/:x:/s/Operation/EeqY8cOMEwtPtaVLF2XWvzcBESPPTWZwOOMFJ9kSpbc8gw?e=DtUk4I</t>
  </si>
  <si>
    <t xml:space="preserve">WH Non Jabodetabek </t>
  </si>
  <si>
    <t>Al hadid Lubis
@abdi gunawan
@muhammad zulkarnain
@saiful amri</t>
  </si>
  <si>
    <t>MENAMBAHKAN STORAGE DI RAK DENGAN KERANJANG</t>
  </si>
  <si>
    <t>Peningkatan kebutuhan Storage untuk mendukung pertumbuhan bisnis
Terdapat Space di Shelving yang masih bisa di maksimalkan untuk penambahan Storage
Stock keranjang yang berlebih</t>
  </si>
  <si>
    <t>Dasar beam di naikkan  ( level 1 ) naik dari 8 cm menjadi 48 cm dari lantai
Mengurangi jarak antara beam dari yang sebelumnya berjarak 48 cm menjadi 38 cm.​
Meletakkan keranjang plastik besar di lantai di bawah dasar beam level 1.</t>
  </si>
  <si>
    <t>https://gdncomm.sharepoint.com/:p:/s/Operation/EQm4K4vDbqNBiYGwhWa6VQoB0rwxv4FCgNR8mrv2f9UenQ?e=jvd33o</t>
  </si>
  <si>
    <t>WH deli serdang</t>
  </si>
  <si>
    <t xml:space="preserve">	WH Non Jabodetabek </t>
  </si>
  <si>
    <t>Al hadid Lubis
saiful amri
muhammad zulkarnain
abdi gunawan</t>
  </si>
  <si>
    <t xml:space="preserve">storage hampir penuh
ada space di rak yang bisa dimaksimalkan
banyaknya stok keranjang </t>
  </si>
  <si>
    <t>memperkecil shelf dari 48cm menjadi 38cm
menggunakan keranjang sebagai storage di bagian bawah</t>
  </si>
  <si>
    <t>https://gdncomm.sharepoint.com/:x:/s/Operation/ER-yJYW9QgBNmFWQtyactewBx5eJLGsyDUFTMnQTUKHOFA?e=MQgZMo</t>
  </si>
  <si>
    <t>Sama dengan row 9</t>
  </si>
  <si>
    <t> </t>
  </si>
  <si>
    <r>
      <t>Ryan Wirjan</t>
    </r>
    <r>
      <rPr>
        <sz val="11"/>
        <color rgb="FF172B4D"/>
        <rFont val="-Apple-System"/>
        <charset val="1"/>
      </rPr>
      <t> </t>
    </r>
    <r>
      <rPr>
        <sz val="11"/>
        <color rgb="FF42526E"/>
        <rFont val="-Apple-System"/>
        <charset val="1"/>
      </rPr>
      <t>Josephine Helbert</t>
    </r>
    <r>
      <rPr>
        <sz val="11"/>
        <color rgb="FF172B4D"/>
        <rFont val="-Apple-System"/>
        <charset val="1"/>
      </rPr>
      <t>, Ronald Luwijaya, </t>
    </r>
    <r>
      <rPr>
        <sz val="11"/>
        <color rgb="FF42526E"/>
        <rFont val="-Apple-System"/>
        <charset val="1"/>
      </rPr>
      <t>Nucke Aurelia</t>
    </r>
  </si>
  <si>
    <t>Monitoring API Return Method with GDS</t>
  </si>
  <si>
    <t>Proses monitoring untuk metode retur customer wajib dilakukan setiap hari untuk memastikan shipment return item dapat tiba on time di warehouse return Blibli. Dalam konteks monitoring shipment untuk return method yang sudah API yakni Grab, Drop Alfa, dan Drop JNE, masih terdapat proses multiple export data dari berbagai sumber (jasper RMA07, GDS time stamp 3PL dan RMA tracking logistic) dan proses manual lookup masih dilakukan sehingga reporting memakan waktu estimasi 1 jam per hari.</t>
  </si>
  <si>
    <t>Tim OBI membantu dalam pembuatan GDS untuk ketiga metode retur API yakni Grab pickup, Drop Alfa, dan Drop JNE dimana GDS bisa memberikan visibility maksimal terhadap setiap status shipment baik secara jumlah, tanggal terlama, current status handling dan informasi lain yang dibutuhkan saat reporting. Dampaknya, PIC monitoring cukup melakukan pembukaan GDS dan melakukan 1x export untuk melihat RMA mana saja yang perlu diperiksa statusnya.</t>
  </si>
  <si>
    <t>https://gdncomm.sharepoint.com/:x:/s/Operation/ES1iArbjC4NNs7Ip_gNDnEIB3I_WG54yqEE3Oi-awiF1cw?e=oAo1YE</t>
  </si>
  <si>
    <r>
      <t>Annissa Meuthia Kasih Daulay</t>
    </r>
    <r>
      <rPr>
        <sz val="11"/>
        <color rgb="FF172B4D"/>
        <rFont val="-Apple-System"/>
        <charset val="1"/>
      </rPr>
      <t> </t>
    </r>
    <r>
      <rPr>
        <sz val="11"/>
        <color rgb="FF42526E"/>
        <rFont val="-Apple-System"/>
        <charset val="1"/>
      </rPr>
      <t>Nucke Aurelia</t>
    </r>
  </si>
  <si>
    <t>Monitoring Claim Logistic for Consumer Good with GDS</t>
  </si>
  <si>
    <t>Salah satu strategi untuk meningkatkan return handling time adalah dengan memberikan solusi lebih dahulu kepada kasus retur yang rusak karena pengiriman dan termasuk tipe Consumer Goods. Saat ini proses dilakukan saat RRA, namun masih ada possibility miss saat pemberian solusi karena PIC lupa memberikan label RMA. Hal ini menyebabkan potensi keterlambatan pemberian solusi kepada customer.</t>
  </si>
  <si>
    <t xml:space="preserve">	
Proses operasional menjadi lebih efisien dimana PIC tidak perlu lagi melakukan penarikan Jasper dan CM Subtask secara manual dan harus ada proses lookup terlebih dahulu.
Reduce potensi keterlambatan solusi karena PIC RRA lupa memberikan label RMA.</t>
  </si>
  <si>
    <r>
      <t>Josephine Helbert</t>
    </r>
    <r>
      <rPr>
        <sz val="11"/>
        <color rgb="FF172B4D"/>
        <rFont val="-Apple-System"/>
        <charset val="1"/>
      </rPr>
      <t>, </t>
    </r>
    <r>
      <rPr>
        <sz val="11"/>
        <color rgb="FF42526E"/>
        <rFont val="-Apple-System"/>
        <charset val="1"/>
      </rPr>
      <t>Ryan Wirjan</t>
    </r>
    <r>
      <rPr>
        <sz val="11"/>
        <color rgb="FF172B4D"/>
        <rFont val="-Apple-System"/>
        <charset val="1"/>
      </rPr>
      <t> and Reverse Team</t>
    </r>
  </si>
  <si>
    <t>Operational Enhancement: Accelerating Pickup Subtask Scheduling Process</t>
  </si>
  <si>
    <t>Proses penjadwalan pickup manual (export dari subtask) masih memiliki proses manual dimana PIC harus melakukan pengisian informasi RMA number, phone number dan origin city dengan melakukan pembukaan case 1 per 1 kepada case management untuk melengkapi data. Average per hari 15-20 cases dengan additional waktu 2 mins/case.</t>
  </si>
  <si>
    <t>Melakukan pembaharuan dan sosialisasi tambahan SOP pada saat melakukan request pickup via subtask yaitu dengan mengisi informasi berikut pada field subtask:
Field is complaint: origin city
Field Merchant code: customer/seller phone number
Field Airwaybill: RMA number</t>
  </si>
  <si>
    <t>https://gdncomm.sharepoint.com/:x:/s/Operation/EUluHMdE639OqgghKUTNDVUBgKeMX7hJZekMNt6aGjLRww?e=dxOznq</t>
  </si>
  <si>
    <r>
      <t>Faisal Wibowo</t>
    </r>
    <r>
      <rPr>
        <sz val="11"/>
        <color rgb="FF172B4D"/>
        <rFont val="-Apple-System"/>
        <charset val="1"/>
      </rPr>
      <t xml:space="preserve">
@syah.fauzi</t>
    </r>
  </si>
  <si>
    <t>Optimalisasi Penumpukan Barang di Storage Racking</t>
  </si>
  <si>
    <t>Ada berbagai ketinggian racking yang berbeda beda di WH Cikarang
Tidak ada standar baku untuk penumpukan barang elektronik
Analisa sebab:
1. Ketidaktahuan tim inbound storage mana yang tersedia, sehingga tumpukannya tidak maksimal
2. Membutuhkan banyak storage lokasi saat inbound barang elektronik</t>
  </si>
  <si>
    <t>Membuat rumusan excel sederhana untuk mengetahui storage mana yang tersedia agar bisa memaksimalkan tumpukan barang dan mengurangi jumlah penggunaan storage lokasi
Menyesuaikan Tumpukan Sesuai ketersediaan julam storage lokasi</t>
  </si>
  <si>
    <t>https://gdncomm.sharepoint.com/:x:/s/Operation/EYLg6trZf7lKnd2-DzwkuG8BshAk0T8_GxF2MS7-2X0JXA?e=N5unzv</t>
  </si>
  <si>
    <t>Emelia Silaen Hayatunnisa Hayatunnisa R Yudhawirawan Vinka Rosdianti</t>
  </si>
  <si>
    <t>Optimalisasi Suhu AC untuk Efisiensi Biaya</t>
  </si>
  <si>
    <t>Problem:
Area kerja terlalu dingin saat occupation rate rendah
Penggunaan listrik sebesar ± Rp. 8,854,825 untuk penggunaan AC yang dikontrol internal perbulannya
AC internal ON di suhu yang selalu sama , area kerja lebih dingin saat okupasi rendah
Rentang jam 19:00 - 23:00 pm , area lantai 5 hanya diisi oleh 10% dari 50% agent duty di kantor</t>
  </si>
  <si>
    <t>AC internal hanya ON dari jam 19:00 hingga 23:00 , dikarenakan pengurangan occupation 40% dari jam 23:00 - 07:00
AC internal hanya ON di lantai 3a (menghimbau 10% agent di lantai 3a untuk melanjutkan duty di lantai 3a)
Menaikan suhu 2° celcius saat menggunakan AC Internal</t>
  </si>
  <si>
    <t>https://gdncomm.sharepoint.com/:x:/s/Operation/EXuy3XhJXp5Fi5mDW3_PO-YBphJvFOvUE32mRVjE7OumHg?e=BJAOqE</t>
  </si>
  <si>
    <t>Inventory &amp; Asset Recovery</t>
  </si>
  <si>
    <t>Zahra Addini</t>
  </si>
  <si>
    <t>Otomasi Blast LAPER menggunakan Power Automate</t>
  </si>
  <si>
    <t>LAPER merupakan salah satu channel recovery aset retur dengan karyawan internal Blibli sebagai target customernya. Setiap hari selama tiga kali, staf Inventory &amp; Asset Recovery akan melakukan blast post di Teams untuk rincian produk yang akan dijual. TIM IAR perlu stand by sesuai jadwal LAPER tertentu untuk menyusun copywriting &amp; melakukan posting pada channel Promo Time sehingga menginterupsi kerja &amp; menyita waktu pekerjaan  (butuh waktu 15 menit/hari) dan seringkali tidak tepat waktu.</t>
  </si>
  <si>
    <t>Menghilangkan proses manual post LAPER dengan otomasi scheduler Power Automate, butuh waktu 6 menit/hari</t>
  </si>
  <si>
    <t>https://gdncomm.sharepoint.com/:x:/s/Operation/EcO0quUlsWhImb9s3PxJdB4BNheKPg2A5YzYLDs3KY0SSQ?e=betmi7</t>
  </si>
  <si>
    <t>Otomasi Email Konfirmasi Booking BAPER menggunakan Power Automate</t>
  </si>
  <si>
    <t>- BAPER merupakan salah satu channel recovery aset retur
- Tiap minggu dilakukan email konfirmasi booking BAPER untuk menginformasikan ke calon customer apakah dia mendapat produk yang dibooking atau tidak
- Konfirmasi booking dilakukan dengan membuat tabel-tabel pendukung &amp; membuat email secara manual
- Proses ini menghabiskan waktu dan seringkali tidak segera dikerjakan oleh admin karena akan mengganggu pekerjaan lainnya
Data before: 720 detik/hari</t>
  </si>
  <si>
    <t>Otomasi dengan Power Automate, waktu menjadi 6 menit/hari</t>
  </si>
  <si>
    <t>https://gdncomm.sharepoint.com/:x:/s/Operation/EdbukzNb6bJAiS85E6KGO6kBYXIPQMSDlx4oBNwPEGVXBA?e=STq4bH</t>
  </si>
  <si>
    <t>WHS IMS Neglasari</t>
  </si>
  <si>
    <r>
      <t>Sanni SanniHandi Kusworo</t>
    </r>
    <r>
      <rPr>
        <sz val="11"/>
        <color rgb="FF172B4D"/>
        <rFont val="-Apple-System"/>
        <charset val="1"/>
      </rPr>
      <t> </t>
    </r>
    <r>
      <rPr>
        <sz val="11"/>
        <color rgb="FF42526E"/>
        <rFont val="-Apple-System"/>
        <charset val="1"/>
      </rPr>
      <t>Ombun Soemantri</t>
    </r>
    <r>
      <rPr>
        <sz val="11"/>
        <color rgb="FF172B4D"/>
        <rFont val="-Apple-System"/>
        <charset val="1"/>
      </rPr>
      <t> </t>
    </r>
    <r>
      <rPr>
        <sz val="11"/>
        <color rgb="FF42526E"/>
        <rFont val="-Apple-System"/>
        <charset val="1"/>
      </rPr>
      <t>Win PurwantoWildan Zainal</t>
    </r>
  </si>
  <si>
    <t>Palletization of Stock Transfer</t>
  </si>
  <si>
    <t>Proses loading membutuhkan waktu 1.5 jam untuk setiap armada fuso IR Dedicated dan menggunakan TKBM
Proses unloading barang membutuhkan waktu 1.5 jam untuk setiap armada fuso IR Dedicated dan menggunakan TKBM
Proses Checking 1 jam 49 menit dikarenakakan barang harus dibuat perpallet per IR dari sebelumnya yang sudah disusun oleh TKBM</t>
  </si>
  <si>
    <t>Pengiriman IR dilakukan per pallet dengan di wrapping agar barang terjaga selama di perjalanan
Proses loading dan unloading menggunakan reachtruck untuk memudahkan dan mempercepat dan penyusunan di dalam mobil menggunakan hand pallet
Grouping barang IR dilakukan per pallet agar memudahkan proses checking
Tidak lagi menggunakan jasa TKBM untuk proses loading maupun unloading, cukup tim internal warehouse
Tidak melakukan print label, diganti dengan shipping label menggunakan kertas A4 karena barang sudah per pallet</t>
  </si>
  <si>
    <t>https://gdncomm.sharepoint.com/:x:/s/Operation/EZcHAuoxc8RLhmWwvzkc3q8BSICAtyV4jg1nNpKYYprn8A?e=z57Xqe</t>
  </si>
  <si>
    <t>WH Jaboetabek 1</t>
  </si>
  <si>
    <t>Faisal Wibowo
Hendra Sita Maulana
Rahmat</t>
  </si>
  <si>
    <t>Pemetaan Area BOPIS</t>
  </si>
  <si>
    <t>1. Pengambilan BOPIS sering parsial sehingga menyebabkan ketidaksesuaian antara sistem dan fisik per storage
2. Pada proses BOPIS beberapa kali ditemukan case kelebihan atau kekurangan kirim
3. Area staging BOPIS terbatas dan sulit untuk membedakan barang untuk buyer tertentu, sehingga HO menjadi lama
4. Total cost yang dibutuhkan untuk biaya investigasi, biaya penggantian loss barang, dan proses muat = Rp5,370,983</t>
  </si>
  <si>
    <t>1. Mengalokasikan area khusus untuk tambahan staging BOPIS
2. Picker dan Packer melakukan double checking dengan tanda tangan di dokumen picking list
3. Pengembangan Booking Calendar BOPIS dengan CT
4. Alokasi admin sebagai penanggung jawab proses BOPIS dan memberikan pelatihan kepada team BOPIS
5. Tidak ada lagi biaya investigasi dan penggantian loss barang
6. Akurasi stock lebih terjaga dan produk lebih cepat di HO ke buyer</t>
  </si>
  <si>
    <t>https://gdncomm.sharepoint.com/:x:/s/Operation/ERPZCr6AJv9DpjKPzj5O6nIB1Y6tE603zeosDRnvIBnEHQ?e=cHmCgF</t>
  </si>
  <si>
    <t>Titus Wahyu Kurniawandan tim Support WH Batu Ceper</t>
  </si>
  <si>
    <t>Penghematan Penggunaan AC Office</t>
  </si>
  <si>
    <t>1. Penggunaan AC tidak efisien (Office 41.2 sqm menggunakan 2 AC kapasitas 2 PK), sehingga tagihan listrik mahal.
2. Total pemakaian AC/bulan: 682.76 kWh
3. Biaya pemakaian AC/bulan: Rp1,414,378 (2 AC nyala)</t>
  </si>
  <si>
    <t>Hanya menggunakan 1 AC, sehingga dapat menghemat namun tidak ada efek signifikan pada pendinginan ruangan.</t>
  </si>
  <si>
    <t>https://gdncomm.sharepoint.com/:x:/s/Operation/EfDtpqR2UohClDl4FpnZXzEB3dmspu01jdbRDyutOSy4Zg?e=gb0RYQ</t>
  </si>
  <si>
    <t>Titus Wahyu Kurniawan dan tim Support</t>
  </si>
  <si>
    <t>1. Penggunaan AC tidak efisien (Office 28.08 sqm menggunakan 2 AC kapasitas 2 PK), sehingga tagihan listrik mahal.
2. Total pemakaian AC/bulan: 605.02 kWh
3. Biaya pemakaian AC/bulan: Rp1,253,335 (2 AC nyala)</t>
  </si>
  <si>
    <t>Hanya menggunakan 1 AC, sehingga dapat menghemat listrik dan kapasitas tersebut sudah lebih dari cukup.</t>
  </si>
  <si>
    <t>https://gdncomm.sharepoint.com/:x:/s/Operation/EfJoiklCYx1GmBNbAlMmOlEBGSBMB4alwwEoAoQXV5Ej7Q?e=AH4NSg</t>
  </si>
  <si>
    <r>
      <t>Suhandih, Sigit.Nugroho, </t>
    </r>
    <r>
      <rPr>
        <sz val="11"/>
        <color rgb="FF42526E"/>
        <rFont val="-Apple-System"/>
        <charset val="1"/>
      </rPr>
      <t>Daniel Sinjaya</t>
    </r>
    <r>
      <rPr>
        <sz val="11"/>
        <color rgb="FF172B4D"/>
        <rFont val="-Apple-System"/>
        <charset val="1"/>
      </rPr>
      <t> </t>
    </r>
    <r>
      <rPr>
        <sz val="11"/>
        <color rgb="FF42526E"/>
        <rFont val="-Apple-System"/>
        <charset val="1"/>
      </rPr>
      <t>Aldia Trispantia</t>
    </r>
  </si>
  <si>
    <t>Penghematan Tol Linehaul Sub Hub (Hub Tangerang Selatan dan Hub Bogor)</t>
  </si>
  <si>
    <t>-. Pengecekan subsidi bbm sebelumnya tidak termonitor daily basis
-. Driver selalu masuk tol dengan alasan lebih cepat. Namun, untuk beberapa rute kembali dapat menggunakan jalur non-tol, karena tidak dikejar waktu</t>
  </si>
  <si>
    <t>-. Merubah flow untuk reimbursement subsidi
'-. Menentukan rute yang perlu menggunakan jalur tol dan jalur non-tol
- Tangsel: mengurangi 6x pintu tol (3 tol di skema 1 balik Tangsel-IMS, dan 3 tol di skema 3 balik Tangsel-IMS)
Pintu tol: Tol Bintaro 2, Tol Pondok Ranji, dan Tol Buaran Indah 2
- Bogor: mengurangi 1x pintu tol (skema 3 balik Bogor-Sentul)
Pintu tol: Tol lingkar Bogor</t>
  </si>
  <si>
    <t>https://gdncomm.sharepoint.com/:x:/s/Operation/ESaGLJw56DNFlVETK22xm6sBw4TBUM8ezk9xV6nNcTxNIg?e=ZUJ0jl</t>
  </si>
  <si>
    <t xml:space="preserve">
WH Jabodetabek 1</t>
  </si>
  <si>
    <t>Medan Satria</t>
  </si>
  <si>
    <t>Maireni Maireni
Made Datu
Nisaul Aulia</t>
  </si>
  <si>
    <t>Penjualan Barang Nearly Expired (NEX) di WH Medan Satria Non Distribusi dengan sistem Bukalapak (Booth BAZAR)</t>
  </si>
  <si>
    <t>Problem:
Barang NEX dan sudah dapat harga dari TP banyak tidak terjual karena menggunakan sistem link, dimana customer WH tidak melihat fisik secara langsung. Produk yang dibeli by link hanya untuk produk dengan nama-nama yang sering dilihat.
Produk yang dipesan belum tentu diambil oleh pemesan meskipun sudah isi link, sehingga produk jadi lama habis
Si pembeli belum tentu dapat produk meskipun sudah isi link. Pengecekan dilakukan 1 per 1 oleh pic stock control
Proses Pembayaran dari si pemesan ke tim Stock control yang lumayan makan waktu, dimana produk dibayarkan ketika sudah dapat barang, bisa sampai 3 hari. dan belum tentu akan diambil.</t>
  </si>
  <si>
    <t>Pembuatan booth bazar dimana hanya dijaga oleh admin bazar - stock control
Barang NEX cepat habis tanpa harus menunggu expired lalu BAC karena akan terjadi penumpukan barang di WH setelah di adjuts stock/potong stock
Pembelian dapat dilakukan dalam jumlah banyak dan tidak ada batas pembelian selagi produk masih tersedia di booth
produk langsung bisa di lihat secara langsung dan dapat dipilih
Tim WH langsung mendapatkan produk yang diinginkan dan dapat langsung dibawa setelah dilakukan pembayaran - pengecekan pengeluaran barang dilakukan di bodycheck security
pengeluaran barang NEX dan adjust stock lebih cepat sehingga menurunkan stock yang ada di non distribusi
Setelah adanya booth bazar ini Banyak peminat baik dari tim WH maupun dari pihak external</t>
  </si>
  <si>
    <t>https://gdncomm.sharepoint.com/:x:/s/Operation/Ed1WNVPRU3hOjvITdaYket8BJ_IHuEDUhx2hEAOtdEeZNQ?e=UD2qkw</t>
  </si>
  <si>
    <t>TWICE HQ</t>
  </si>
  <si>
    <r>
      <t>Irwan Istiyawan</t>
    </r>
    <r>
      <rPr>
        <sz val="11"/>
        <color rgb="FF172B4D"/>
        <rFont val="-Apple-System"/>
        <charset val="1"/>
      </rPr>
      <t> </t>
    </r>
    <r>
      <rPr>
        <sz val="11"/>
        <color rgb="FF42526E"/>
        <rFont val="-Apple-System"/>
        <charset val="1"/>
      </rPr>
      <t>Mei Fitria Handayani</t>
    </r>
    <r>
      <rPr>
        <sz val="11"/>
        <color rgb="FF172B4D"/>
        <rFont val="-Apple-System"/>
        <charset val="1"/>
      </rPr>
      <t> </t>
    </r>
    <r>
      <rPr>
        <sz val="11"/>
        <color rgb="FF42526E"/>
        <rFont val="-Apple-System"/>
        <charset val="1"/>
      </rPr>
      <t>Deni Widendra</t>
    </r>
    <r>
      <rPr>
        <sz val="11"/>
        <color rgb="FF172B4D"/>
        <rFont val="-Apple-System"/>
        <charset val="1"/>
      </rPr>
      <t> </t>
    </r>
    <r>
      <rPr>
        <sz val="11"/>
        <color rgb="FF42526E"/>
        <rFont val="-Apple-System"/>
        <charset val="1"/>
      </rPr>
      <t>Anggita anggita</t>
    </r>
  </si>
  <si>
    <t>Penyesuaian Pemesanan Jumlah Catering Sesuai dengan Jumlah Staff WFO pada Kantor WTC</t>
  </si>
  <si>
    <t>Problem: Permintaan 86% dari jumlah staff WFO dengan rata-rata jumlah actual staff WFO masih dibawah jumlah catering yang dipesan sehingga terdapat catering yang tersisa
Data before improvement: Permintaan catering sejumlah 86% dari total staff WTC (43 box dari 50 box)</t>
  </si>
  <si>
    <t xml:space="preserve">
- Pendataan Staff CS WTC yang akan WFO melalui form untuk kebutuhan 1 minggu kedepannya
- Jumlah catering yang dipesan disesuaikan sama dengan jumlah staff WFO</t>
  </si>
  <si>
    <t>https://gdncomm.sharepoint.com/:x:/s/Operation/EcDlHVON-SNNrfh4JLnb5_0B09SSUqApTv4-gZKSgEmHpQ?e=GtV6ev</t>
  </si>
  <si>
    <t>Batu Ceper</t>
  </si>
  <si>
    <t>Titus Wahyu Kurniawan dan TL Fulfillment WH Batu Ceper (Johan dan Asip)</t>
  </si>
  <si>
    <t>Perapian Catatan/Log Peminjaman Device Picking</t>
  </si>
  <si>
    <t>Process before: (1). Peminjaman device dicatat menggunakan kertas; (2). Tidak diketahui jam pinjam dan kembali device; (3). Pencatatan peminjaman device manual memakan waktu dan catatan/log rawan hilang.</t>
  </si>
  <si>
    <t>Pembuatan log form menggunakan Ms. Excel untuk membantu mencatat peminjaman dan pengembalian device picking. Form ini tidak menggunakan macro berlebih sehingga lebih ringan dan tidak lambat ketika dibuka di PC Team Leader.
Benefit:
Time saving untuk mendata peminjaman device naik (on average) 92%
Penghematan kertas A5 buram sebagai catatan manual sebanyak 100%
Meningkatkan traceability dan accountability peminjaman device picking.
Dengan menggunakan file peminjaman device picking baru (revamped) dapat mereduksi waktu yang terbuang untuk mencatat peminjaman device picking. Maka benefit by value diperkirakan kurang lebih IDR 408.467/bulan (IDR 4,9Juta/tahun)</t>
  </si>
  <si>
    <t>https://gdncomm.sharepoint.com/:x:/s/Operation/EaFIZd9V6ZRMm_g46KK4qPEB7p2F6SqHF8-Gj8BX8DMbbQ?e=x7Up7u</t>
  </si>
  <si>
    <t>Electricity
Paper</t>
  </si>
  <si>
    <t>Time
Paper</t>
  </si>
  <si>
    <t>5.08
30</t>
  </si>
  <si>
    <t>hour
pcs A5 buram</t>
  </si>
  <si>
    <t>WH Jabodetabek</t>
  </si>
  <si>
    <t>Titus Wahyu Kurniawan dan outbound team Warehouse Batu Ceper</t>
  </si>
  <si>
    <t>Perubahan Shipping Label BES-SD-KM (BES Instan)</t>
  </si>
  <si>
    <t>Problem Statement dan Process Before:
Shipping label antara BES-SD-KM dan BES-SD memiliki pola/penanda yang sama
Ketika proses GIN, bila tim outbound tidak sadar itu adalah paket BES-SD-KM akan dimasukkan ke staging area BES (tercampur).
Bila sudah tercampur di staging outbound BES, membutuhkan waktu untuk membongkar dan mencari paket BES-SD-KM.
Sempat diakali dengan memberikan warna (distabilo) pada shipping label ketika selesai packing</t>
  </si>
  <si>
    <t>Improvement &amp; Implementation:
Mengkomunikasikan ke tim PIR (dibantu oleh Aditya Prakoso ) untuk dilakukan perubahan pola/penanda shipping label.</t>
  </si>
  <si>
    <t>https://gdncomm.sharepoint.com/:x:/s/Operation/EWgGp34ObQxMhNqoHnZCnAYBMePMJ-XJKp3VguGqZEgjUA?e=vwbVCx</t>
  </si>
  <si>
    <t>WH batu ceper</t>
  </si>
  <si>
    <t>WH Samsung Kosambi</t>
  </si>
  <si>
    <t>Rommy Putra Gazali @javandra angga ibnu</t>
  </si>
  <si>
    <t>Perubahan Shipping Label FAS BES Express Samsung project</t>
  </si>
  <si>
    <t>Waktu pencarian dan pemisahan barang jika tercampur di staging antara BES Express dan BES Reguler membutuhkan waktu karena pola/penanda yang sama. Waktu yang dibutuhkan (simulasi) dalam 1 pallet dg asumsi q pallet terdiri dari 50 paket adalah 14 menit</t>
  </si>
  <si>
    <t>Penggantian pola/penanda shipping label BES Express, sehingga waktu pencarian dan pemisahan jika tercampur menjadi 7 menit/pallet, mempercepat proses outbond.</t>
  </si>
  <si>
    <t>https://gdncomm.sharepoint.com/:x:/s/Operation/EbmInxjVhzFEtDJklO7Nn7EBzaFxcdAMLvS0ep2UNLl8Lw?e=SbJZDM</t>
  </si>
  <si>
    <t>WH Samsung</t>
  </si>
  <si>
    <t>Gilang Giffary Rommy Putra Gazali Galih Rizki Ferdi Ferdi</t>
  </si>
  <si>
    <t>Proses Weight Capture Proses IR Transfer Shipment</t>
  </si>
  <si>
    <t>Saat menimbang berat yang ditimbang adalah berat dalam 1 TIN. Jadi saat submit dalam surat jalan ada 1 nilai berat dalam 1 TIN dengan beberapa container/box
Analisa sebab:
Pada system tidak ada gap validasi;
Tidak tahu apakah barang itu kurang atau lebih;
Jika ada kurang atau lebih tidak tahu di box/container mana karena berat dalam 1 TIN dan terdiri lebih dari 1 box/container;
Kemungkinan akan bisa nyasar salah 1 dari total box tersebut;
Ada kemungkinan dalam 1 box/container itu antara TS dan barang tidak sesuai</t>
  </si>
  <si>
    <t>1. Tim TS akan menarik data jasper sto068 untuk dimasukkan dalam master excel weight capture TS yang sudah ada sto051;
2. Kemudian scan barcode TS atau IRB guna mengetahui barang apa saja yang ada di dalamnya;
3. Akan muncul berat total secara teori yang akan dibandingkan berat actual dari timbangan;</t>
  </si>
  <si>
    <t>https://gdncomm.sharepoint.com/:x:/s/Operation/Ecx-7xz3IUhBiz1kotQ18wYBdlLNCQSQXTAtc8TKIN_8FA?e=TblnJF</t>
  </si>
  <si>
    <t>WH Batu Ceper (offline)</t>
  </si>
  <si>
    <t>Muhamad Syarief
Haris Triraditia</t>
  </si>
  <si>
    <t>Re-design Kartu Garansi for Iphone</t>
  </si>
  <si>
    <t>Kartu garansi belum dilipat
Penempelan kartu garansi dilakukan per pcs dan membutuhkan waktu lebih lama, lalu harus buka label per pcs saat scan imei, potensi defect
Waktu yang dibutuhkan untuk melipat + menempel + scan: 75 detik/karton</t>
  </si>
  <si>
    <t>Menghilangkan proses melipat dan menempelkan kartu garansi, digantikan dengan pengadaan kartu garansi yang sudah dilipat dan memberikan kartu garansi setiap 10 pcs (tanpa ditempel). Waktu yang dibutuhkan menjadi 12 detik/karton</t>
  </si>
  <si>
    <t>https://gdncomm.sharepoint.com/:x:/s/Operation/EUFwz0OI1uxMu0wv38VDey4ByAm65l_CAD_Ot5s-cFnXYw?e=cBqaAD</t>
  </si>
  <si>
    <t>Raimund Gunawan</t>
  </si>
  <si>
    <t>Reduce 1 Trip Linehaul Joglosemar Midnight</t>
  </si>
  <si>
    <t>- Muatan Linehaul Joglosemar Trip Siang kurang memaksimalkan kapasitas Truk karena Load Linehaul Dipecah menjadi 2 Trip yaitu Siang ( SMG - SOC &amp; SMG - JOG ) dan Dinihari ( SMG - SOC - JOG ).</t>
  </si>
  <si>
    <t>- Menghilangkan Trip Joglosemar Dinihari, dan memaksimalkan Linehaul di Siang hari</t>
  </si>
  <si>
    <t>https://gdncomm.sharepoint.com/:x:/s/Operation/EQ-fJdZsLHZEhsfCjMpvhHIB6pN-XTvWQJp40sBCp-_-WQ?e=V3yT4J</t>
  </si>
  <si>
    <t>WH Bandar Lampung</t>
  </si>
  <si>
    <t>Daniala Kenedy</t>
  </si>
  <si>
    <t>Saving Cost Bin Box</t>
  </si>
  <si>
    <t>1. Proses pengadaan Bin Box membutuhkan waktu untuk request ke Tim CT, order, dan pengiriman
2. Harga 1 bin box: Rp10,700</t>
  </si>
  <si>
    <t>Menggunakan material kardus bekas sebagai bahan pembuatan Bin Box, sehingga mengurangi waktu request &amp; pembelian, jumlah bisa menyesuaikan kebutuhan (tidak ada min/max order), waktu pembuatan bin box 4 menit/pcs.</t>
  </si>
  <si>
    <t>https://gdncomm.sharepoint.com/:p:/s/Operation/EYW57MulPmJIr1oFSPCEtMMBYSX1pPmSSeLaflo1cQDvaQ?e=GM5VY5</t>
  </si>
  <si>
    <t>WH Lampung</t>
  </si>
  <si>
    <t>Wh Makassar</t>
  </si>
  <si>
    <t>Iman Iskandar    Daniala Kenedy</t>
  </si>
  <si>
    <t>Saving Cost Penggunaan Trash Bag</t>
  </si>
  <si>
    <t>Melakukan pergantian trash bag setiap hari, pembelian setiap bulan adalah 12 pack (1 pack = 5 pcs, 1 hari menggunakan 2 pcs, harga Rp9,000/pack)</t>
  </si>
  <si>
    <t>Trash bag digantikan dengan plastik pembungkus bubble wrap sehingga tidak dibutuhkan pembelian trash bag</t>
  </si>
  <si>
    <t>https://gdncomm.sharepoint.com/:p:/s/Operation/EW2OFLDtJj9Nq3-XeHqvKhEBb69bm0PpSkLlGvm0Yystgw?e=Z9oVVg</t>
  </si>
  <si>
    <t>Plastic</t>
  </si>
  <si>
    <t>Nadhiira Alifah Igih Fauzi Fadillah Ellisa Kristiana Hayatunnisa Hayatunnisa Gadis Karesa</t>
  </si>
  <si>
    <t>Simplifikasi proses informasi refund customer dengan kalkulator refund</t>
  </si>
  <si>
    <t>Agent perlu hitung manual untuk informasi SLA refund customer, setiap metode bayar memiliki SLA refund yang berbeda-beda, sehingga berpotensi salah terkait info tanggal refund customer. Waktu yang dibutuhkan agent untuk hitung manual adalah 233 detik/case (avg 413 case/hari).</t>
  </si>
  <si>
    <t>Pembuatan kalkulator refund dan standar komunikasi yang lebih efisien, waktu menjadi 211 detik dan meminimalisasi human error.</t>
  </si>
  <si>
    <t>https://gdncomm.sharepoint.com/:x:/s/Operation/EQgQ-QIGe5dMmF7B1cKLyRAB7hq6yr-ZeddKyVPLEoUxdA?e=1eRUKZ</t>
  </si>
  <si>
    <t>RM Team</t>
  </si>
  <si>
    <t>Ritzke Aisyarah Titis Ekky Krisnanda Dwina M. Christy</t>
  </si>
  <si>
    <t>Simplify Fraud Recap</t>
  </si>
  <si>
    <t>Terdapat banyak report fraud recap yang terpisah-pisah sehingga membutuhkan waktu yang cukup lama untuk melakukan recap dan analisis datanya yaitu selama 167 menit
Analisa sebab:
1. Tim RM memerlukan satu file compilation terkait sanggah transaksi yang memiliki sumber input data yang beragam
2. File compilation diperlukan untuk mempermudah analisis, improvement rule, serta decision making
3. Analisis ini diperlukan untuk mengurangi adanya fraud loss payment di masa yang akan datang</t>
  </si>
  <si>
    <t>Simplify fraud recap kedalam 1 file</t>
  </si>
  <si>
    <t>https://gdncomm.sharepoint.com/:x:/s/Operation/EVdIiSrn0bVAmq7t1GbWxXsBBNgog4_HGn-HFm0TSbJ7NQ?e=Ghvf5b</t>
  </si>
  <si>
    <t>Risk &amp; payment</t>
  </si>
  <si>
    <r>
      <t>Ryan Wirjan</t>
    </r>
    <r>
      <rPr>
        <sz val="11"/>
        <color rgb="FF172B4D"/>
        <rFont val="-Apple-System"/>
        <charset val="1"/>
      </rPr>
      <t> </t>
    </r>
    <r>
      <rPr>
        <sz val="11"/>
        <color rgb="FF42526E"/>
        <rFont val="-Apple-System"/>
        <charset val="1"/>
      </rPr>
      <t>Josephine Helbert</t>
    </r>
    <r>
      <rPr>
        <sz val="11"/>
        <color rgb="FF172B4D"/>
        <rFont val="-Apple-System"/>
        <charset val="1"/>
      </rPr>
      <t> </t>
    </r>
    <r>
      <rPr>
        <sz val="11"/>
        <color rgb="FF42526E"/>
        <rFont val="-Apple-System"/>
        <charset val="1"/>
      </rPr>
      <t>Nucke Aurelia</t>
    </r>
  </si>
  <si>
    <t>Streamlining Investigation Performance Review with GDS Dashboard</t>
  </si>
  <si>
    <t>Perhitungan % Investigation Handling Time sebagai salah satu hal yang penting untuk diukur di reverse logistic masih dilakukan secara manual
Tidak memiliki visibility langsung untuk mengetahui performa dari investigasi logistik per hari nya
Proses kalkulasi data untuk menghitung % Investigation Handling Time menggunakan cara manual dilakukan dalam waktu 11:07 menit</t>
  </si>
  <si>
    <t>Proses kalkulasi dari Investigation Handling Time performance dapat dilakukan dengan lebih mudah melalui GDS tanpa adanya perhitungan manual dan mengurangi waktu sebanyak 5 menit 14 detik per hari nya</t>
  </si>
  <si>
    <t>https://gdncomm.sharepoint.com/:x:/s/Operation/EcHvn6vPnL9Ah_fgePwCBZABMRIw4Fa8cafRKN2PAwG66Q?e=mb3fdf</t>
  </si>
  <si>
    <r>
      <t>Ryan Wirjan</t>
    </r>
    <r>
      <rPr>
        <sz val="11"/>
        <color rgb="FF172B4D"/>
        <rFont val="-Apple-System"/>
        <charset val="1"/>
      </rPr>
      <t>, </t>
    </r>
    <r>
      <rPr>
        <sz val="11"/>
        <color rgb="FF42526E"/>
        <rFont val="-Apple-System"/>
        <charset val="1"/>
      </rPr>
      <t>Josephine Helbert</t>
    </r>
    <r>
      <rPr>
        <sz val="11"/>
        <color rgb="FF172B4D"/>
        <rFont val="-Apple-System"/>
        <charset val="1"/>
      </rPr>
      <t>, </t>
    </r>
    <r>
      <rPr>
        <sz val="11"/>
        <color rgb="FF42526E"/>
        <rFont val="-Apple-System"/>
        <charset val="1"/>
      </rPr>
      <t>Nucke Aurelia</t>
    </r>
    <r>
      <rPr>
        <sz val="11"/>
        <color rgb="FF172B4D"/>
        <rFont val="-Apple-System"/>
        <charset val="1"/>
      </rPr>
      <t>and reverse team</t>
    </r>
  </si>
  <si>
    <t>Streamlining Send Scheduling with Seller Return Address in GDS</t>
  </si>
  <si>
    <t>Penjadwalan barang retur dari WH return untuk dikirim ke seller dalam prosesnya masih terdapat proses manual yang tidak diperlukan, dimana untuk mendapatkan data alamat return address yang sudah ditentukan oleh seller, PIC harus export  RMA15, kemudian copy data merchant code pada RMA15 dan input di RMA27, kemudian download hasil RMA27 dan diinput kepada file excel yang akan dikirim ke logistic partner. Proses penjadwalan send MP dengan multiple export dan manual lookup ini memakan waktu kurang lebih 53 menit/hari.</t>
  </si>
  <si>
    <t>Pembuatan GDS seller return address untuk menggabungkan seluruh data RMA15 dan RMA27, sehingga PIC cukup melakukan 1x export saja dari GDS untuk proses penjadwalan send.</t>
  </si>
  <si>
    <t>https://gdncomm.sharepoint.com/:x:/s/Operation/EQHfbo0QusVKvwX04rSYPOUBtGdBrw20WglTYlxrMzidUw?e=9sAp5I</t>
  </si>
  <si>
    <t>Reverse Logistic &amp; Claim Management</t>
  </si>
  <si>
    <r>
      <t>Ryan Wirjan</t>
    </r>
    <r>
      <rPr>
        <sz val="11"/>
        <color rgb="FF172B4D"/>
        <rFont val="-Apple-System"/>
        <charset val="1"/>
      </rPr>
      <t> </t>
    </r>
    <r>
      <rPr>
        <sz val="11"/>
        <color rgb="FF42526E"/>
        <rFont val="-Apple-System"/>
        <charset val="1"/>
      </rPr>
      <t>Josephine Helbert</t>
    </r>
    <r>
      <rPr>
        <sz val="11"/>
        <color rgb="FF172B4D"/>
        <rFont val="-Apple-System"/>
        <charset val="1"/>
      </rPr>
      <t> </t>
    </r>
    <r>
      <rPr>
        <sz val="11"/>
        <color rgb="FF42526E"/>
        <rFont val="-Apple-System"/>
        <charset val="1"/>
      </rPr>
      <t>Delfina Sutanjie</t>
    </r>
    <r>
      <rPr>
        <sz val="11"/>
        <color rgb="FF172B4D"/>
        <rFont val="-Apple-System"/>
        <charset val="1"/>
      </rPr>
      <t> </t>
    </r>
    <r>
      <rPr>
        <sz val="11"/>
        <color rgb="FF42526E"/>
        <rFont val="-Apple-System"/>
        <charset val="1"/>
      </rPr>
      <t>Yunika Nurmalia</t>
    </r>
  </si>
  <si>
    <t>Streamlit Development for Faster ROP Creation</t>
  </si>
  <si>
    <t>Proses update database pickup masih dilakukan secara manual dengan cara copy-paste dan lookup ke RMA11 &amp; daily report logistik
Database pickup merupakan sumber data yang juga akan digunakan oleh team claim management (ROP) untuk proses claim ke insurance partner, namun masih sering terjadi delay pengiriman data karena data dipindahkan terlebih dahulu ke file excel lainnya sebelum dikirimkan kepada team claim management</t>
  </si>
  <si>
    <t>Pembuatan streamlit yang dapat meng-compile data file penjadwalan pickup ke logistik, daily report logistik, dan RMA07 menjadi satu database dengan template ROP yang dapat langsung digunakan oleh team claim
Streamlit akan digunakan secara daily oleh team reverse logistic untuk proses daily reporting yang hasilnya dapat ditarik oleh team claim sesuai dengan jangka waktu yang dibutuhkan</t>
  </si>
  <si>
    <t>https://gdncomm.sharepoint.com/:x:/s/Operation/EfQiBvjHLjNLvWN1UjLmTnkBQqExmpPvWNu26slm_12y5w?e=VGI3bJ</t>
  </si>
  <si>
    <t>Titus Wahyu Kurniawan, Angelia Tirta</t>
  </si>
  <si>
    <t>Utilisasi Report X-Inventory vs Stockholm untuk Mencari Gap Stock</t>
  </si>
  <si>
    <t>1. Banyak barang tidak terjual dan menjadi aging/dead stock karena terdapat selisih antara X-Inventory dan Stockholm (qty X-Inventory = 0 namun terdapat qty pada storage, WH, dan physical qty). Tarikan data pada 11 Agustus 2023 di 3 warehouse (Ceper, IMS, WSK), terdapat 83 SKU (qty 631 item) dengan total value Rp68 juta.
2. Membutuhkan waktu yang lama untuk mencari dan mengidentifikasi discrepancy stock yang ada (estimasi 1 hari).</t>
  </si>
  <si>
    <t>1. Menggunakan tarikan data GDS untuk melakukan komparasi antara X-Inventory (0pcs) dengan data Stockholm, melakukan pengecekan fisik, membuat JIRA SCPS agar stock X-Inventory disamakan dengan hasil tarikan dan verifikasi agar barang yang selisih sistem dapat kembali terjual.
2. Data tarikan diperluas ke 6 warehouse di Jabodetabek (Ceper, IMS, Cawang, Sentul, WSK, Cikarang), ditemukan adanya discrepancy dengan total nilai sebesar +- Rp138 juta
3. Mempercepat identifikasi stock discrepancy, maksimal menjadi 30 menit
4. Mengurangi kebutuhan 1 orang admin untuk mengerjakan discrepancy (2 shift, masing-masing shift 1 orang) untuk melakukan cek discrepancy</t>
  </si>
  <si>
    <t>https://gdncomm.sharepoint.com/:x:/s/Operation/ETPEYWu76mhIh-dnbfxVHd0BN8TMvYXoQSSfA8yR7veIoQ?e=Zeftnl</t>
  </si>
  <si>
    <t>Reverse Logistic &amp; Return Dispute</t>
  </si>
  <si>
    <r>
      <t>Ryan Wirjan</t>
    </r>
    <r>
      <rPr>
        <sz val="11"/>
        <color rgb="FF172B4D"/>
        <rFont val="-Apple-System"/>
        <charset val="1"/>
      </rPr>
      <t>, </t>
    </r>
    <r>
      <rPr>
        <sz val="11"/>
        <color rgb="FF42526E"/>
        <rFont val="-Apple-System"/>
        <charset val="1"/>
      </rPr>
      <t>Josephine Helbert</t>
    </r>
    <r>
      <rPr>
        <sz val="11"/>
        <color rgb="FF172B4D"/>
        <rFont val="-Apple-System"/>
        <charset val="1"/>
      </rPr>
      <t> </t>
    </r>
    <r>
      <rPr>
        <sz val="11"/>
        <color rgb="FF42526E"/>
        <rFont val="-Apple-System"/>
        <charset val="1"/>
      </rPr>
      <t>Annissa Meuthia Kasih Daulay</t>
    </r>
    <r>
      <rPr>
        <sz val="11"/>
        <color rgb="FF172B4D"/>
        <rFont val="-Apple-System"/>
        <charset val="1"/>
      </rPr>
      <t> </t>
    </r>
    <r>
      <rPr>
        <sz val="11"/>
        <color rgb="FF42526E"/>
        <rFont val="-Apple-System"/>
        <charset val="1"/>
      </rPr>
      <t>Nucke Aurelia</t>
    </r>
  </si>
  <si>
    <t>VIP Solution GDS (collab with Return and Dispute)</t>
  </si>
  <si>
    <t>Salah satu strategi untuk meningkatkan return handling time adalah dengan memberikan solusi lebih dahulu kepada kasus retur dengan nilai maksimal Rp 250.000 dengan syarat produk sudah diserahkan customer kepada logistik (dalam pengiriman ke WH Blibli). Dalam proses pemberian VIP solution, masih terdapat delay dan proses manual dari tim reverse logistic untuk notify tim solusi kasus retur mana saja yang masuk dalam requirement tersebut melalui pemberian label RMA saat monitoring shipment dilakukan.</t>
  </si>
  <si>
    <t>Pembuatan GDS dilakukan agar tim solusi tidak perlu menunggu tim reverse memberikan label RMA melainkan dari dashboard bisa langsung diexport kasus mana saja yang sudah dihandover ke 3PL (API dan non API return method). Khusus untuk non API yaitu metode dijemput oleh Blibli, setelah tim reverse melakukan look up report update dari report yang dikirimkan 3PL setiap harinya, status case yang eligible untuk VIP solution akan langsung reflect kepada GDS VIP solution.</t>
  </si>
  <si>
    <t>https://gdncomm.sharepoint.com/:x:/s/Operation/EbeBF354cORLnVr5CR5r7RkBzJgkj1muyeh8WjPTtsYcpw?e=JsklCG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</si>
</sst>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_(* #,##0.0_);_(* \(#,##0.0\);_(* &quot;-&quot;??_);_(@_)"/>
    <numFmt numFmtId="166" formatCode="[$IDR]\ #,##0"/>
    <numFmt numFmtId="167" formatCode="0.0"/>
    <numFmt numFmtId="168" formatCode="_([$Rp-421]* #,##0_);_([$Rp-421]* \(#,##0\);_([$Rp-421]* &quot;-&quot;_);_(@_)"/>
  </numFmts>
  <fonts count="33">
    <font>
      <sz val="11"/>
      <color theme="1"/>
      <name val="Calibri"/>
      <family val="2"/>
      <scheme val="minor"/>
    </font>
    <font>
      <sz val="11"/>
      <color theme="1"/>
      <name val="Calibri"/>
      <family val="2"/>
      <scheme val="minor"/>
    </font>
    <font>
      <u/>
      <sz val="11"/>
      <color theme="10"/>
      <name val="Calibri"/>
      <family val="2"/>
      <scheme val="minor"/>
    </font>
    <font>
      <b/>
      <sz val="11"/>
      <color theme="1"/>
      <name val="Calibri"/>
      <family val="2"/>
      <scheme val="minor"/>
    </font>
    <font>
      <b/>
      <sz val="8"/>
      <color theme="1"/>
      <name val="Calibri"/>
      <family val="2"/>
      <scheme val="minor"/>
    </font>
    <font>
      <b/>
      <sz val="11"/>
      <name val="Calibri"/>
      <family val="2"/>
      <scheme val="minor"/>
    </font>
    <font>
      <sz val="11"/>
      <color rgb="FF172B4D"/>
      <name val="-Apple-System"/>
      <charset val="1"/>
    </font>
    <font>
      <sz val="11"/>
      <color rgb="FF42526E"/>
      <name val="-Apple-System"/>
      <charset val="1"/>
    </font>
    <font>
      <sz val="11"/>
      <color rgb="FF000000"/>
      <name val="-Apple-System"/>
      <charset val="1"/>
    </font>
    <font>
      <sz val="11"/>
      <color rgb="FF42526E"/>
      <name val="-Apple-System"/>
    </font>
    <font>
      <sz val="11"/>
      <color rgb="FF172B4D"/>
      <name val="-Apple-System"/>
    </font>
    <font>
      <sz val="11"/>
      <color rgb="FF444444"/>
      <name val="-Apple-System"/>
    </font>
    <font>
      <sz val="11"/>
      <color rgb="FF323130"/>
      <name val="-Apple-System"/>
      <charset val="1"/>
    </font>
    <font>
      <sz val="11"/>
      <color rgb="FF000000"/>
      <name val="Calibri"/>
      <family val="2"/>
    </font>
    <font>
      <b/>
      <sz val="9"/>
      <color indexed="81"/>
      <name val="Tahoma"/>
      <family val="2"/>
    </font>
    <font>
      <sz val="9"/>
      <color indexed="81"/>
      <name val="Tahoma"/>
      <family val="2"/>
    </font>
    <font>
      <sz val="11"/>
      <color rgb="FF333333"/>
      <name val="Arial"/>
      <family val="2"/>
    </font>
    <font>
      <strike/>
      <sz val="11"/>
      <color theme="1"/>
      <name val="Calibri"/>
      <family val="2"/>
      <scheme val="minor"/>
    </font>
    <font>
      <i/>
      <sz val="11"/>
      <color theme="1"/>
      <name val="Calibri"/>
      <family val="2"/>
      <scheme val="minor"/>
    </font>
    <font>
      <u/>
      <sz val="11"/>
      <color theme="1"/>
      <name val="Calibri"/>
      <family val="2"/>
      <scheme val="minor"/>
    </font>
    <font>
      <sz val="11"/>
      <name val="Calibri"/>
      <family val="2"/>
      <scheme val="minor"/>
    </font>
    <font>
      <sz val="10"/>
      <name val="ＭＳ Ｐゴシック"/>
      <family val="3"/>
      <charset val="128"/>
    </font>
    <font>
      <sz val="13"/>
      <name val="Calibri"/>
      <family val="2"/>
      <scheme val="minor"/>
    </font>
    <font>
      <sz val="11"/>
      <color rgb="FF000000"/>
      <name val="Calibri"/>
      <family val="2"/>
      <scheme val="minor"/>
    </font>
    <font>
      <sz val="13"/>
      <color rgb="FF000000"/>
      <name val="Calibri"/>
      <family val="2"/>
      <scheme val="minor"/>
    </font>
    <font>
      <sz val="12"/>
      <color theme="1"/>
      <name val="Times New Roman"/>
      <family val="1"/>
    </font>
    <font>
      <b/>
      <sz val="12"/>
      <color theme="1"/>
      <name val="Times New Roman"/>
      <family val="1"/>
    </font>
    <font>
      <sz val="7"/>
      <color theme="1"/>
      <name val="Times New Roman"/>
      <family val="1"/>
    </font>
    <font>
      <u/>
      <sz val="12"/>
      <color theme="1"/>
      <name val="Times New Roman"/>
      <family val="1"/>
    </font>
    <font>
      <sz val="10"/>
      <color theme="1"/>
      <name val="Wingdings"/>
      <charset val="2"/>
    </font>
    <font>
      <sz val="10"/>
      <color theme="1"/>
      <name val="Symbol"/>
      <family val="1"/>
      <charset val="2"/>
    </font>
    <font>
      <b/>
      <i/>
      <sz val="12"/>
      <color theme="1"/>
      <name val="Times New Roman"/>
      <family val="1"/>
    </font>
    <font>
      <sz val="10"/>
      <color theme="1"/>
      <name val="Times New Roman"/>
      <family val="1"/>
    </font>
  </fonts>
  <fills count="21">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D9D9D9"/>
        <bgColor indexed="64"/>
      </patternFill>
    </fill>
    <fill>
      <patternFill patternType="solid">
        <fgColor rgb="FFFFFFFF"/>
        <bgColor indexed="64"/>
      </patternFill>
    </fill>
    <fill>
      <patternFill patternType="solid">
        <fgColor rgb="FFFFCCFF"/>
        <bgColor indexed="64"/>
      </patternFill>
    </fill>
    <fill>
      <patternFill patternType="solid">
        <fgColor rgb="FFBFBFBF"/>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rgb="FF92D050"/>
        <bgColor indexed="64"/>
      </patternFill>
    </fill>
    <fill>
      <patternFill patternType="solid">
        <fgColor rgb="FFFFFFFF"/>
        <bgColor rgb="FF000000"/>
      </patternFill>
    </fill>
  </fills>
  <borders count="38">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rgb="FF000000"/>
      </left>
      <right/>
      <top style="medium">
        <color rgb="FF000000"/>
      </top>
      <bottom/>
      <diagonal/>
    </border>
    <border>
      <left/>
      <right/>
      <top style="medium">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thin">
        <color indexed="64"/>
      </right>
      <top/>
      <bottom style="thin">
        <color indexed="64"/>
      </bottom>
      <diagonal/>
    </border>
    <border>
      <left style="thin">
        <color rgb="FFC1C7D0"/>
      </left>
      <right style="thin">
        <color rgb="FFC1C7D0"/>
      </right>
      <top style="thin">
        <color rgb="FFC1C7D0"/>
      </top>
      <bottom style="thin">
        <color rgb="FFC1C7D0"/>
      </bottom>
      <diagonal/>
    </border>
    <border>
      <left style="thin">
        <color indexed="64"/>
      </left>
      <right style="thin">
        <color indexed="64"/>
      </right>
      <top/>
      <bottom/>
      <diagonal/>
    </border>
    <border>
      <left/>
      <right style="thin">
        <color indexed="64"/>
      </right>
      <top/>
      <bottom style="thin">
        <color indexed="64"/>
      </bottom>
      <diagonal/>
    </border>
    <border>
      <left style="double">
        <color indexed="64"/>
      </left>
      <right/>
      <top/>
      <bottom/>
      <diagonal/>
    </border>
    <border>
      <left style="medium">
        <color rgb="FFDDDDDD"/>
      </left>
      <right style="medium">
        <color rgb="FFDDDDDD"/>
      </right>
      <top style="medium">
        <color rgb="FFDDDDDD"/>
      </top>
      <bottom style="medium">
        <color rgb="FFDDDDDD"/>
      </bottom>
      <diagonal/>
    </border>
    <border>
      <left/>
      <right/>
      <top style="thin">
        <color indexed="64"/>
      </top>
      <bottom style="thin">
        <color indexed="64"/>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21" fillId="0" borderId="0"/>
  </cellStyleXfs>
  <cellXfs count="488">
    <xf numFmtId="0" fontId="0" fillId="0" borderId="0" xfId="0"/>
    <xf numFmtId="0" fontId="0" fillId="0" borderId="1" xfId="0"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horizontal="right" vertical="top" wrapText="1"/>
    </xf>
    <xf numFmtId="164" fontId="3" fillId="0" borderId="1" xfId="1" applyNumberFormat="1" applyFont="1" applyBorder="1" applyAlignment="1">
      <alignment horizontal="center" vertical="top" wrapText="1"/>
    </xf>
    <xf numFmtId="165" fontId="3" fillId="0" borderId="2" xfId="1" applyNumberFormat="1" applyFont="1" applyBorder="1" applyAlignment="1">
      <alignment horizontal="center" vertical="top" wrapText="1"/>
    </xf>
    <xf numFmtId="165" fontId="5" fillId="0" borderId="0" xfId="1" applyNumberFormat="1" applyFont="1" applyBorder="1" applyAlignment="1">
      <alignment horizontal="center" vertical="top" wrapText="1"/>
    </xf>
    <xf numFmtId="165" fontId="5" fillId="0" borderId="0" xfId="1" applyNumberFormat="1" applyFont="1" applyBorder="1" applyAlignment="1">
      <alignment horizontal="center" vertical="top" wrapText="1"/>
    </xf>
    <xf numFmtId="165" fontId="5" fillId="0" borderId="0" xfId="1" applyNumberFormat="1" applyFont="1" applyAlignment="1">
      <alignment horizontal="center" vertical="top" wrapText="1"/>
    </xf>
    <xf numFmtId="165" fontId="5" fillId="2" borderId="0" xfId="1" applyNumberFormat="1" applyFont="1" applyFill="1" applyBorder="1" applyAlignment="1">
      <alignment horizontal="center" vertical="top" wrapText="1"/>
    </xf>
    <xf numFmtId="165" fontId="5" fillId="2" borderId="3" xfId="1" applyNumberFormat="1" applyFont="1" applyFill="1" applyBorder="1" applyAlignment="1">
      <alignment horizontal="center" vertical="top" wrapText="1"/>
    </xf>
    <xf numFmtId="165" fontId="5" fillId="2" borderId="4" xfId="1" applyNumberFormat="1" applyFont="1" applyFill="1" applyBorder="1" applyAlignment="1">
      <alignment horizontal="center" vertical="top" wrapText="1"/>
    </xf>
    <xf numFmtId="165" fontId="5" fillId="2" borderId="5" xfId="1" applyNumberFormat="1" applyFont="1" applyFill="1" applyBorder="1" applyAlignment="1">
      <alignment horizontal="center" vertical="top" wrapText="1"/>
    </xf>
    <xf numFmtId="0" fontId="0" fillId="0" borderId="0" xfId="0" applyAlignment="1">
      <alignment vertical="top" wrapText="1"/>
    </xf>
    <xf numFmtId="0" fontId="3" fillId="3" borderId="5" xfId="0" applyFont="1" applyFill="1" applyBorder="1" applyAlignment="1">
      <alignment horizontal="center" vertical="center" wrapText="1"/>
    </xf>
    <xf numFmtId="164" fontId="3" fillId="3" borderId="5" xfId="1" applyNumberFormat="1" applyFont="1" applyFill="1" applyBorder="1" applyAlignment="1">
      <alignment horizontal="center"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horizontal="center" vertical="center" wrapText="1"/>
    </xf>
    <xf numFmtId="165" fontId="5" fillId="3" borderId="5" xfId="1" applyNumberFormat="1" applyFont="1" applyFill="1" applyBorder="1" applyAlignment="1">
      <alignment horizontal="center" vertical="center" wrapText="1"/>
    </xf>
    <xf numFmtId="43" fontId="3" fillId="3" borderId="5" xfId="1" applyFont="1" applyFill="1" applyBorder="1" applyAlignment="1">
      <alignment horizontal="center" vertical="center" wrapText="1"/>
    </xf>
    <xf numFmtId="165" fontId="5" fillId="3" borderId="6" xfId="1" applyNumberFormat="1" applyFont="1" applyFill="1" applyBorder="1" applyAlignment="1">
      <alignment horizontal="center" vertical="center" wrapText="1"/>
    </xf>
    <xf numFmtId="165" fontId="5" fillId="3" borderId="7" xfId="1" applyNumberFormat="1" applyFont="1" applyFill="1" applyBorder="1" applyAlignment="1">
      <alignment horizontal="center" vertical="center" wrapText="1"/>
    </xf>
    <xf numFmtId="165" fontId="5" fillId="3" borderId="8" xfId="1" applyNumberFormat="1" applyFont="1" applyFill="1" applyBorder="1" applyAlignment="1">
      <alignment horizontal="center" vertical="center" wrapText="1"/>
    </xf>
    <xf numFmtId="165" fontId="5" fillId="3" borderId="9" xfId="1" applyNumberFormat="1" applyFont="1" applyFill="1" applyBorder="1" applyAlignment="1">
      <alignment horizontal="center" vertical="center" wrapText="1"/>
    </xf>
    <xf numFmtId="165" fontId="5" fillId="3" borderId="10" xfId="1" applyNumberFormat="1" applyFont="1" applyFill="1" applyBorder="1" applyAlignment="1">
      <alignment horizontal="center" vertical="center" wrapText="1"/>
    </xf>
    <xf numFmtId="165" fontId="5" fillId="3" borderId="11" xfId="1" applyNumberFormat="1" applyFont="1" applyFill="1" applyBorder="1" applyAlignment="1">
      <alignment horizontal="center" vertical="center" wrapText="1"/>
    </xf>
    <xf numFmtId="165" fontId="5" fillId="3" borderId="12" xfId="1" applyNumberFormat="1" applyFont="1" applyFill="1" applyBorder="1" applyAlignment="1">
      <alignment horizontal="center" vertical="center" wrapText="1"/>
    </xf>
    <xf numFmtId="165" fontId="5" fillId="3" borderId="13" xfId="1" applyNumberFormat="1" applyFont="1" applyFill="1" applyBorder="1" applyAlignment="1">
      <alignment horizontal="center" vertical="center" wrapText="1"/>
    </xf>
    <xf numFmtId="165" fontId="5" fillId="3" borderId="14" xfId="1" applyNumberFormat="1" applyFont="1" applyFill="1" applyBorder="1" applyAlignment="1">
      <alignment horizontal="center" vertical="center" wrapText="1"/>
    </xf>
    <xf numFmtId="0" fontId="0" fillId="5" borderId="5" xfId="0" applyFill="1" applyBorder="1" applyAlignment="1">
      <alignment vertical="top" wrapText="1"/>
    </xf>
    <xf numFmtId="0" fontId="3" fillId="5" borderId="5" xfId="0" applyFont="1" applyFill="1" applyBorder="1" applyAlignment="1">
      <alignment horizontal="center" vertical="top" wrapText="1"/>
    </xf>
    <xf numFmtId="0" fontId="4" fillId="5" borderId="5" xfId="0" applyFont="1" applyFill="1" applyBorder="1" applyAlignment="1">
      <alignment horizontal="center" vertical="top" wrapText="1"/>
    </xf>
    <xf numFmtId="0" fontId="2" fillId="5" borderId="5" xfId="2" applyFill="1" applyBorder="1" applyAlignment="1">
      <alignment vertical="top" wrapText="1"/>
    </xf>
    <xf numFmtId="0" fontId="0" fillId="5" borderId="5" xfId="0" applyFill="1" applyBorder="1" applyAlignment="1">
      <alignment wrapText="1"/>
    </xf>
    <xf numFmtId="14" fontId="0" fillId="5" borderId="5" xfId="0" applyNumberFormat="1" applyFill="1" applyBorder="1" applyAlignment="1">
      <alignment vertical="top" wrapText="1"/>
    </xf>
    <xf numFmtId="15" fontId="0" fillId="5" borderId="5" xfId="0" applyNumberFormat="1" applyFill="1" applyBorder="1" applyAlignment="1">
      <alignment vertical="top" wrapText="1"/>
    </xf>
    <xf numFmtId="164" fontId="0" fillId="5" borderId="5" xfId="1" applyNumberFormat="1" applyFont="1" applyFill="1" applyBorder="1" applyAlignment="1">
      <alignment vertical="top" wrapText="1"/>
    </xf>
    <xf numFmtId="164" fontId="0" fillId="5" borderId="5" xfId="0" applyNumberFormat="1" applyFill="1" applyBorder="1" applyAlignment="1">
      <alignment vertical="top" wrapText="1"/>
    </xf>
    <xf numFmtId="43" fontId="0" fillId="5" borderId="5" xfId="1" applyFont="1" applyFill="1" applyBorder="1" applyAlignment="1">
      <alignment vertical="top" wrapText="1"/>
    </xf>
    <xf numFmtId="165" fontId="0" fillId="5" borderId="5" xfId="1" applyNumberFormat="1" applyFont="1" applyFill="1" applyBorder="1" applyAlignment="1">
      <alignment vertical="top" wrapText="1"/>
    </xf>
    <xf numFmtId="165" fontId="0" fillId="5" borderId="6" xfId="1" applyNumberFormat="1" applyFont="1" applyFill="1" applyBorder="1" applyAlignment="1">
      <alignment vertical="top" wrapText="1"/>
    </xf>
    <xf numFmtId="0" fontId="0" fillId="5" borderId="7" xfId="0" applyFill="1" applyBorder="1" applyAlignment="1">
      <alignment vertical="top" wrapText="1"/>
    </xf>
    <xf numFmtId="165" fontId="0" fillId="5" borderId="8" xfId="1" applyNumberFormat="1" applyFont="1" applyFill="1" applyBorder="1" applyAlignment="1">
      <alignment vertical="top" wrapText="1"/>
    </xf>
    <xf numFmtId="0" fontId="0" fillId="5" borderId="9" xfId="0" applyFill="1" applyBorder="1" applyAlignment="1">
      <alignment vertical="top" wrapText="1"/>
    </xf>
    <xf numFmtId="0" fontId="0" fillId="0" borderId="5" xfId="0" applyBorder="1" applyAlignment="1">
      <alignment vertical="top" wrapText="1"/>
    </xf>
    <xf numFmtId="165" fontId="0" fillId="0" borderId="5" xfId="1" applyNumberFormat="1" applyFont="1" applyBorder="1" applyAlignment="1">
      <alignment vertical="top" wrapText="1"/>
    </xf>
    <xf numFmtId="165" fontId="0" fillId="0" borderId="5" xfId="1" applyNumberFormat="1" applyFont="1" applyFill="1" applyBorder="1" applyAlignment="1">
      <alignment vertical="top" wrapText="1"/>
    </xf>
    <xf numFmtId="0" fontId="0" fillId="0" borderId="15" xfId="0" applyBorder="1" applyAlignment="1">
      <alignment vertical="top" wrapText="1"/>
    </xf>
    <xf numFmtId="165" fontId="0" fillId="0" borderId="15" xfId="1" applyNumberFormat="1" applyFont="1" applyBorder="1" applyAlignment="1">
      <alignment vertical="top" wrapText="1"/>
    </xf>
    <xf numFmtId="0" fontId="3" fillId="0" borderId="5" xfId="0" applyFont="1" applyBorder="1" applyAlignment="1">
      <alignment horizontal="center" vertical="top" wrapText="1"/>
    </xf>
    <xf numFmtId="0" fontId="4" fillId="0" borderId="5" xfId="0" applyFont="1" applyBorder="1" applyAlignment="1">
      <alignment horizontal="center" vertical="top" wrapText="1"/>
    </xf>
    <xf numFmtId="0" fontId="2" fillId="0" borderId="5" xfId="2" applyBorder="1" applyAlignment="1">
      <alignment vertical="top" wrapText="1"/>
    </xf>
    <xf numFmtId="0" fontId="0" fillId="0" borderId="5" xfId="0" applyBorder="1" applyAlignment="1">
      <alignment wrapText="1"/>
    </xf>
    <xf numFmtId="14" fontId="0" fillId="0" borderId="5" xfId="0" applyNumberFormat="1" applyBorder="1" applyAlignment="1">
      <alignment vertical="top" wrapText="1"/>
    </xf>
    <xf numFmtId="15" fontId="0" fillId="0" borderId="5" xfId="0" applyNumberFormat="1" applyBorder="1" applyAlignment="1">
      <alignment vertical="top" wrapText="1"/>
    </xf>
    <xf numFmtId="164" fontId="0" fillId="0" borderId="5" xfId="1" applyNumberFormat="1" applyFont="1" applyBorder="1" applyAlignment="1">
      <alignment vertical="top" wrapText="1"/>
    </xf>
    <xf numFmtId="164" fontId="0" fillId="0" borderId="5" xfId="1" applyNumberFormat="1" applyFont="1" applyFill="1" applyBorder="1" applyAlignment="1">
      <alignment vertical="top" wrapText="1"/>
    </xf>
    <xf numFmtId="164" fontId="0" fillId="0" borderId="5" xfId="0" applyNumberFormat="1" applyBorder="1" applyAlignment="1">
      <alignment vertical="top" wrapText="1"/>
    </xf>
    <xf numFmtId="43" fontId="0" fillId="0" borderId="5" xfId="1" applyFont="1" applyBorder="1" applyAlignment="1">
      <alignment vertical="top" wrapText="1"/>
    </xf>
    <xf numFmtId="43" fontId="0" fillId="0" borderId="5" xfId="1" applyFont="1" applyFill="1" applyBorder="1" applyAlignment="1">
      <alignment vertical="top" wrapText="1"/>
    </xf>
    <xf numFmtId="165" fontId="0" fillId="0" borderId="6" xfId="1" applyNumberFormat="1" applyFont="1" applyBorder="1" applyAlignment="1">
      <alignment vertical="top" wrapText="1"/>
    </xf>
    <xf numFmtId="0" fontId="0" fillId="0" borderId="7" xfId="0" applyBorder="1" applyAlignment="1">
      <alignment vertical="top" wrapText="1"/>
    </xf>
    <xf numFmtId="165" fontId="0" fillId="0" borderId="8" xfId="1" applyNumberFormat="1" applyFont="1" applyBorder="1" applyAlignment="1">
      <alignment vertical="top" wrapText="1"/>
    </xf>
    <xf numFmtId="0" fontId="0" fillId="0" borderId="9" xfId="0" applyBorder="1" applyAlignment="1">
      <alignment vertical="top" wrapText="1"/>
    </xf>
    <xf numFmtId="0" fontId="6" fillId="6" borderId="16" xfId="0" quotePrefix="1" applyFont="1" applyFill="1" applyBorder="1" applyAlignment="1">
      <alignment vertical="top" wrapText="1"/>
    </xf>
    <xf numFmtId="0" fontId="0" fillId="5" borderId="0" xfId="0" applyFill="1" applyAlignment="1">
      <alignment vertical="top" wrapText="1"/>
    </xf>
    <xf numFmtId="0" fontId="6" fillId="0" borderId="0" xfId="0" applyFont="1"/>
    <xf numFmtId="0" fontId="6" fillId="0" borderId="0" xfId="0" applyFont="1" applyAlignment="1">
      <alignment wrapText="1"/>
    </xf>
    <xf numFmtId="0" fontId="2" fillId="0" borderId="5" xfId="2" applyFill="1" applyBorder="1" applyAlignment="1">
      <alignment vertical="top" wrapText="1"/>
    </xf>
    <xf numFmtId="165" fontId="0" fillId="0" borderId="6" xfId="1" applyNumberFormat="1" applyFont="1" applyFill="1" applyBorder="1" applyAlignment="1">
      <alignment vertical="top" wrapText="1"/>
    </xf>
    <xf numFmtId="165" fontId="0" fillId="0" borderId="8" xfId="1" applyNumberFormat="1" applyFont="1" applyFill="1" applyBorder="1" applyAlignment="1">
      <alignment vertical="top" wrapText="1"/>
    </xf>
    <xf numFmtId="0" fontId="0" fillId="7" borderId="5" xfId="0" applyFill="1" applyBorder="1" applyAlignment="1">
      <alignment vertical="top" wrapText="1"/>
    </xf>
    <xf numFmtId="0" fontId="0" fillId="2" borderId="7" xfId="0" applyFill="1" applyBorder="1" applyAlignment="1">
      <alignment vertical="top" wrapText="1"/>
    </xf>
    <xf numFmtId="0" fontId="0" fillId="0" borderId="5" xfId="0" quotePrefix="1" applyBorder="1" applyAlignment="1">
      <alignment vertical="top" wrapText="1"/>
    </xf>
    <xf numFmtId="0" fontId="0" fillId="8" borderId="5" xfId="0" applyFill="1" applyBorder="1" applyAlignment="1">
      <alignment vertical="top" wrapText="1"/>
    </xf>
    <xf numFmtId="0" fontId="3" fillId="8" borderId="5" xfId="0" applyFont="1" applyFill="1" applyBorder="1" applyAlignment="1">
      <alignment horizontal="center" vertical="top" wrapText="1"/>
    </xf>
    <xf numFmtId="0" fontId="4" fillId="8" borderId="5" xfId="0" applyFont="1" applyFill="1" applyBorder="1" applyAlignment="1">
      <alignment horizontal="center" vertical="top" wrapText="1"/>
    </xf>
    <xf numFmtId="0" fontId="2" fillId="8" borderId="5" xfId="2" applyFill="1" applyBorder="1" applyAlignment="1">
      <alignment vertical="top" wrapText="1"/>
    </xf>
    <xf numFmtId="0" fontId="0" fillId="8" borderId="5" xfId="0" applyFill="1" applyBorder="1" applyAlignment="1">
      <alignment wrapText="1"/>
    </xf>
    <xf numFmtId="14" fontId="0" fillId="8" borderId="5" xfId="0" applyNumberFormat="1" applyFill="1" applyBorder="1" applyAlignment="1">
      <alignment vertical="top" wrapText="1"/>
    </xf>
    <xf numFmtId="15" fontId="0" fillId="8" borderId="5" xfId="0" applyNumberFormat="1" applyFill="1" applyBorder="1" applyAlignment="1">
      <alignment vertical="top" wrapText="1"/>
    </xf>
    <xf numFmtId="164" fontId="0" fillId="8" borderId="5" xfId="1" applyNumberFormat="1" applyFont="1" applyFill="1" applyBorder="1" applyAlignment="1">
      <alignment vertical="top" wrapText="1"/>
    </xf>
    <xf numFmtId="164" fontId="0" fillId="8" borderId="5" xfId="0" applyNumberFormat="1" applyFill="1" applyBorder="1" applyAlignment="1">
      <alignment vertical="top" wrapText="1"/>
    </xf>
    <xf numFmtId="43" fontId="0" fillId="8" borderId="5" xfId="1" applyFont="1" applyFill="1" applyBorder="1" applyAlignment="1">
      <alignment vertical="top" wrapText="1"/>
    </xf>
    <xf numFmtId="165" fontId="0" fillId="8" borderId="5" xfId="1" applyNumberFormat="1" applyFont="1" applyFill="1" applyBorder="1" applyAlignment="1">
      <alignment vertical="top" wrapText="1"/>
    </xf>
    <xf numFmtId="165" fontId="0" fillId="8" borderId="6" xfId="1" applyNumberFormat="1" applyFont="1" applyFill="1" applyBorder="1" applyAlignment="1">
      <alignment vertical="top" wrapText="1"/>
    </xf>
    <xf numFmtId="165" fontId="0" fillId="8" borderId="8" xfId="1" applyNumberFormat="1" applyFont="1" applyFill="1" applyBorder="1" applyAlignment="1">
      <alignment vertical="top" wrapText="1"/>
    </xf>
    <xf numFmtId="0" fontId="0" fillId="8" borderId="9" xfId="0" applyFill="1" applyBorder="1" applyAlignment="1">
      <alignment vertical="top" wrapText="1"/>
    </xf>
    <xf numFmtId="0" fontId="0" fillId="8" borderId="0" xfId="0" applyFill="1" applyAlignment="1">
      <alignment vertical="top" wrapText="1"/>
    </xf>
    <xf numFmtId="0" fontId="2" fillId="0" borderId="0" xfId="2" applyAlignment="1">
      <alignment vertical="top"/>
    </xf>
    <xf numFmtId="0" fontId="6" fillId="6" borderId="16" xfId="0" applyFont="1" applyFill="1" applyBorder="1" applyAlignment="1">
      <alignment vertical="top" wrapText="1"/>
    </xf>
    <xf numFmtId="0" fontId="7" fillId="6" borderId="16" xfId="0" applyFont="1" applyFill="1" applyBorder="1" applyAlignment="1">
      <alignment vertical="top" wrapText="1"/>
    </xf>
    <xf numFmtId="0" fontId="6" fillId="6" borderId="16" xfId="0" applyFont="1" applyFill="1" applyBorder="1" applyAlignment="1">
      <alignment horizontal="left" vertical="top" wrapText="1"/>
    </xf>
    <xf numFmtId="0" fontId="2" fillId="6" borderId="16" xfId="2" applyFill="1" applyBorder="1" applyAlignment="1">
      <alignment horizontal="left" vertical="top" wrapText="1"/>
    </xf>
    <xf numFmtId="0" fontId="2" fillId="6" borderId="16" xfId="2" applyFill="1" applyBorder="1" applyAlignment="1">
      <alignment vertical="top" wrapText="1"/>
    </xf>
    <xf numFmtId="0" fontId="0" fillId="0" borderId="17" xfId="0" applyBorder="1" applyAlignment="1">
      <alignment vertical="top" wrapText="1"/>
    </xf>
    <xf numFmtId="0" fontId="9" fillId="6" borderId="16" xfId="0" applyFont="1" applyFill="1" applyBorder="1" applyAlignment="1">
      <alignment vertical="top" wrapText="1"/>
    </xf>
    <xf numFmtId="0" fontId="13" fillId="0" borderId="5" xfId="0" applyFont="1" applyBorder="1" applyAlignment="1">
      <alignment vertical="top" wrapText="1"/>
    </xf>
    <xf numFmtId="0" fontId="13" fillId="0" borderId="9" xfId="0" applyFont="1" applyBorder="1" applyAlignment="1">
      <alignment vertical="top" wrapText="1"/>
    </xf>
    <xf numFmtId="0" fontId="13" fillId="0" borderId="15" xfId="0" applyFont="1" applyBorder="1" applyAlignment="1">
      <alignment vertical="top" wrapText="1"/>
    </xf>
    <xf numFmtId="0" fontId="13" fillId="0" borderId="18" xfId="0" applyFont="1" applyBorder="1" applyAlignment="1">
      <alignment vertical="top" wrapText="1"/>
    </xf>
    <xf numFmtId="0" fontId="13" fillId="0" borderId="5" xfId="0" applyFont="1" applyBorder="1" applyAlignment="1">
      <alignment wrapText="1"/>
    </xf>
    <xf numFmtId="0" fontId="13" fillId="0" borderId="9" xfId="0" applyFont="1" applyBorder="1" applyAlignment="1">
      <alignment wrapText="1"/>
    </xf>
    <xf numFmtId="0" fontId="13" fillId="0" borderId="15" xfId="0" applyFont="1" applyBorder="1" applyAlignment="1">
      <alignment wrapText="1"/>
    </xf>
    <xf numFmtId="0" fontId="13" fillId="0" borderId="18" xfId="0" applyFont="1" applyBorder="1" applyAlignment="1">
      <alignment wrapText="1"/>
    </xf>
    <xf numFmtId="0" fontId="7" fillId="6" borderId="16" xfId="0" applyFont="1" applyFill="1" applyBorder="1" applyAlignment="1">
      <alignment horizontal="left" vertical="top" wrapText="1"/>
    </xf>
    <xf numFmtId="164" fontId="0" fillId="0" borderId="0" xfId="1" applyNumberFormat="1" applyFont="1" applyAlignment="1">
      <alignment vertical="top" wrapText="1"/>
    </xf>
    <xf numFmtId="0" fontId="0" fillId="0" borderId="19" xfId="0" applyBorder="1" applyAlignment="1">
      <alignment vertical="top" wrapText="1"/>
    </xf>
    <xf numFmtId="0" fontId="3" fillId="2" borderId="5" xfId="0" applyFont="1" applyFill="1" applyBorder="1" applyAlignment="1">
      <alignment horizontal="center" vertical="top"/>
    </xf>
    <xf numFmtId="0" fontId="3" fillId="2" borderId="5" xfId="0" applyFont="1" applyFill="1" applyBorder="1" applyAlignment="1">
      <alignment horizontal="center" vertical="top" wrapText="1"/>
    </xf>
    <xf numFmtId="0" fontId="3" fillId="2" borderId="9" xfId="0" applyFont="1" applyFill="1" applyBorder="1" applyAlignment="1">
      <alignment horizontal="center" vertical="top" wrapText="1"/>
    </xf>
    <xf numFmtId="0" fontId="3" fillId="2" borderId="6" xfId="0" applyFont="1" applyFill="1" applyBorder="1" applyAlignment="1">
      <alignment horizontal="center" vertical="top" wrapText="1"/>
    </xf>
    <xf numFmtId="164" fontId="3" fillId="2" borderId="5" xfId="1" applyNumberFormat="1" applyFont="1" applyFill="1" applyBorder="1" applyAlignment="1">
      <alignment horizontal="center" vertical="top" wrapText="1"/>
    </xf>
    <xf numFmtId="0" fontId="0" fillId="0" borderId="5" xfId="0" applyBorder="1" applyAlignment="1">
      <alignment vertical="top"/>
    </xf>
    <xf numFmtId="164" fontId="0" fillId="0" borderId="5" xfId="1" applyNumberFormat="1" applyFont="1" applyBorder="1" applyAlignment="1">
      <alignment vertical="top"/>
    </xf>
    <xf numFmtId="0" fontId="0" fillId="0" borderId="0" xfId="0" applyAlignment="1">
      <alignment vertical="top"/>
    </xf>
    <xf numFmtId="0" fontId="0" fillId="0" borderId="15" xfId="0" applyBorder="1" applyAlignment="1">
      <alignment vertical="top"/>
    </xf>
    <xf numFmtId="164" fontId="0" fillId="0" borderId="15" xfId="1" applyNumberFormat="1" applyFont="1" applyBorder="1" applyAlignment="1">
      <alignment vertical="top" wrapText="1"/>
    </xf>
    <xf numFmtId="164" fontId="0" fillId="0" borderId="0" xfId="1" applyNumberFormat="1" applyFont="1" applyAlignment="1">
      <alignment vertical="top"/>
    </xf>
    <xf numFmtId="164" fontId="0" fillId="2" borderId="5" xfId="1" applyNumberFormat="1" applyFont="1" applyFill="1" applyBorder="1" applyAlignment="1">
      <alignment vertical="top" wrapText="1"/>
    </xf>
    <xf numFmtId="164" fontId="0" fillId="9" borderId="5" xfId="1" applyNumberFormat="1" applyFont="1" applyFill="1" applyBorder="1" applyAlignment="1">
      <alignment vertical="top" wrapText="1"/>
    </xf>
    <xf numFmtId="0" fontId="0" fillId="0" borderId="5" xfId="0" applyBorder="1" applyAlignment="1">
      <alignment horizontal="left" vertical="top"/>
    </xf>
    <xf numFmtId="0" fontId="0" fillId="2" borderId="0" xfId="0" applyFill="1" applyAlignment="1">
      <alignment vertical="top"/>
    </xf>
    <xf numFmtId="164" fontId="0" fillId="0" borderId="5" xfId="1" applyNumberFormat="1" applyFont="1" applyBorder="1" applyAlignment="1">
      <alignment wrapText="1"/>
    </xf>
    <xf numFmtId="164" fontId="0" fillId="2" borderId="5" xfId="1" applyNumberFormat="1" applyFont="1" applyFill="1" applyBorder="1" applyAlignment="1">
      <alignment wrapText="1"/>
    </xf>
    <xf numFmtId="0" fontId="16" fillId="6" borderId="20" xfId="0" applyFont="1" applyFill="1" applyBorder="1" applyAlignment="1">
      <alignment horizontal="left" vertical="top" wrapText="1" indent="1"/>
    </xf>
    <xf numFmtId="164" fontId="0" fillId="10" borderId="5" xfId="1" applyNumberFormat="1" applyFont="1" applyFill="1" applyBorder="1" applyAlignment="1">
      <alignment vertical="top" wrapText="1"/>
    </xf>
    <xf numFmtId="0" fontId="0" fillId="0" borderId="0" xfId="0" applyAlignment="1">
      <alignment vertical="center" wrapText="1"/>
    </xf>
    <xf numFmtId="0" fontId="0" fillId="0" borderId="0" xfId="0" applyAlignment="1">
      <alignment horizontal="left" vertical="center" wrapText="1"/>
    </xf>
    <xf numFmtId="166" fontId="0" fillId="0" borderId="0" xfId="0" applyNumberFormat="1" applyAlignment="1">
      <alignment horizontal="left" vertical="center"/>
    </xf>
    <xf numFmtId="0" fontId="3" fillId="11" borderId="5" xfId="0" applyFont="1" applyFill="1" applyBorder="1" applyAlignment="1">
      <alignment horizontal="center" vertical="center" wrapText="1"/>
    </xf>
    <xf numFmtId="166" fontId="3" fillId="11" borderId="5" xfId="0" applyNumberFormat="1" applyFont="1" applyFill="1" applyBorder="1" applyAlignment="1">
      <alignment horizontal="center" vertical="center" wrapText="1"/>
    </xf>
    <xf numFmtId="0" fontId="3" fillId="12" borderId="5" xfId="0" applyFont="1" applyFill="1" applyBorder="1" applyAlignment="1">
      <alignment horizontal="center" vertical="center" wrapText="1"/>
    </xf>
    <xf numFmtId="14" fontId="3" fillId="12" borderId="5" xfId="0" applyNumberFormat="1" applyFont="1" applyFill="1" applyBorder="1" applyAlignment="1">
      <alignment horizontal="center" vertical="center" wrapText="1"/>
    </xf>
    <xf numFmtId="0" fontId="0" fillId="0" borderId="5" xfId="0" applyBorder="1" applyAlignment="1">
      <alignment horizontal="center" vertical="center" wrapText="1"/>
    </xf>
    <xf numFmtId="0" fontId="0" fillId="9" borderId="5" xfId="0" applyFill="1" applyBorder="1" applyAlignment="1">
      <alignment horizontal="center" vertical="center" wrapText="1"/>
    </xf>
    <xf numFmtId="0" fontId="0" fillId="9" borderId="5" xfId="0" applyFill="1" applyBorder="1" applyAlignment="1">
      <alignment horizontal="left" vertical="center" wrapText="1"/>
    </xf>
    <xf numFmtId="164" fontId="0" fillId="9" borderId="5" xfId="1" applyNumberFormat="1" applyFont="1" applyFill="1" applyBorder="1" applyAlignment="1">
      <alignment horizontal="left" vertical="center" wrapText="1"/>
    </xf>
    <xf numFmtId="166" fontId="0" fillId="9" borderId="5" xfId="0" applyNumberFormat="1" applyFill="1" applyBorder="1" applyAlignment="1">
      <alignment horizontal="left" vertical="center" wrapText="1"/>
    </xf>
    <xf numFmtId="14" fontId="0" fillId="9" borderId="5" xfId="0" applyNumberFormat="1" applyFill="1" applyBorder="1" applyAlignment="1">
      <alignment horizontal="center" vertical="center" wrapText="1"/>
    </xf>
    <xf numFmtId="164" fontId="0" fillId="9" borderId="5" xfId="0" applyNumberFormat="1" applyFill="1" applyBorder="1" applyAlignment="1">
      <alignment horizontal="center" vertical="center" wrapText="1"/>
    </xf>
    <xf numFmtId="164" fontId="0" fillId="0" borderId="5" xfId="1" applyNumberFormat="1" applyFont="1" applyBorder="1" applyAlignment="1">
      <alignment horizontal="center" vertical="center" wrapText="1"/>
    </xf>
    <xf numFmtId="0" fontId="0" fillId="0" borderId="0" xfId="0" applyAlignment="1">
      <alignment vertical="center"/>
    </xf>
    <xf numFmtId="166" fontId="0" fillId="2" borderId="5" xfId="0" applyNumberFormat="1" applyFill="1" applyBorder="1" applyAlignment="1">
      <alignment horizontal="left" vertical="center" wrapText="1"/>
    </xf>
    <xf numFmtId="0" fontId="0" fillId="0" borderId="5" xfId="0" applyBorder="1" applyAlignment="1">
      <alignment horizontal="left" vertical="center" wrapText="1"/>
    </xf>
    <xf numFmtId="0" fontId="0" fillId="9" borderId="5" xfId="0" quotePrefix="1" applyFill="1" applyBorder="1" applyAlignment="1">
      <alignment horizontal="left" vertical="center" wrapText="1"/>
    </xf>
    <xf numFmtId="165" fontId="0" fillId="9" borderId="5" xfId="1" applyNumberFormat="1" applyFont="1" applyFill="1" applyBorder="1" applyAlignment="1">
      <alignment horizontal="left" vertical="center" wrapText="1"/>
    </xf>
    <xf numFmtId="10" fontId="0" fillId="9" borderId="5" xfId="0" applyNumberFormat="1" applyFill="1" applyBorder="1" applyAlignment="1">
      <alignment horizontal="left" vertical="center" wrapText="1"/>
    </xf>
    <xf numFmtId="164" fontId="0" fillId="0" borderId="5" xfId="1" applyNumberFormat="1" applyFont="1" applyBorder="1" applyAlignment="1">
      <alignment horizontal="left" vertical="center" wrapText="1"/>
    </xf>
    <xf numFmtId="165" fontId="0" fillId="0" borderId="5" xfId="1" applyNumberFormat="1" applyFont="1" applyBorder="1" applyAlignment="1">
      <alignment horizontal="left" vertical="center" wrapText="1"/>
    </xf>
    <xf numFmtId="166" fontId="0" fillId="0" borderId="5" xfId="0" applyNumberFormat="1" applyBorder="1" applyAlignment="1">
      <alignment horizontal="left" vertical="center" wrapText="1"/>
    </xf>
    <xf numFmtId="9" fontId="0" fillId="9" borderId="5" xfId="0" applyNumberFormat="1" applyFill="1" applyBorder="1" applyAlignment="1">
      <alignment horizontal="left" vertical="center" wrapText="1"/>
    </xf>
    <xf numFmtId="0" fontId="0" fillId="2" borderId="5" xfId="0" applyFill="1" applyBorder="1" applyAlignment="1">
      <alignment horizontal="left" vertical="center" wrapText="1"/>
    </xf>
    <xf numFmtId="0" fontId="0" fillId="0" borderId="5" xfId="0" quotePrefix="1" applyBorder="1" applyAlignment="1">
      <alignment horizontal="left" vertical="center" wrapText="1"/>
    </xf>
    <xf numFmtId="167" fontId="0" fillId="0" borderId="5" xfId="0" applyNumberFormat="1" applyBorder="1" applyAlignment="1">
      <alignment horizontal="left" vertical="center" wrapText="1"/>
    </xf>
    <xf numFmtId="168" fontId="0" fillId="0" borderId="5" xfId="0" applyNumberFormat="1" applyBorder="1" applyAlignment="1">
      <alignment horizontal="left" vertical="center" wrapText="1"/>
    </xf>
    <xf numFmtId="0" fontId="3" fillId="0" borderId="5" xfId="0" applyFont="1" applyBorder="1" applyAlignment="1">
      <alignment horizontal="left" vertical="center" wrapText="1"/>
    </xf>
    <xf numFmtId="0" fontId="2" fillId="0" borderId="5" xfId="2" applyBorder="1" applyAlignment="1">
      <alignment horizontal="left" vertical="center" wrapText="1"/>
    </xf>
    <xf numFmtId="165" fontId="0" fillId="0" borderId="5" xfId="0" applyNumberFormat="1" applyBorder="1" applyAlignment="1">
      <alignment horizontal="left" vertical="center" wrapText="1"/>
    </xf>
    <xf numFmtId="0" fontId="19" fillId="0" borderId="5" xfId="0" applyFont="1" applyBorder="1" applyAlignment="1">
      <alignment horizontal="left" vertical="center" wrapText="1"/>
    </xf>
    <xf numFmtId="0" fontId="0" fillId="10" borderId="5" xfId="0" applyFill="1" applyBorder="1" applyAlignment="1">
      <alignment horizontal="left" vertical="center" wrapText="1"/>
    </xf>
    <xf numFmtId="0" fontId="0" fillId="2" borderId="5" xfId="0" applyFill="1" applyBorder="1" applyAlignment="1">
      <alignment horizontal="center" vertical="center" wrapText="1"/>
    </xf>
    <xf numFmtId="0" fontId="20" fillId="0" borderId="5" xfId="2" applyFont="1" applyBorder="1" applyAlignment="1">
      <alignment horizontal="left" vertical="center" wrapText="1"/>
    </xf>
    <xf numFmtId="0" fontId="13" fillId="0" borderId="5" xfId="0" applyFont="1" applyBorder="1" applyAlignment="1">
      <alignment horizontal="center" vertical="center" wrapText="1"/>
    </xf>
    <xf numFmtId="0" fontId="0" fillId="0" borderId="5" xfId="0" applyBorder="1" applyAlignment="1">
      <alignment horizontal="left"/>
    </xf>
    <xf numFmtId="166" fontId="0" fillId="0" borderId="5" xfId="1" applyNumberFormat="1" applyFont="1" applyBorder="1" applyAlignment="1">
      <alignment horizontal="left" vertical="center" wrapText="1"/>
    </xf>
    <xf numFmtId="0" fontId="16" fillId="0" borderId="0" xfId="0" applyFont="1" applyAlignment="1">
      <alignment horizontal="left"/>
    </xf>
    <xf numFmtId="0" fontId="16" fillId="0" borderId="0" xfId="0" applyFont="1" applyAlignment="1">
      <alignment horizontal="left" wrapText="1"/>
    </xf>
    <xf numFmtId="0" fontId="16" fillId="0" borderId="5" xfId="0" applyFont="1" applyBorder="1" applyAlignment="1">
      <alignment horizontal="left" vertical="center" wrapText="1"/>
    </xf>
    <xf numFmtId="0" fontId="0" fillId="9" borderId="0" xfId="0" applyFill="1"/>
    <xf numFmtId="0" fontId="0" fillId="9" borderId="0" xfId="0" applyFill="1" applyAlignment="1">
      <alignment horizontal="left" vertical="center" wrapText="1"/>
    </xf>
    <xf numFmtId="166" fontId="0" fillId="9" borderId="0" xfId="0" applyNumberFormat="1" applyFill="1" applyAlignment="1">
      <alignment horizontal="left" vertical="center"/>
    </xf>
    <xf numFmtId="164" fontId="3" fillId="0" borderId="5" xfId="1" applyNumberFormat="1" applyFont="1" applyBorder="1" applyAlignment="1">
      <alignment horizontal="center" vertical="top" wrapText="1"/>
    </xf>
    <xf numFmtId="164" fontId="3" fillId="0" borderId="17" xfId="1" applyNumberFormat="1" applyFont="1" applyBorder="1" applyAlignment="1">
      <alignment horizontal="center" vertical="center"/>
    </xf>
    <xf numFmtId="164" fontId="3" fillId="0" borderId="17" xfId="1" applyNumberFormat="1" applyFont="1" applyFill="1" applyBorder="1" applyAlignment="1">
      <alignment horizontal="center" vertical="center"/>
    </xf>
    <xf numFmtId="15" fontId="0" fillId="0" borderId="0" xfId="0" applyNumberFormat="1"/>
    <xf numFmtId="43" fontId="0" fillId="0" borderId="0" xfId="1" applyFont="1" applyAlignment="1"/>
    <xf numFmtId="0" fontId="3" fillId="0" borderId="15" xfId="0" applyFont="1" applyBorder="1" applyAlignment="1">
      <alignment vertical="top"/>
    </xf>
    <xf numFmtId="0" fontId="3" fillId="0" borderId="15" xfId="0" applyFont="1" applyBorder="1" applyAlignment="1">
      <alignment horizontal="center" vertical="top"/>
    </xf>
    <xf numFmtId="0" fontId="0" fillId="2" borderId="15" xfId="0" applyFill="1" applyBorder="1" applyAlignment="1">
      <alignment vertical="top"/>
    </xf>
    <xf numFmtId="164" fontId="0" fillId="0" borderId="15" xfId="1" applyNumberFormat="1" applyFont="1" applyFill="1" applyBorder="1" applyAlignment="1"/>
    <xf numFmtId="14" fontId="0" fillId="0" borderId="0" xfId="0" applyNumberFormat="1"/>
    <xf numFmtId="3" fontId="0" fillId="0" borderId="0" xfId="0" applyNumberFormat="1"/>
    <xf numFmtId="0" fontId="3" fillId="0" borderId="5" xfId="0" applyFont="1" applyBorder="1" applyAlignment="1">
      <alignment vertical="top"/>
    </xf>
    <xf numFmtId="0" fontId="3" fillId="0" borderId="5" xfId="0" applyFont="1" applyBorder="1" applyAlignment="1">
      <alignment horizontal="center" vertical="top"/>
    </xf>
    <xf numFmtId="164" fontId="0" fillId="0" borderId="5" xfId="1" applyNumberFormat="1" applyFont="1" applyFill="1" applyBorder="1" applyAlignment="1"/>
    <xf numFmtId="0" fontId="0" fillId="10" borderId="5" xfId="0" applyFill="1" applyBorder="1" applyAlignment="1">
      <alignment vertical="top"/>
    </xf>
    <xf numFmtId="0" fontId="0" fillId="10" borderId="5" xfId="0" applyFill="1" applyBorder="1"/>
    <xf numFmtId="0" fontId="0" fillId="0" borderId="5" xfId="0" applyBorder="1"/>
    <xf numFmtId="0" fontId="0" fillId="2" borderId="5" xfId="0" applyFill="1" applyBorder="1" applyAlignment="1">
      <alignment vertical="top"/>
    </xf>
    <xf numFmtId="0" fontId="0" fillId="13" borderId="5" xfId="0" applyFill="1" applyBorder="1" applyAlignment="1">
      <alignment vertical="top"/>
    </xf>
    <xf numFmtId="164" fontId="0" fillId="2" borderId="5" xfId="1" applyNumberFormat="1" applyFont="1" applyFill="1" applyBorder="1" applyAlignment="1"/>
    <xf numFmtId="164" fontId="0" fillId="0" borderId="5" xfId="1" applyNumberFormat="1" applyFont="1" applyFill="1" applyBorder="1" applyAlignment="1">
      <alignment vertical="top"/>
    </xf>
    <xf numFmtId="164" fontId="0" fillId="2" borderId="5" xfId="1" applyNumberFormat="1" applyFont="1" applyFill="1" applyBorder="1" applyAlignment="1">
      <alignment vertical="top"/>
    </xf>
    <xf numFmtId="0" fontId="0" fillId="0" borderId="5" xfId="0" quotePrefix="1" applyBorder="1" applyAlignment="1">
      <alignment vertical="top"/>
    </xf>
    <xf numFmtId="0" fontId="0" fillId="14" borderId="5" xfId="0" applyFill="1" applyBorder="1" applyAlignment="1">
      <alignment vertical="top"/>
    </xf>
    <xf numFmtId="0" fontId="0" fillId="2" borderId="5" xfId="0" applyFill="1" applyBorder="1"/>
    <xf numFmtId="0" fontId="0" fillId="15" borderId="5" xfId="0" applyFill="1" applyBorder="1" applyAlignment="1">
      <alignment vertical="top"/>
    </xf>
    <xf numFmtId="0" fontId="0" fillId="16" borderId="5" xfId="0" applyFill="1" applyBorder="1"/>
    <xf numFmtId="0" fontId="22" fillId="0" borderId="5" xfId="3" quotePrefix="1" applyFont="1" applyBorder="1"/>
    <xf numFmtId="0" fontId="3" fillId="0" borderId="5" xfId="0" applyFont="1" applyBorder="1"/>
    <xf numFmtId="0" fontId="0" fillId="0" borderId="5" xfId="0" quotePrefix="1" applyBorder="1" applyAlignment="1">
      <alignment horizontal="left" vertical="center"/>
    </xf>
    <xf numFmtId="0" fontId="0" fillId="13" borderId="5" xfId="0" applyFill="1" applyBorder="1"/>
    <xf numFmtId="0" fontId="3" fillId="0" borderId="17" xfId="0" applyFont="1" applyBorder="1"/>
    <xf numFmtId="0" fontId="3" fillId="0" borderId="17" xfId="0" applyFont="1" applyBorder="1" applyAlignment="1">
      <alignment horizontal="center" vertical="top"/>
    </xf>
    <xf numFmtId="0" fontId="0" fillId="2" borderId="1" xfId="0" applyFill="1" applyBorder="1" applyAlignment="1">
      <alignment wrapText="1"/>
    </xf>
    <xf numFmtId="0" fontId="0" fillId="0" borderId="1" xfId="0" applyBorder="1"/>
    <xf numFmtId="164" fontId="0" fillId="0" borderId="1" xfId="1" applyNumberFormat="1" applyFont="1" applyBorder="1"/>
    <xf numFmtId="164" fontId="0" fillId="0" borderId="1" xfId="1" applyNumberFormat="1" applyFont="1" applyBorder="1" applyAlignment="1">
      <alignment vertical="top" wrapText="1"/>
    </xf>
    <xf numFmtId="164" fontId="0" fillId="0" borderId="0" xfId="1" applyNumberFormat="1" applyFont="1" applyAlignment="1"/>
    <xf numFmtId="0" fontId="0" fillId="0" borderId="1" xfId="0" applyBorder="1" applyAlignment="1">
      <alignment vertical="top"/>
    </xf>
    <xf numFmtId="0" fontId="3" fillId="0" borderId="5" xfId="0" applyFont="1" applyBorder="1" applyAlignment="1">
      <alignment vertical="top" wrapText="1"/>
    </xf>
    <xf numFmtId="0" fontId="0" fillId="10" borderId="15" xfId="0" applyFill="1" applyBorder="1"/>
    <xf numFmtId="0" fontId="0" fillId="0" borderId="15" xfId="0" applyBorder="1"/>
    <xf numFmtId="164" fontId="0" fillId="0" borderId="15" xfId="1" applyNumberFormat="1" applyFont="1" applyBorder="1"/>
    <xf numFmtId="164" fontId="0" fillId="2" borderId="5" xfId="1" applyNumberFormat="1" applyFont="1" applyFill="1" applyBorder="1"/>
    <xf numFmtId="164" fontId="0" fillId="0" borderId="5" xfId="1" applyNumberFormat="1" applyFont="1" applyBorder="1"/>
    <xf numFmtId="0" fontId="0" fillId="14" borderId="5" xfId="0" applyFill="1" applyBorder="1"/>
    <xf numFmtId="0" fontId="0" fillId="10" borderId="1" xfId="0" applyFill="1" applyBorder="1"/>
    <xf numFmtId="164" fontId="20" fillId="0" borderId="1" xfId="1" applyNumberFormat="1" applyFont="1" applyBorder="1"/>
    <xf numFmtId="164" fontId="20" fillId="0" borderId="5" xfId="1" applyNumberFormat="1" applyFont="1" applyBorder="1" applyAlignment="1">
      <alignment vertical="top" wrapText="1"/>
    </xf>
    <xf numFmtId="0" fontId="0" fillId="2" borderId="15" xfId="0" applyFill="1" applyBorder="1"/>
    <xf numFmtId="164" fontId="0" fillId="2" borderId="0" xfId="1" applyNumberFormat="1" applyFont="1" applyFill="1" applyAlignment="1"/>
    <xf numFmtId="0" fontId="0" fillId="0" borderId="1" xfId="0" quotePrefix="1" applyBorder="1"/>
    <xf numFmtId="164" fontId="0" fillId="0" borderId="15" xfId="1" applyNumberFormat="1" applyFont="1" applyFill="1" applyBorder="1"/>
    <xf numFmtId="164" fontId="0" fillId="0" borderId="0" xfId="1" applyNumberFormat="1" applyFont="1" applyFill="1" applyAlignment="1"/>
    <xf numFmtId="0" fontId="0" fillId="2" borderId="1" xfId="0" applyFill="1" applyBorder="1"/>
    <xf numFmtId="0" fontId="3" fillId="0" borderId="0" xfId="0" applyFont="1"/>
    <xf numFmtId="43" fontId="0" fillId="0" borderId="0" xfId="1" applyFont="1"/>
    <xf numFmtId="165" fontId="0" fillId="0" borderId="0" xfId="1" applyNumberFormat="1" applyFont="1"/>
    <xf numFmtId="0" fontId="3" fillId="0" borderId="5" xfId="0" applyFont="1" applyBorder="1" applyAlignment="1">
      <alignment horizontal="right"/>
    </xf>
    <xf numFmtId="165" fontId="3" fillId="0" borderId="6" xfId="1" applyNumberFormat="1" applyFont="1" applyBorder="1" applyAlignment="1">
      <alignment horizontal="center"/>
    </xf>
    <xf numFmtId="165" fontId="3" fillId="0" borderId="21" xfId="1" applyNumberFormat="1" applyFont="1" applyBorder="1" applyAlignment="1">
      <alignment horizontal="center"/>
    </xf>
    <xf numFmtId="165" fontId="3" fillId="0" borderId="9" xfId="1" applyNumberFormat="1" applyFont="1" applyBorder="1" applyAlignment="1">
      <alignment horizontal="center"/>
    </xf>
    <xf numFmtId="165" fontId="3" fillId="0" borderId="5" xfId="1" applyNumberFormat="1" applyFont="1" applyBorder="1" applyAlignment="1">
      <alignment horizontal="center"/>
    </xf>
    <xf numFmtId="0" fontId="3" fillId="0" borderId="5" xfId="0" applyFont="1" applyBorder="1" applyAlignment="1">
      <alignment horizontal="center" vertical="center"/>
    </xf>
    <xf numFmtId="43" fontId="3" fillId="0" borderId="5" xfId="1" applyFont="1" applyBorder="1" applyAlignment="1">
      <alignment horizontal="center" vertical="center"/>
    </xf>
    <xf numFmtId="165" fontId="3" fillId="0" borderId="5" xfId="1" applyNumberFormat="1" applyFont="1" applyBorder="1" applyAlignment="1">
      <alignment horizontal="center" vertical="center" wrapText="1"/>
    </xf>
    <xf numFmtId="0" fontId="3" fillId="0" borderId="0" xfId="0" applyFont="1" applyAlignment="1">
      <alignment horizontal="center" vertical="center"/>
    </xf>
    <xf numFmtId="0" fontId="0" fillId="0" borderId="5" xfId="0" applyBorder="1" applyAlignment="1">
      <alignment horizontal="center"/>
    </xf>
    <xf numFmtId="43" fontId="0" fillId="0" borderId="5" xfId="1" applyFont="1" applyBorder="1"/>
    <xf numFmtId="165" fontId="0" fillId="0" borderId="5" xfId="1" applyNumberFormat="1" applyFont="1" applyBorder="1"/>
    <xf numFmtId="165" fontId="0" fillId="0" borderId="5" xfId="1" applyNumberFormat="1" applyFont="1" applyFill="1" applyBorder="1"/>
    <xf numFmtId="165" fontId="23" fillId="0" borderId="5" xfId="1" applyNumberFormat="1" applyFont="1" applyBorder="1"/>
    <xf numFmtId="165" fontId="3" fillId="0" borderId="5" xfId="1" applyNumberFormat="1" applyFont="1" applyBorder="1" applyAlignment="1">
      <alignment horizontal="right"/>
    </xf>
    <xf numFmtId="165" fontId="0" fillId="2" borderId="5" xfId="1" applyNumberFormat="1" applyFont="1" applyFill="1" applyBorder="1"/>
    <xf numFmtId="165" fontId="0" fillId="0" borderId="9" xfId="1" applyNumberFormat="1" applyFont="1" applyBorder="1"/>
    <xf numFmtId="165" fontId="3" fillId="0" borderId="5" xfId="1" applyNumberFormat="1" applyFont="1" applyBorder="1"/>
    <xf numFmtId="165" fontId="0" fillId="10" borderId="5" xfId="1" applyNumberFormat="1" applyFont="1" applyFill="1" applyBorder="1"/>
    <xf numFmtId="165" fontId="0" fillId="0" borderId="6" xfId="1" applyNumberFormat="1" applyFont="1" applyFill="1" applyBorder="1"/>
    <xf numFmtId="165" fontId="5" fillId="0" borderId="0" xfId="1" applyNumberFormat="1" applyFont="1" applyFill="1" applyBorder="1" applyAlignment="1">
      <alignment horizontal="center" vertical="top" wrapText="1"/>
    </xf>
    <xf numFmtId="0" fontId="3" fillId="3" borderId="5" xfId="0" applyFont="1" applyFill="1" applyBorder="1" applyAlignment="1">
      <alignment horizontal="center" vertical="top" wrapText="1"/>
    </xf>
    <xf numFmtId="164" fontId="3" fillId="3" borderId="5" xfId="1" applyNumberFormat="1" applyFont="1" applyFill="1" applyBorder="1" applyAlignment="1">
      <alignment horizontal="center" vertical="top" wrapText="1"/>
    </xf>
    <xf numFmtId="43" fontId="3" fillId="0" borderId="5" xfId="1" applyFont="1" applyBorder="1" applyAlignment="1">
      <alignment horizontal="center" vertical="top" wrapText="1"/>
    </xf>
    <xf numFmtId="164" fontId="3" fillId="2" borderId="5" xfId="1" applyNumberFormat="1" applyFont="1" applyFill="1" applyBorder="1" applyAlignment="1">
      <alignment horizontal="center" vertical="center" wrapText="1"/>
    </xf>
    <xf numFmtId="165" fontId="5" fillId="0" borderId="5" xfId="1" applyNumberFormat="1" applyFont="1" applyBorder="1" applyAlignment="1">
      <alignment horizontal="center" vertical="top" wrapText="1"/>
    </xf>
    <xf numFmtId="165" fontId="5" fillId="0" borderId="5" xfId="1" applyNumberFormat="1" applyFont="1" applyFill="1" applyBorder="1" applyAlignment="1">
      <alignment horizontal="center" vertical="top" wrapText="1"/>
    </xf>
    <xf numFmtId="0" fontId="0" fillId="9" borderId="5" xfId="0" applyFill="1" applyBorder="1" applyAlignment="1">
      <alignment vertical="top" wrapText="1"/>
    </xf>
    <xf numFmtId="0" fontId="2" fillId="0" borderId="5" xfId="2" applyBorder="1" applyAlignment="1">
      <alignment vertical="top"/>
    </xf>
    <xf numFmtId="0" fontId="20" fillId="0" borderId="5" xfId="0" applyFont="1" applyBorder="1" applyAlignment="1">
      <alignment vertical="top" wrapText="1"/>
    </xf>
    <xf numFmtId="165" fontId="20" fillId="0" borderId="5" xfId="1" applyNumberFormat="1" applyFont="1" applyBorder="1" applyAlignment="1">
      <alignment vertical="top" wrapText="1"/>
    </xf>
    <xf numFmtId="0" fontId="0" fillId="2" borderId="5" xfId="0" applyFill="1" applyBorder="1" applyAlignment="1">
      <alignment vertical="top" wrapText="1"/>
    </xf>
    <xf numFmtId="0" fontId="3" fillId="10" borderId="5" xfId="0" applyFont="1" applyFill="1" applyBorder="1" applyAlignment="1">
      <alignment vertical="top" wrapText="1"/>
    </xf>
    <xf numFmtId="0" fontId="3" fillId="10" borderId="5" xfId="0" applyFont="1" applyFill="1" applyBorder="1" applyAlignment="1">
      <alignment horizontal="center" vertical="top" wrapText="1"/>
    </xf>
    <xf numFmtId="0" fontId="4" fillId="10" borderId="5" xfId="0" applyFont="1" applyFill="1" applyBorder="1" applyAlignment="1">
      <alignment horizontal="center" vertical="top" wrapText="1"/>
    </xf>
    <xf numFmtId="0" fontId="0" fillId="10" borderId="5" xfId="0" applyFill="1" applyBorder="1" applyAlignment="1">
      <alignment vertical="top" wrapText="1"/>
    </xf>
    <xf numFmtId="43" fontId="0" fillId="2" borderId="5" xfId="1" applyFont="1" applyFill="1" applyBorder="1" applyAlignment="1">
      <alignment vertical="top" wrapText="1"/>
    </xf>
    <xf numFmtId="0" fontId="3" fillId="17" borderId="5" xfId="0" applyFont="1" applyFill="1" applyBorder="1" applyAlignment="1">
      <alignment vertical="top" wrapText="1"/>
    </xf>
    <xf numFmtId="0" fontId="0" fillId="18" borderId="5" xfId="0" applyFill="1" applyBorder="1" applyAlignment="1">
      <alignment vertical="top" wrapText="1"/>
    </xf>
    <xf numFmtId="164" fontId="0" fillId="18" borderId="5" xfId="1" applyNumberFormat="1" applyFont="1" applyFill="1" applyBorder="1" applyAlignment="1">
      <alignment vertical="top" wrapText="1"/>
    </xf>
    <xf numFmtId="167" fontId="20" fillId="0" borderId="5" xfId="0" applyNumberFormat="1" applyFont="1" applyBorder="1" applyAlignment="1">
      <alignment vertical="top" wrapText="1"/>
    </xf>
    <xf numFmtId="0" fontId="2" fillId="10" borderId="5" xfId="2" applyFill="1" applyBorder="1" applyAlignment="1">
      <alignment vertical="top" wrapText="1"/>
    </xf>
    <xf numFmtId="167" fontId="0" fillId="0" borderId="5" xfId="0" applyNumberFormat="1" applyBorder="1" applyAlignment="1">
      <alignment vertical="top" wrapText="1"/>
    </xf>
    <xf numFmtId="0" fontId="0" fillId="4" borderId="5" xfId="0" applyFill="1" applyBorder="1" applyAlignment="1">
      <alignment vertical="top" wrapText="1"/>
    </xf>
    <xf numFmtId="164" fontId="0" fillId="4" borderId="5" xfId="1" applyNumberFormat="1" applyFont="1" applyFill="1" applyBorder="1" applyAlignment="1">
      <alignment vertical="top" wrapText="1"/>
    </xf>
    <xf numFmtId="0" fontId="3" fillId="6" borderId="5" xfId="0" applyFont="1" applyFill="1" applyBorder="1" applyAlignment="1">
      <alignment vertical="top" wrapText="1"/>
    </xf>
    <xf numFmtId="0" fontId="22" fillId="9" borderId="5" xfId="3" quotePrefix="1" applyFont="1" applyFill="1" applyBorder="1" applyAlignment="1">
      <alignment vertical="center" wrapText="1"/>
    </xf>
    <xf numFmtId="0" fontId="0" fillId="19" borderId="5" xfId="0" applyFill="1" applyBorder="1" applyAlignment="1">
      <alignment vertical="top" wrapText="1"/>
    </xf>
    <xf numFmtId="0" fontId="2" fillId="0" borderId="5" xfId="2" applyBorder="1" applyAlignment="1">
      <alignment wrapText="1"/>
    </xf>
    <xf numFmtId="14" fontId="0" fillId="10" borderId="5" xfId="0" applyNumberFormat="1" applyFill="1" applyBorder="1" applyAlignment="1">
      <alignment vertical="top" wrapText="1"/>
    </xf>
    <xf numFmtId="15" fontId="0" fillId="10" borderId="5" xfId="0" applyNumberFormat="1" applyFill="1" applyBorder="1" applyAlignment="1">
      <alignment vertical="top" wrapText="1"/>
    </xf>
    <xf numFmtId="43" fontId="0" fillId="10" borderId="5" xfId="1" applyFont="1" applyFill="1" applyBorder="1" applyAlignment="1">
      <alignment vertical="top" wrapText="1"/>
    </xf>
    <xf numFmtId="165" fontId="0" fillId="10" borderId="5" xfId="1" applyNumberFormat="1" applyFont="1" applyFill="1" applyBorder="1" applyAlignment="1">
      <alignment vertical="top" wrapText="1"/>
    </xf>
    <xf numFmtId="0" fontId="0" fillId="10" borderId="0" xfId="0" applyFill="1" applyAlignment="1">
      <alignment vertical="top" wrapText="1"/>
    </xf>
    <xf numFmtId="0" fontId="4" fillId="2" borderId="5" xfId="0" applyFont="1" applyFill="1" applyBorder="1" applyAlignment="1">
      <alignment horizontal="center" vertical="top" wrapText="1"/>
    </xf>
    <xf numFmtId="0" fontId="22" fillId="20" borderId="5" xfId="0" quotePrefix="1" applyFont="1" applyFill="1" applyBorder="1" applyAlignment="1">
      <alignment wrapText="1"/>
    </xf>
    <xf numFmtId="164" fontId="3" fillId="0" borderId="2" xfId="1" applyNumberFormat="1" applyFont="1" applyBorder="1" applyAlignment="1">
      <alignment horizontal="center" vertical="top" wrapText="1"/>
    </xf>
    <xf numFmtId="165" fontId="5" fillId="2" borderId="0" xfId="1" applyNumberFormat="1" applyFont="1" applyFill="1" applyAlignment="1">
      <alignment horizontal="center" vertical="top" wrapText="1"/>
    </xf>
    <xf numFmtId="165" fontId="5" fillId="2" borderId="22" xfId="1" applyNumberFormat="1" applyFont="1" applyFill="1" applyBorder="1" applyAlignment="1">
      <alignment horizontal="center" vertical="top" wrapText="1"/>
    </xf>
    <xf numFmtId="164" fontId="3" fillId="11" borderId="5" xfId="1" applyNumberFormat="1" applyFont="1" applyFill="1" applyBorder="1" applyAlignment="1">
      <alignment horizontal="center" vertical="center" wrapText="1"/>
    </xf>
    <xf numFmtId="0" fontId="0" fillId="0" borderId="23" xfId="0" applyBorder="1" applyAlignment="1">
      <alignment vertical="top" wrapText="1"/>
    </xf>
    <xf numFmtId="0" fontId="0" fillId="5" borderId="15" xfId="0" applyFill="1" applyBorder="1" applyAlignment="1">
      <alignment vertical="top" wrapText="1"/>
    </xf>
    <xf numFmtId="165" fontId="0" fillId="5" borderId="15" xfId="1" applyNumberFormat="1" applyFont="1" applyFill="1" applyBorder="1" applyAlignment="1">
      <alignment vertical="top" wrapText="1"/>
    </xf>
    <xf numFmtId="0" fontId="6" fillId="0" borderId="5" xfId="0" applyFont="1" applyBorder="1" applyAlignment="1">
      <alignment vertical="top"/>
    </xf>
    <xf numFmtId="0" fontId="0" fillId="0" borderId="18" xfId="0" applyBorder="1" applyAlignment="1">
      <alignment vertical="top" wrapText="1"/>
    </xf>
    <xf numFmtId="0" fontId="0" fillId="0" borderId="16" xfId="0" applyBorder="1" applyAlignment="1">
      <alignment vertical="top" wrapText="1"/>
    </xf>
    <xf numFmtId="0" fontId="6" fillId="6" borderId="5" xfId="0" applyFont="1" applyFill="1" applyBorder="1" applyAlignment="1">
      <alignment vertical="top" wrapText="1"/>
    </xf>
    <xf numFmtId="0" fontId="7" fillId="6" borderId="5" xfId="0" applyFont="1" applyFill="1" applyBorder="1" applyAlignment="1">
      <alignment vertical="top" wrapText="1"/>
    </xf>
    <xf numFmtId="0" fontId="6" fillId="2" borderId="5" xfId="0" applyFont="1" applyFill="1" applyBorder="1" applyAlignment="1">
      <alignment vertical="top" wrapText="1"/>
    </xf>
    <xf numFmtId="0" fontId="7" fillId="2" borderId="5" xfId="0" applyFont="1" applyFill="1" applyBorder="1" applyAlignment="1">
      <alignment vertical="top" wrapText="1"/>
    </xf>
    <xf numFmtId="0" fontId="0" fillId="2" borderId="5" xfId="0" quotePrefix="1" applyFill="1" applyBorder="1" applyAlignment="1">
      <alignment vertical="top" wrapText="1"/>
    </xf>
    <xf numFmtId="0" fontId="2" fillId="2" borderId="5" xfId="2" applyFill="1" applyBorder="1" applyAlignment="1">
      <alignment vertical="top" wrapText="1"/>
    </xf>
    <xf numFmtId="0" fontId="0" fillId="2" borderId="5" xfId="0" applyFill="1" applyBorder="1" applyAlignment="1">
      <alignment wrapText="1"/>
    </xf>
    <xf numFmtId="14" fontId="0" fillId="2" borderId="5" xfId="0" applyNumberFormat="1" applyFill="1" applyBorder="1" applyAlignment="1">
      <alignment vertical="top" wrapText="1"/>
    </xf>
    <xf numFmtId="15" fontId="0" fillId="2" borderId="5" xfId="0" applyNumberFormat="1" applyFill="1" applyBorder="1" applyAlignment="1">
      <alignment vertical="top" wrapText="1"/>
    </xf>
    <xf numFmtId="164" fontId="0" fillId="2" borderId="5" xfId="0" applyNumberFormat="1" applyFill="1" applyBorder="1" applyAlignment="1">
      <alignment vertical="top" wrapText="1"/>
    </xf>
    <xf numFmtId="165" fontId="0" fillId="2" borderId="5" xfId="1" applyNumberFormat="1" applyFont="1" applyFill="1" applyBorder="1" applyAlignment="1">
      <alignment vertical="top" wrapText="1"/>
    </xf>
    <xf numFmtId="165" fontId="0" fillId="2" borderId="6" xfId="1" applyNumberFormat="1" applyFont="1" applyFill="1" applyBorder="1" applyAlignment="1">
      <alignment vertical="top" wrapText="1"/>
    </xf>
    <xf numFmtId="0" fontId="0" fillId="2" borderId="18" xfId="0" applyFill="1" applyBorder="1" applyAlignment="1">
      <alignment vertical="top" wrapText="1"/>
    </xf>
    <xf numFmtId="0" fontId="6" fillId="2" borderId="5" xfId="0" applyFont="1" applyFill="1" applyBorder="1" applyAlignment="1">
      <alignment wrapText="1"/>
    </xf>
    <xf numFmtId="0" fontId="2" fillId="2" borderId="5" xfId="2" applyFill="1" applyBorder="1" applyAlignment="1">
      <alignment vertical="top"/>
    </xf>
    <xf numFmtId="0" fontId="4" fillId="0" borderId="16" xfId="0" applyFont="1" applyBorder="1" applyAlignment="1">
      <alignment horizontal="center" vertical="top" wrapText="1"/>
    </xf>
    <xf numFmtId="0" fontId="6" fillId="0" borderId="5" xfId="0" applyFont="1" applyBorder="1" applyAlignment="1">
      <alignment horizontal="left" vertical="top" wrapText="1"/>
    </xf>
    <xf numFmtId="0" fontId="0" fillId="2" borderId="0" xfId="0" applyFill="1" applyAlignment="1">
      <alignment vertical="top" wrapText="1"/>
    </xf>
    <xf numFmtId="0" fontId="2" fillId="2" borderId="0" xfId="2" applyFill="1" applyBorder="1" applyAlignment="1">
      <alignment vertical="top" wrapText="1"/>
    </xf>
    <xf numFmtId="0" fontId="6" fillId="2" borderId="0" xfId="0" applyFont="1" applyFill="1" applyAlignment="1">
      <alignment wrapText="1"/>
    </xf>
    <xf numFmtId="0" fontId="4" fillId="0" borderId="0" xfId="0" applyFont="1" applyAlignment="1">
      <alignment horizontal="center" vertical="top" wrapText="1"/>
    </xf>
    <xf numFmtId="0" fontId="2" fillId="0" borderId="23" xfId="2" applyBorder="1" applyAlignment="1">
      <alignment vertical="top" wrapText="1"/>
    </xf>
    <xf numFmtId="0" fontId="0" fillId="2" borderId="23" xfId="0" applyFill="1" applyBorder="1" applyAlignment="1">
      <alignment vertical="top" wrapText="1"/>
    </xf>
    <xf numFmtId="0" fontId="2" fillId="0" borderId="23" xfId="2" applyFill="1" applyBorder="1" applyAlignment="1">
      <alignment vertical="top" wrapText="1"/>
    </xf>
    <xf numFmtId="0" fontId="3" fillId="0" borderId="1" xfId="0" applyFont="1" applyBorder="1" applyAlignment="1">
      <alignment horizontal="center" vertical="top" wrapText="1"/>
    </xf>
    <xf numFmtId="0" fontId="3" fillId="0" borderId="23" xfId="0" applyFont="1" applyBorder="1" applyAlignment="1">
      <alignment horizontal="center" vertical="top" wrapText="1"/>
    </xf>
    <xf numFmtId="0" fontId="6" fillId="6" borderId="16" xfId="0" applyFont="1" applyFill="1" applyBorder="1" applyAlignment="1">
      <alignment wrapText="1"/>
    </xf>
    <xf numFmtId="0" fontId="3" fillId="2" borderId="23" xfId="0" applyFont="1" applyFill="1" applyBorder="1" applyAlignment="1">
      <alignment horizontal="center" vertical="top" wrapText="1"/>
    </xf>
    <xf numFmtId="0" fontId="6" fillId="2" borderId="16" xfId="0" applyFont="1" applyFill="1" applyBorder="1" applyAlignment="1">
      <alignment vertical="top" wrapText="1"/>
    </xf>
    <xf numFmtId="0" fontId="7" fillId="2" borderId="16" xfId="0" applyFont="1" applyFill="1" applyBorder="1" applyAlignment="1">
      <alignment vertical="top" wrapText="1"/>
    </xf>
    <xf numFmtId="0" fontId="6" fillId="2" borderId="16" xfId="0" applyFont="1" applyFill="1" applyBorder="1" applyAlignment="1">
      <alignment wrapText="1"/>
    </xf>
    <xf numFmtId="0" fontId="0" fillId="2" borderId="9" xfId="0" applyFill="1" applyBorder="1" applyAlignment="1">
      <alignment vertical="top" wrapText="1"/>
    </xf>
    <xf numFmtId="0" fontId="2" fillId="2" borderId="23" xfId="2" applyFill="1" applyBorder="1" applyAlignment="1">
      <alignment vertical="top"/>
    </xf>
    <xf numFmtId="0" fontId="6" fillId="0" borderId="16" xfId="0" applyFont="1" applyBorder="1" applyAlignment="1">
      <alignment vertical="top" wrapText="1"/>
    </xf>
    <xf numFmtId="0" fontId="0" fillId="0" borderId="9" xfId="0" quotePrefix="1" applyBorder="1" applyAlignment="1">
      <alignment vertical="top" wrapText="1"/>
    </xf>
    <xf numFmtId="0" fontId="2" fillId="2" borderId="23" xfId="2" applyFill="1" applyBorder="1" applyAlignment="1">
      <alignment vertical="top" wrapText="1"/>
    </xf>
    <xf numFmtId="0" fontId="6" fillId="6" borderId="23" xfId="0" applyFont="1" applyFill="1" applyBorder="1" applyAlignment="1">
      <alignment horizontal="left" vertical="top" wrapText="1"/>
    </xf>
    <xf numFmtId="0" fontId="7" fillId="0" borderId="16" xfId="0" applyFont="1" applyBorder="1" applyAlignment="1">
      <alignment vertical="top"/>
    </xf>
    <xf numFmtId="0" fontId="7" fillId="6" borderId="16" xfId="0" applyFont="1" applyFill="1" applyBorder="1" applyAlignment="1">
      <alignment wrapText="1"/>
    </xf>
    <xf numFmtId="0" fontId="6" fillId="6" borderId="9" xfId="0" quotePrefix="1" applyFont="1" applyFill="1" applyBorder="1" applyAlignment="1">
      <alignment vertical="top" wrapText="1"/>
    </xf>
    <xf numFmtId="0" fontId="6" fillId="6" borderId="23" xfId="0" applyFont="1" applyFill="1" applyBorder="1" applyAlignment="1">
      <alignment vertical="top" wrapText="1"/>
    </xf>
    <xf numFmtId="0" fontId="7" fillId="0" borderId="23" xfId="0" applyFont="1" applyBorder="1" applyAlignment="1">
      <alignment vertical="top"/>
    </xf>
    <xf numFmtId="0" fontId="2" fillId="0" borderId="0" xfId="2" applyBorder="1" applyAlignment="1">
      <alignment vertical="top" wrapText="1"/>
    </xf>
    <xf numFmtId="0" fontId="7" fillId="6" borderId="23" xfId="0" applyFont="1" applyFill="1" applyBorder="1" applyAlignment="1">
      <alignment vertical="top" wrapText="1"/>
    </xf>
    <xf numFmtId="0" fontId="4" fillId="0" borderId="23" xfId="0" applyFont="1" applyBorder="1" applyAlignment="1">
      <alignment horizontal="center" vertical="top" wrapText="1"/>
    </xf>
    <xf numFmtId="0" fontId="7" fillId="6" borderId="23" xfId="0" applyFont="1" applyFill="1" applyBorder="1" applyAlignment="1">
      <alignment horizontal="left" vertical="top" wrapText="1"/>
    </xf>
    <xf numFmtId="0" fontId="6" fillId="2" borderId="23" xfId="0" applyFont="1" applyFill="1" applyBorder="1" applyAlignment="1">
      <alignment vertical="top" wrapText="1"/>
    </xf>
    <xf numFmtId="0" fontId="7" fillId="2" borderId="23" xfId="0" applyFont="1" applyFill="1" applyBorder="1" applyAlignment="1">
      <alignment vertical="top" wrapText="1"/>
    </xf>
    <xf numFmtId="0" fontId="6" fillId="2" borderId="0" xfId="0" applyFont="1" applyFill="1" applyAlignment="1">
      <alignment vertical="top" wrapText="1"/>
    </xf>
    <xf numFmtId="0" fontId="0" fillId="2" borderId="9" xfId="0" quotePrefix="1" applyFill="1" applyBorder="1" applyAlignment="1">
      <alignment vertical="top" wrapText="1"/>
    </xf>
    <xf numFmtId="0" fontId="2" fillId="6" borderId="23" xfId="2" applyFill="1" applyBorder="1" applyAlignment="1">
      <alignment vertical="top" wrapText="1"/>
    </xf>
    <xf numFmtId="0" fontId="6" fillId="0" borderId="23" xfId="0" applyFont="1" applyBorder="1" applyAlignment="1">
      <alignment vertical="top" wrapText="1"/>
    </xf>
    <xf numFmtId="0" fontId="3" fillId="0" borderId="15" xfId="0" applyFont="1" applyBorder="1" applyAlignment="1">
      <alignment horizontal="center" vertical="top" wrapText="1"/>
    </xf>
    <xf numFmtId="0" fontId="4" fillId="0" borderId="15" xfId="0" applyFont="1" applyBorder="1" applyAlignment="1">
      <alignment horizontal="center" vertical="top" wrapText="1"/>
    </xf>
    <xf numFmtId="0" fontId="6" fillId="0" borderId="5" xfId="0" applyFont="1" applyBorder="1" applyAlignment="1">
      <alignment vertical="top" wrapText="1"/>
    </xf>
    <xf numFmtId="0" fontId="6" fillId="6" borderId="5" xfId="0" applyFont="1" applyFill="1" applyBorder="1" applyAlignment="1">
      <alignment horizontal="left" vertical="top" wrapText="1"/>
    </xf>
    <xf numFmtId="0" fontId="2" fillId="6" borderId="5" xfId="2" applyFill="1" applyBorder="1" applyAlignment="1">
      <alignment vertical="top" wrapText="1"/>
    </xf>
    <xf numFmtId="0" fontId="6" fillId="6" borderId="5" xfId="0" applyFont="1" applyFill="1" applyBorder="1" applyAlignment="1">
      <alignment wrapText="1"/>
    </xf>
    <xf numFmtId="164" fontId="0" fillId="0" borderId="0" xfId="0" applyNumberFormat="1" applyAlignment="1">
      <alignment vertical="top" wrapText="1"/>
    </xf>
    <xf numFmtId="0" fontId="3" fillId="11" borderId="5" xfId="0" applyFont="1" applyFill="1" applyBorder="1" applyAlignment="1">
      <alignment horizontal="center" vertical="center"/>
    </xf>
    <xf numFmtId="0" fontId="25" fillId="0" borderId="24" xfId="0" applyFont="1" applyBorder="1" applyAlignment="1">
      <alignment vertical="center"/>
    </xf>
    <xf numFmtId="0" fontId="25" fillId="0" borderId="25" xfId="0" applyFont="1" applyBorder="1" applyAlignment="1">
      <alignment horizontal="center" vertical="center"/>
    </xf>
    <xf numFmtId="0" fontId="25" fillId="0" borderId="26" xfId="0" applyFont="1" applyBorder="1" applyAlignment="1">
      <alignment horizontal="center" vertical="center"/>
    </xf>
    <xf numFmtId="0" fontId="25" fillId="0" borderId="27" xfId="0" applyFont="1" applyBorder="1" applyAlignment="1">
      <alignment horizontal="center" vertical="center"/>
    </xf>
    <xf numFmtId="0" fontId="25" fillId="0" borderId="25" xfId="0" applyFont="1" applyBorder="1" applyAlignment="1">
      <alignment horizontal="center" vertical="center"/>
    </xf>
    <xf numFmtId="0" fontId="25" fillId="0" borderId="24" xfId="0" applyFont="1" applyBorder="1" applyAlignment="1">
      <alignment horizontal="center" vertical="center"/>
    </xf>
    <xf numFmtId="0" fontId="25" fillId="0" borderId="28" xfId="0" applyFont="1" applyBorder="1" applyAlignment="1">
      <alignment vertical="center"/>
    </xf>
    <xf numFmtId="0" fontId="0" fillId="0" borderId="29" xfId="0" applyBorder="1" applyAlignment="1">
      <alignment vertical="center"/>
    </xf>
    <xf numFmtId="0" fontId="25" fillId="0" borderId="30" xfId="0" applyFont="1" applyBorder="1" applyAlignment="1">
      <alignment horizontal="center" vertical="center"/>
    </xf>
    <xf numFmtId="0" fontId="25" fillId="0" borderId="31" xfId="0" applyFont="1" applyBorder="1" applyAlignment="1">
      <alignment horizontal="center" vertical="center"/>
    </xf>
    <xf numFmtId="0" fontId="25" fillId="0" borderId="32" xfId="0" applyFont="1" applyBorder="1" applyAlignment="1">
      <alignment horizontal="center" vertical="center"/>
    </xf>
    <xf numFmtId="0" fontId="25" fillId="0" borderId="33" xfId="0" applyFont="1" applyBorder="1" applyAlignment="1">
      <alignment horizontal="center" vertical="center"/>
    </xf>
    <xf numFmtId="0" fontId="25" fillId="0" borderId="28" xfId="0" applyFont="1" applyBorder="1" applyAlignment="1">
      <alignment horizontal="center" vertical="center"/>
    </xf>
    <xf numFmtId="0" fontId="25" fillId="0" borderId="29" xfId="0" applyFont="1" applyBorder="1" applyAlignment="1">
      <alignment horizontal="center" vertical="center"/>
    </xf>
    <xf numFmtId="0" fontId="26" fillId="0" borderId="29" xfId="0" applyFont="1" applyBorder="1" applyAlignment="1">
      <alignment horizontal="center" vertical="center"/>
    </xf>
    <xf numFmtId="0" fontId="26" fillId="0" borderId="24" xfId="0" applyFont="1" applyBorder="1" applyAlignment="1">
      <alignment horizontal="center" vertical="center"/>
    </xf>
    <xf numFmtId="0" fontId="26" fillId="0" borderId="28" xfId="0" applyFont="1" applyBorder="1" applyAlignment="1">
      <alignment horizontal="center" vertical="center"/>
    </xf>
    <xf numFmtId="0" fontId="25" fillId="0" borderId="33" xfId="0" applyFont="1" applyBorder="1" applyAlignment="1">
      <alignment vertical="center"/>
    </xf>
    <xf numFmtId="0" fontId="0" fillId="0" borderId="32" xfId="0" applyBorder="1" applyAlignment="1">
      <alignment vertical="center"/>
    </xf>
    <xf numFmtId="0" fontId="26" fillId="0" borderId="32" xfId="0" applyFont="1" applyBorder="1" applyAlignment="1">
      <alignment horizontal="center" vertical="center"/>
    </xf>
    <xf numFmtId="0" fontId="26" fillId="0" borderId="33" xfId="0" applyFont="1" applyBorder="1" applyAlignment="1">
      <alignment horizontal="center" vertical="center"/>
    </xf>
    <xf numFmtId="0" fontId="25" fillId="0" borderId="24" xfId="0" applyFont="1" applyBorder="1" applyAlignment="1">
      <alignment horizontal="left" vertical="center"/>
    </xf>
    <xf numFmtId="0" fontId="25" fillId="0" borderId="29" xfId="0" applyFont="1" applyBorder="1" applyAlignment="1">
      <alignment horizontal="left" vertical="center"/>
    </xf>
    <xf numFmtId="0" fontId="25" fillId="0" borderId="28" xfId="0" applyFont="1" applyBorder="1" applyAlignment="1">
      <alignment horizontal="left" vertical="center"/>
    </xf>
    <xf numFmtId="0" fontId="25" fillId="0" borderId="33" xfId="0" applyFont="1" applyBorder="1" applyAlignment="1">
      <alignment horizontal="left" vertical="center"/>
    </xf>
    <xf numFmtId="0" fontId="25" fillId="0" borderId="32" xfId="0" applyFont="1" applyBorder="1" applyAlignment="1">
      <alignment horizontal="left" vertical="center"/>
    </xf>
    <xf numFmtId="0" fontId="0" fillId="0" borderId="29" xfId="0" applyBorder="1" applyAlignment="1">
      <alignment horizontal="left" vertical="center"/>
    </xf>
    <xf numFmtId="0" fontId="25" fillId="0" borderId="29" xfId="0" applyFont="1" applyBorder="1" applyAlignment="1">
      <alignment vertical="center"/>
    </xf>
    <xf numFmtId="0" fontId="25" fillId="0" borderId="32" xfId="0" applyFont="1" applyBorder="1" applyAlignment="1">
      <alignment vertical="center"/>
    </xf>
    <xf numFmtId="0" fontId="2" fillId="0" borderId="32" xfId="2" applyBorder="1" applyAlignment="1">
      <alignment horizontal="left" vertical="center"/>
    </xf>
    <xf numFmtId="0" fontId="2" fillId="0" borderId="29" xfId="2" applyBorder="1" applyAlignment="1">
      <alignment vertical="center"/>
    </xf>
    <xf numFmtId="0" fontId="2" fillId="0" borderId="32" xfId="2" applyBorder="1" applyAlignment="1">
      <alignment vertical="center"/>
    </xf>
    <xf numFmtId="0" fontId="29" fillId="0" borderId="29" xfId="0" applyFont="1" applyBorder="1" applyAlignment="1">
      <alignment horizontal="left" vertical="center"/>
    </xf>
    <xf numFmtId="0" fontId="26" fillId="0" borderId="25" xfId="0" applyFont="1" applyBorder="1" applyAlignment="1">
      <alignment horizontal="center" vertical="center"/>
    </xf>
    <xf numFmtId="0" fontId="26" fillId="0" borderId="26" xfId="0" applyFont="1" applyBorder="1" applyAlignment="1">
      <alignment horizontal="center" vertical="center"/>
    </xf>
    <xf numFmtId="0" fontId="26" fillId="0" borderId="27" xfId="0" applyFont="1" applyBorder="1" applyAlignment="1">
      <alignment horizontal="center" vertical="center"/>
    </xf>
    <xf numFmtId="0" fontId="26" fillId="0" borderId="25" xfId="0" applyFont="1" applyBorder="1" applyAlignment="1">
      <alignment horizontal="center" vertical="center"/>
    </xf>
    <xf numFmtId="0" fontId="26" fillId="0" borderId="30" xfId="0" applyFont="1" applyBorder="1" applyAlignment="1">
      <alignment horizontal="center" vertical="center"/>
    </xf>
    <xf numFmtId="0" fontId="26" fillId="0" borderId="31" xfId="0" applyFont="1" applyBorder="1" applyAlignment="1">
      <alignment horizontal="center" vertical="center"/>
    </xf>
    <xf numFmtId="0" fontId="26" fillId="0" borderId="32" xfId="0" applyFont="1" applyBorder="1" applyAlignment="1">
      <alignment horizontal="center" vertical="center"/>
    </xf>
    <xf numFmtId="0" fontId="0" fillId="0" borderId="34" xfId="0" applyBorder="1" applyAlignment="1">
      <alignment vertical="center"/>
    </xf>
    <xf numFmtId="0" fontId="0" fillId="0" borderId="0" xfId="0" applyAlignment="1">
      <alignment vertical="center"/>
    </xf>
    <xf numFmtId="0" fontId="0" fillId="0" borderId="29" xfId="0" applyBorder="1" applyAlignment="1">
      <alignment vertical="center"/>
    </xf>
    <xf numFmtId="0" fontId="2" fillId="0" borderId="29" xfId="2" applyBorder="1" applyAlignment="1">
      <alignment horizontal="left" vertical="center"/>
    </xf>
    <xf numFmtId="0" fontId="25" fillId="0" borderId="26" xfId="0" applyFont="1" applyBorder="1" applyAlignment="1">
      <alignment horizontal="left" vertical="center"/>
    </xf>
    <xf numFmtId="0" fontId="25" fillId="0" borderId="27" xfId="0" applyFont="1" applyBorder="1" applyAlignment="1">
      <alignment horizontal="left" vertical="center"/>
    </xf>
    <xf numFmtId="0" fontId="25" fillId="0" borderId="25" xfId="0" applyFont="1" applyBorder="1" applyAlignment="1">
      <alignment horizontal="left" vertical="center"/>
    </xf>
    <xf numFmtId="0" fontId="25" fillId="0" borderId="34" xfId="0" applyFont="1" applyBorder="1" applyAlignment="1">
      <alignment horizontal="left" vertical="center"/>
    </xf>
    <xf numFmtId="0" fontId="25" fillId="0" borderId="0" xfId="0" applyFont="1" applyAlignment="1">
      <alignment horizontal="left" vertical="center"/>
    </xf>
    <xf numFmtId="0" fontId="25" fillId="0" borderId="29" xfId="0" applyFont="1" applyBorder="1" applyAlignment="1">
      <alignment horizontal="left" vertical="center"/>
    </xf>
    <xf numFmtId="0" fontId="25" fillId="0" borderId="34" xfId="0" applyFont="1" applyBorder="1" applyAlignment="1">
      <alignment vertical="center"/>
    </xf>
    <xf numFmtId="0" fontId="25" fillId="0" borderId="0" xfId="0" applyFont="1" applyAlignment="1">
      <alignment vertical="center"/>
    </xf>
    <xf numFmtId="0" fontId="25" fillId="0" borderId="29" xfId="0" applyFont="1" applyBorder="1" applyAlignment="1">
      <alignment vertical="center"/>
    </xf>
    <xf numFmtId="0" fontId="2" fillId="0" borderId="30" xfId="2" applyBorder="1" applyAlignment="1">
      <alignment vertical="center"/>
    </xf>
    <xf numFmtId="0" fontId="2" fillId="0" borderId="31" xfId="2" applyBorder="1" applyAlignment="1">
      <alignment vertical="center"/>
    </xf>
    <xf numFmtId="0" fontId="2" fillId="0" borderId="32" xfId="2" applyBorder="1" applyAlignment="1">
      <alignment vertical="center"/>
    </xf>
    <xf numFmtId="0" fontId="30" fillId="0" borderId="29" xfId="0" applyFont="1" applyBorder="1" applyAlignment="1">
      <alignment horizontal="left" vertical="center"/>
    </xf>
    <xf numFmtId="0" fontId="2" fillId="0" borderId="34" xfId="2" applyBorder="1" applyAlignment="1">
      <alignment vertical="center"/>
    </xf>
    <xf numFmtId="0" fontId="2" fillId="0" borderId="0" xfId="2" applyAlignment="1">
      <alignment vertical="center"/>
    </xf>
    <xf numFmtId="0" fontId="2" fillId="0" borderId="29" xfId="2" applyBorder="1" applyAlignment="1">
      <alignment vertical="center"/>
    </xf>
    <xf numFmtId="0" fontId="0" fillId="0" borderId="30" xfId="0"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2" fillId="0" borderId="34" xfId="2" applyBorder="1" applyAlignment="1">
      <alignment horizontal="left" vertical="center"/>
    </xf>
    <xf numFmtId="0" fontId="2" fillId="0" borderId="0" xfId="2" applyAlignment="1">
      <alignment horizontal="left" vertical="center"/>
    </xf>
    <xf numFmtId="0" fontId="2" fillId="0" borderId="29" xfId="2" applyBorder="1" applyAlignment="1">
      <alignment horizontal="lef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5" xfId="0" applyFont="1" applyBorder="1" applyAlignment="1">
      <alignment vertical="center"/>
    </xf>
    <xf numFmtId="0" fontId="26" fillId="0" borderId="29" xfId="0" applyFont="1" applyBorder="1" applyAlignment="1">
      <alignment horizontal="left" vertical="center"/>
    </xf>
    <xf numFmtId="0" fontId="26" fillId="0" borderId="26" xfId="0" applyFont="1" applyBorder="1" applyAlignment="1">
      <alignment horizontal="left" vertical="center"/>
    </xf>
    <xf numFmtId="0" fontId="26" fillId="0" borderId="27" xfId="0" applyFont="1" applyBorder="1" applyAlignment="1">
      <alignment horizontal="left" vertical="center"/>
    </xf>
    <xf numFmtId="0" fontId="26" fillId="0" borderId="25" xfId="0" applyFont="1" applyBorder="1" applyAlignment="1">
      <alignment horizontal="left" vertical="center"/>
    </xf>
    <xf numFmtId="0" fontId="26" fillId="0" borderId="34" xfId="0" applyFont="1" applyBorder="1" applyAlignment="1">
      <alignment horizontal="left" vertical="center"/>
    </xf>
    <xf numFmtId="0" fontId="26" fillId="0" borderId="0" xfId="0" applyFont="1" applyAlignment="1">
      <alignment horizontal="left" vertical="center"/>
    </xf>
    <xf numFmtId="0" fontId="26" fillId="0" borderId="29" xfId="0" applyFont="1" applyBorder="1" applyAlignment="1">
      <alignment horizontal="left" vertical="center"/>
    </xf>
    <xf numFmtId="0" fontId="26" fillId="0" borderId="30" xfId="0" applyFont="1" applyBorder="1" applyAlignment="1">
      <alignment horizontal="left" vertical="center"/>
    </xf>
    <xf numFmtId="0" fontId="26" fillId="0" borderId="31" xfId="0" applyFont="1" applyBorder="1" applyAlignment="1">
      <alignment horizontal="left" vertical="center"/>
    </xf>
    <xf numFmtId="0" fontId="26" fillId="0" borderId="32" xfId="0" applyFont="1" applyBorder="1" applyAlignment="1">
      <alignment horizontal="left" vertical="center"/>
    </xf>
    <xf numFmtId="0" fontId="26" fillId="0" borderId="35" xfId="0" applyFont="1" applyBorder="1" applyAlignment="1">
      <alignment vertical="center"/>
    </xf>
    <xf numFmtId="0" fontId="0" fillId="0" borderId="36" xfId="0" applyBorder="1" applyAlignment="1">
      <alignment vertical="center"/>
    </xf>
    <xf numFmtId="0" fontId="0" fillId="0" borderId="37" xfId="0" applyBorder="1" applyAlignment="1">
      <alignment vertical="center"/>
    </xf>
    <xf numFmtId="0" fontId="0" fillId="0" borderId="35" xfId="0" applyBorder="1" applyAlignment="1">
      <alignment vertical="center"/>
    </xf>
    <xf numFmtId="0" fontId="25" fillId="0" borderId="30" xfId="0" applyFont="1" applyBorder="1" applyAlignment="1">
      <alignment horizontal="left" vertical="center"/>
    </xf>
    <xf numFmtId="0" fontId="25" fillId="0" borderId="31" xfId="0" applyFont="1" applyBorder="1" applyAlignment="1">
      <alignment horizontal="left" vertical="center"/>
    </xf>
    <xf numFmtId="0" fontId="25" fillId="0" borderId="32" xfId="0" applyFont="1" applyBorder="1" applyAlignment="1">
      <alignment horizontal="lef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6" fillId="0" borderId="35" xfId="0" applyFont="1" applyBorder="1" applyAlignment="1">
      <alignment horizontal="center" vertical="center"/>
    </xf>
    <xf numFmtId="0" fontId="0" fillId="0" borderId="29" xfId="0" applyBorder="1"/>
    <xf numFmtId="0" fontId="25" fillId="0" borderId="32" xfId="0" applyFont="1" applyBorder="1" applyAlignment="1">
      <alignment horizontal="center" vertical="center"/>
    </xf>
    <xf numFmtId="0" fontId="0" fillId="0" borderId="34" xfId="0" applyBorder="1" applyAlignment="1">
      <alignment horizontal="left" vertical="center"/>
    </xf>
    <xf numFmtId="0" fontId="0" fillId="0" borderId="0" xfId="0" applyAlignment="1">
      <alignment horizontal="left" vertical="center"/>
    </xf>
    <xf numFmtId="0" fontId="0" fillId="0" borderId="29" xfId="0" applyBorder="1" applyAlignment="1">
      <alignment horizontal="left" vertical="center"/>
    </xf>
    <xf numFmtId="0" fontId="0" fillId="0" borderId="31" xfId="0" applyBorder="1"/>
    <xf numFmtId="0" fontId="0" fillId="0" borderId="32" xfId="0" applyBorder="1"/>
    <xf numFmtId="0" fontId="2" fillId="0" borderId="26" xfId="2" applyBorder="1" applyAlignment="1">
      <alignment vertical="center"/>
    </xf>
    <xf numFmtId="0" fontId="2" fillId="0" borderId="27" xfId="2" applyBorder="1" applyAlignment="1">
      <alignment vertical="center"/>
    </xf>
    <xf numFmtId="0" fontId="2" fillId="0" borderId="25" xfId="2" applyBorder="1" applyAlignment="1">
      <alignment vertical="center"/>
    </xf>
    <xf numFmtId="9" fontId="25" fillId="0" borderId="32" xfId="0" applyNumberFormat="1" applyFont="1" applyBorder="1" applyAlignment="1">
      <alignment vertical="center"/>
    </xf>
    <xf numFmtId="0" fontId="26" fillId="0" borderId="33" xfId="0" applyFont="1" applyBorder="1" applyAlignment="1">
      <alignment horizontal="center" vertical="center"/>
    </xf>
    <xf numFmtId="15" fontId="26" fillId="0" borderId="32" xfId="0" applyNumberFormat="1" applyFont="1" applyBorder="1" applyAlignment="1">
      <alignment horizontal="center" vertical="center"/>
    </xf>
    <xf numFmtId="15" fontId="26" fillId="0" borderId="36" xfId="0" applyNumberFormat="1" applyFont="1" applyBorder="1" applyAlignment="1">
      <alignment horizontal="center" vertical="center"/>
    </xf>
    <xf numFmtId="15" fontId="26" fillId="0" borderId="35" xfId="0" applyNumberFormat="1" applyFont="1" applyBorder="1" applyAlignment="1">
      <alignment horizontal="center" vertical="center"/>
    </xf>
    <xf numFmtId="0" fontId="26" fillId="0" borderId="36" xfId="0" applyFont="1" applyBorder="1" applyAlignment="1">
      <alignment horizontal="center" vertical="center"/>
    </xf>
    <xf numFmtId="0" fontId="26" fillId="0" borderId="37" xfId="0" applyFont="1" applyBorder="1" applyAlignment="1">
      <alignment horizontal="center" vertical="center"/>
    </xf>
    <xf numFmtId="0" fontId="26" fillId="0" borderId="35" xfId="0" applyFont="1" applyBorder="1" applyAlignment="1">
      <alignment horizontal="center" vertical="center"/>
    </xf>
    <xf numFmtId="0" fontId="2" fillId="0" borderId="24" xfId="2" applyBorder="1" applyAlignment="1">
      <alignment vertical="center"/>
    </xf>
    <xf numFmtId="0" fontId="30" fillId="0" borderId="26" xfId="0" applyFont="1" applyBorder="1" applyAlignment="1">
      <alignment horizontal="left" vertical="center"/>
    </xf>
    <xf numFmtId="0" fontId="30" fillId="0" borderId="25" xfId="0" applyFont="1" applyBorder="1" applyAlignment="1">
      <alignment horizontal="left" vertical="center"/>
    </xf>
    <xf numFmtId="0" fontId="30" fillId="0" borderId="27" xfId="0" applyFont="1" applyBorder="1" applyAlignment="1">
      <alignment horizontal="left" vertical="center"/>
    </xf>
    <xf numFmtId="0" fontId="2" fillId="0" borderId="28" xfId="2" applyBorder="1" applyAlignment="1">
      <alignment vertical="center"/>
    </xf>
    <xf numFmtId="0" fontId="30" fillId="0" borderId="34" xfId="0" applyFont="1" applyBorder="1" applyAlignment="1">
      <alignment horizontal="left" vertical="center"/>
    </xf>
    <xf numFmtId="0" fontId="30" fillId="0" borderId="29" xfId="0" applyFont="1" applyBorder="1" applyAlignment="1">
      <alignment horizontal="left" vertical="center"/>
    </xf>
    <xf numFmtId="0" fontId="2" fillId="0" borderId="33" xfId="2" applyBorder="1" applyAlignment="1">
      <alignment vertical="center"/>
    </xf>
    <xf numFmtId="0" fontId="25" fillId="0" borderId="32" xfId="0" applyFont="1" applyBorder="1" applyAlignment="1">
      <alignment horizontal="right" vertical="center"/>
    </xf>
    <xf numFmtId="10" fontId="25" fillId="0" borderId="32" xfId="0" applyNumberFormat="1"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0" fillId="0" borderId="27" xfId="0" applyBorder="1" applyAlignment="1">
      <alignment vertical="center"/>
    </xf>
    <xf numFmtId="0" fontId="26" fillId="0" borderId="30" xfId="0" applyFont="1" applyBorder="1" applyAlignment="1">
      <alignment vertical="center"/>
    </xf>
    <xf numFmtId="0" fontId="26" fillId="0" borderId="31" xfId="0" applyFont="1" applyBorder="1" applyAlignment="1">
      <alignment vertical="center"/>
    </xf>
    <xf numFmtId="0" fontId="26" fillId="0" borderId="32" xfId="0" applyFont="1" applyBorder="1" applyAlignment="1">
      <alignment vertical="center"/>
    </xf>
    <xf numFmtId="0" fontId="25" fillId="0" borderId="37" xfId="0" applyFont="1" applyBorder="1" applyAlignment="1">
      <alignment vertical="center"/>
    </xf>
    <xf numFmtId="0" fontId="25" fillId="0" borderId="35" xfId="0" applyFont="1" applyBorder="1" applyAlignment="1">
      <alignment vertical="center"/>
    </xf>
    <xf numFmtId="0" fontId="25" fillId="0" borderId="35" xfId="0" applyFont="1" applyBorder="1" applyAlignment="1">
      <alignment vertical="center"/>
    </xf>
    <xf numFmtId="0" fontId="32" fillId="0" borderId="31" xfId="0" applyFont="1" applyBorder="1" applyAlignment="1">
      <alignment vertical="center"/>
    </xf>
    <xf numFmtId="0" fontId="32" fillId="0" borderId="32" xfId="0" applyFont="1" applyBorder="1" applyAlignment="1">
      <alignment vertical="center"/>
    </xf>
    <xf numFmtId="0" fontId="0" fillId="0" borderId="1" xfId="0" applyBorder="1" applyAlignment="1"/>
    <xf numFmtId="0" fontId="0" fillId="0" borderId="15" xfId="0" applyBorder="1" applyAlignment="1"/>
  </cellXfs>
  <cellStyles count="4">
    <cellStyle name="Hipertaut" xfId="2" builtinId="8"/>
    <cellStyle name="Koma" xfId="1" builtinId="3"/>
    <cellStyle name="Normal" xfId="0" builtinId="0"/>
    <cellStyle name="標準_P140・企画書_Format Laporan A3 (DRAFT-20080515)" xfId="3" xr:uid="{74FCCF2D-15E0-44F2-BD5A-60BC14894C8F}"/>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0</xdr:colOff>
      <xdr:row>129</xdr:row>
      <xdr:rowOff>1009650</xdr:rowOff>
    </xdr:from>
    <xdr:to>
      <xdr:col>10</xdr:col>
      <xdr:colOff>304800</xdr:colOff>
      <xdr:row>130</xdr:row>
      <xdr:rowOff>133350</xdr:rowOff>
    </xdr:to>
    <xdr:sp macro="" textlink="">
      <xdr:nvSpPr>
        <xdr:cNvPr id="2" name="Persegi panjang 1" descr="https://confluence.gdn-app.com/download/attachments/23918583/image2017-5-18%2017%3A18%3A53.png?version=1&amp;modificationDate=1495102733996&amp;api=v2">
          <a:extLst>
            <a:ext uri="{FF2B5EF4-FFF2-40B4-BE49-F238E27FC236}">
              <a16:creationId xmlns:a16="http://schemas.microsoft.com/office/drawing/2014/main" id="{5E91198C-A3B7-40DE-BBF9-CC5D0BC66056}"/>
            </a:ext>
          </a:extLst>
        </xdr:cNvPr>
        <xdr:cNvSpPr>
          <a:spLocks noChangeAspect="1" noChangeArrowheads="1"/>
        </xdr:cNvSpPr>
      </xdr:nvSpPr>
      <xdr:spPr bwMode="auto">
        <a:xfrm>
          <a:off x="23402925" y="142074900"/>
          <a:ext cx="304800" cy="1447800"/>
        </a:xfrm>
        <a:prstGeom prst="rect">
          <a:avLst/>
        </a:prstGeom>
        <a:noFill/>
        <a:extLst>
          <a:ext uri="{909E8E84-426E-40DD-AFC4-6F175D3DCCD1}">
            <a14:hiddenFill xmlns:a14="http://schemas.microsoft.com/office/drawing/2010/main">
              <a:solidFill>
                <a:srgbClr val="FFFFFF"/>
              </a:solid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twoCellAnchor>
    <xdr:from>
      <xdr:col>11</xdr:col>
      <xdr:colOff>0</xdr:colOff>
      <xdr:row>129</xdr:row>
      <xdr:rowOff>1009650</xdr:rowOff>
    </xdr:from>
    <xdr:to>
      <xdr:col>11</xdr:col>
      <xdr:colOff>304800</xdr:colOff>
      <xdr:row>130</xdr:row>
      <xdr:rowOff>133350</xdr:rowOff>
    </xdr:to>
    <xdr:sp macro="" textlink="">
      <xdr:nvSpPr>
        <xdr:cNvPr id="3" name="Persegi panjang 2" descr="https://confluence.gdn-app.com/download/attachments/23918583/image2017-5-18%2017%3A20%3A3.png?version=1&amp;modificationDate=1495102803679&amp;api=v2">
          <a:extLst>
            <a:ext uri="{FF2B5EF4-FFF2-40B4-BE49-F238E27FC236}">
              <a16:creationId xmlns:a16="http://schemas.microsoft.com/office/drawing/2014/main" id="{EF8C758E-EAC0-4527-BB8E-C4C43F4513BD}"/>
            </a:ext>
            <a:ext uri="{147F2762-F138-4A5C-976F-8EAC2B608ADB}">
              <a16:predDERef xmlns:a16="http://schemas.microsoft.com/office/drawing/2014/main" pred="{5E91198C-A3B7-40DE-BBF9-CC5D0BC66056}"/>
            </a:ext>
          </a:extLst>
        </xdr:cNvPr>
        <xdr:cNvSpPr>
          <a:spLocks noChangeAspect="1" noChangeArrowheads="1"/>
        </xdr:cNvSpPr>
      </xdr:nvSpPr>
      <xdr:spPr bwMode="auto">
        <a:xfrm>
          <a:off x="27670125" y="142074900"/>
          <a:ext cx="304800" cy="1447800"/>
        </a:xfrm>
        <a:prstGeom prst="rect">
          <a:avLst/>
        </a:prstGeom>
        <a:noFill/>
        <a:extLst>
          <a:ext uri="{909E8E84-426E-40DD-AFC4-6F175D3DCCD1}">
            <a14:hiddenFill xmlns:a14="http://schemas.microsoft.com/office/drawing/2010/main">
              <a:solidFill>
                <a:srgbClr val="FFFFFF"/>
              </a:solidFill>
            </a14:hiddenFill>
          </a:ext>
        </a:extLst>
      </xdr:spPr>
      <xdr:txBody>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74</xdr:row>
      <xdr:rowOff>47625</xdr:rowOff>
    </xdr:from>
    <xdr:to>
      <xdr:col>8</xdr:col>
      <xdr:colOff>733425</xdr:colOff>
      <xdr:row>102</xdr:row>
      <xdr:rowOff>85725</xdr:rowOff>
    </xdr:to>
    <xdr:pic>
      <xdr:nvPicPr>
        <xdr:cNvPr id="2" name="Gambar 1">
          <a:extLst>
            <a:ext uri="{FF2B5EF4-FFF2-40B4-BE49-F238E27FC236}">
              <a16:creationId xmlns:a16="http://schemas.microsoft.com/office/drawing/2014/main" id="{D6EB9DCC-A759-4441-9F5E-76FC7BA429A6}"/>
            </a:ext>
          </a:extLst>
        </xdr:cNvPr>
        <xdr:cNvPicPr>
          <a:picLocks noChangeAspect="1"/>
        </xdr:cNvPicPr>
      </xdr:nvPicPr>
      <xdr:blipFill>
        <a:blip xmlns:r="http://schemas.openxmlformats.org/officeDocument/2006/relationships" r:embed="rId1"/>
        <a:stretch>
          <a:fillRect/>
        </a:stretch>
      </xdr:blipFill>
      <xdr:spPr>
        <a:xfrm>
          <a:off x="0" y="16468725"/>
          <a:ext cx="10039350" cy="5372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dncomm.sharepoint.com/sites/Operation-PIR/Shared%20Documents/PIR%20Kaizen/Kaizen%202022%20-%202023/Kaizen%202023_Summar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Kaizen\Kaizen%20Competition%202018\Summary%20Kaizen%202017%20v1.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gdncomm.sharepoint.com/sites/Operation-PIR/Shared%20Documents/PIR%20Kaizen/Kaizen%202020/Kaizen%202020_Summary.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dncomm.sharepoint.com/sites/Operation-PIR/Shared%20Documents/PIR%20Kaizen/Kaizen%202019/Kaizen%202019_Penilaian%20Per%20Period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dncomm.sharepoint.com/sites/Operation-PIR/Shared%20Documents/PIR%20Kaizen/Kaizen%202021/Kaizen%202021_Summ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line"/>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emester 2"/>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line"/>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Hardi Sumali" id="{E84C371A-6CE3-4747-87DB-C22F02E9A1A6}" userId="S::hardi.sumali@gdn-commerce.com::7b5b4d2b-d122-4e8d-bb44-0683c1432947" providerId="AD"/>
  <person displayName="Aditya Prakoso" id="{C96CA1D0-EC19-46DA-9813-DCB1776074CA}" userId="S::aditya.prakoso@gdn-commerce.com::25fb2c94-a4b9-449a-b0ed-49ba9426cfa8" providerId="AD"/>
  <person displayName="Joshua Edbert Tirtana" id="{C36CF5C6-B390-4AF7-8360-8C0392FEE03B}" userId="S::joshua.tirtana@gdn-commerce.com::dc388bfd-b78b-4ea9-96d7-5e095d12a49c" providerId="AD"/>
  <person displayName="Shiera Pamella Gautama" id="{5B7250CA-52A3-4CDF-BC44-82773AB71DC7}" userId="S::shiera.gautama@gdn-commerce.com::b384d270-248a-4604-a331-7634765ee146" providerId="AD"/>
  <person displayName="Jesslyn Chandra" id="{5F14265C-F71D-4C3A-9C0B-2D87E4D53CA8}" userId="S::jesslyn.chandra@gdn-commerce.com::adb78de9-c000-4940-9b2c-37c23698c634" providerId="AD"/>
  <person displayName="Ranggi" id="{0C02EB27-0A85-487B-B1B6-33793ED69FDB}" userId="S::ranggi.maharani@gdn-commerce.com::2dc1b188-cfbf-4652-8dae-e754a79e95a1" providerId="AD"/>
  <person displayName="Jeffry Setyawan Pribadi" id="{6CAE5791-0238-49DC-8500-48D17529DA17}" userId="S::jeffry.s.pribadi@gdn-commerce.com::066550f0-2a79-4756-beac-b5f2890cbe5b" providerId="AD"/>
  <person displayName="Melissa Stephanie" id="{76A9E71C-A713-4233-A3E4-FBC9A031DAFD}" userId="S::melissa.stephanie@gdn-commerce.com::400b8160-0ebd-4e05-b246-5989d09f3b34"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9</v>
    <v>3</v>
  </rv>
  <rv s="1">
    <v>9</v>
    <v>1</v>
  </rv>
  <rv s="0">
    <v>10</v>
    <v>2</v>
  </rv>
</rvData>
</file>

<file path=xl/richData/rdrichvaluestructure.xml><?xml version="1.0" encoding="utf-8"?>
<rvStructures xmlns="http://schemas.microsoft.com/office/spreadsheetml/2017/richdata" count="2">
  <s t="_error">
    <k n="errorType" t="i"/>
    <k n="subType" t="i"/>
  </s>
  <s t="_error">
    <k n="errorType" t="i"/>
    <k n="propagated" t="b"/>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 dT="2019-09-04T07:32:56.19" personId="{C96CA1D0-EC19-46DA-9813-DCB1776074CA}" id="{529245A7-E7B3-4EDC-A539-A2BD76BF4F84}">
    <text xml:space="preserve">Thorough Analysis
Ada potensi data hilang di sharepoint. belum ada action penanggulangannya
Keperluan untuk audit?
</text>
  </threadedComment>
  <threadedComment ref="A5" dT="2019-09-04T07:33:25.08" personId="{C96CA1D0-EC19-46DA-9813-DCB1776074CA}" id="{68B616C7-2590-43A3-A477-47DE5C11FBBD}">
    <text xml:space="preserve">Thorough Analysis:
Ada potensi late kirim ke cust, tidak ada analisanya
</text>
  </threadedComment>
  <threadedComment ref="A5" dT="2019-09-04T07:33:32.55" personId="{C96CA1D0-EC19-46DA-9813-DCB1776074CA}" id="{3F66AD47-9F20-432B-82B1-F1F637E54426}" parentId="{68B616C7-2590-43A3-A477-47DE5C11FBBD}">
    <text xml:space="preserve">Data Gathering, Quantitative Data &amp; Benefit
Data tidak jelas darimana, tidak ada perhitungan apapun
Benefit mungkin ada, tapi tidak sebesar itu
</text>
  </threadedComment>
  <threadedComment ref="A5" dT="2019-09-04T09:07:19.94" personId="{6CAE5791-0238-49DC-8500-48D17529DA17}" id="{A0BF2D1E-0BF1-44AA-8EC1-41EA1E805183}" parentId="{68B616C7-2590-43A3-A477-47DE5C11FBBD}">
    <text>FPC Tidak Ada</text>
  </threadedComment>
  <threadedComment ref="A5" dT="2019-09-04T13:39:19.85" personId="{0C02EB27-0A85-487B-B1B6-33793ED69FDB}" id="{799F5E2C-F491-48B2-B3B1-C2132EE54112}" parentId="{68B616C7-2590-43A3-A477-47DE5C11FBBD}">
    <text>Data Gathering:
Data hanya di confluence tidak dilampirkan di excel.
 Thorough Analysis:
1. Tidak dijabarkan bagaimana resiko maupun penanggulangan yg memungkinkan dengan improvement yang dilakukan</text>
  </threadedComment>
  <threadedComment ref="A6" dT="2019-09-04T09:03:17.93" personId="{6CAE5791-0238-49DC-8500-48D17529DA17}" id="{9A00DD61-CE93-486C-88DB-396B16D12FE2}">
    <text>Quantitative:
1. benefit 1807, angka darimana
Data Gathering:
1. FPC before seharusnya bisa lebih detail, pembuatan rekap apakah perlu pindah tempat, apakah jadi satu di area weight Capture, apakah perlu scan lagi saat rekap, dsb.
Analisa
1. Improvement menggunakan jasper tetapi tidak dihitung berapa lama proses jasper</text>
  </threadedComment>
  <threadedComment ref="A6" dT="2019-09-04T13:48:06.33" personId="{0C02EB27-0A85-487B-B1B6-33793ED69FDB}" id="{78B082EF-0576-43B9-94AF-A70980C33024}" parentId="{9A00DD61-CE93-486C-88DB-396B16D12FE2}">
    <text xml:space="preserve">Data gathering &amp; Thorough Analysis:
1. FPC ada, tpi kurang detail menjabarkannya. Padahal siapa tau bisa dipercepat lagi proses bagging linehaul luar kota.
</text>
  </threadedComment>
  <threadedComment ref="A7" dT="2019-09-04T07:22:38.22" personId="{6CAE5791-0238-49DC-8500-48D17529DA17}" id="{553D8A6E-F690-4377-8511-B1E1EC789197}">
    <text xml:space="preserve">Data Gathering: 
1. Dengan layout parkir mobil before, harusnya ada aktivitas memindahkan posisi mobil saat memuat barang
Analysis:
1. Aktivitas after improve berkurang waktunya dengan alasan yang kurang jelas
2. Dengan memindah lokasi parkir, berarti seharusnya saat akan memuat barang akan ada aktivitas memindahkan motor dari parkiran ke depan loading dock di process after, tetapi tidak tercapture
</text>
  </threadedComment>
  <threadedComment ref="A7" dT="2019-09-04T07:30:53.80" personId="{C96CA1D0-EC19-46DA-9813-DCB1776074CA}" id="{934C2F64-4DB9-47E2-AA95-74837E72E7C0}" parentId="{553D8A6E-F690-4377-8511-B1E1EC789197}">
    <text xml:space="preserve">Data after, ada beberapa yang tidak bisa disamakan dengan data before
</text>
  </threadedComment>
  <threadedComment ref="A7" dT="2019-09-04T12:54:00.19" personId="{76A9E71C-A713-4233-A3E4-FBC9A031DAFD}" id="{CC9D3E58-170F-4586-A50C-3A0AA9C8E129}" parentId="{553D8A6E-F690-4377-8511-B1E1EC789197}">
    <text xml:space="preserve">Ada proses di before yang hilang di after, tapi tidak jelas kenapa proses hilang
</text>
  </threadedComment>
  <threadedComment ref="A7" dT="2019-09-04T14:21:10.47" personId="{0C02EB27-0A85-487B-B1B6-33793ED69FDB}" id="{311F72CF-A85E-4C4A-8891-73D5A2E04422}" parentId="{553D8A6E-F690-4377-8511-B1E1EC789197}">
    <text>Benefit Quantitative tpi dari segi analisa hasil:
1. menata dimobil jadi lebih singkat? kalau dari jarak sudah digambarkan dari waktu berjalan. Bedanya apa tdk dijelaskan drmna angkanya.</text>
  </threadedComment>
  <threadedComment ref="A8" dT="2019-09-04T07:30:00.75" personId="{C96CA1D0-EC19-46DA-9813-DCB1776074CA}" id="{5B03C9BB-230C-4ADD-982D-FCD76124140E}">
    <text xml:space="preserve">Benefit okay, tapi saving seharusnya tidak sebanyak itu, karena delay yang terjadi tidak menyebabkan orang tersebut tidak dapat mengerjakan hal lain
</text>
  </threadedComment>
  <threadedComment ref="A8" dT="2019-09-04T07:30:29.67" personId="{C96CA1D0-EC19-46DA-9813-DCB1776074CA}" id="{14B7135E-0B71-48FC-BBEF-7D64318EACA9}" parentId="{5B03C9BB-230C-4ADD-982D-FCD76124140E}">
    <text xml:space="preserve">Thorough Analysis:
Risk leaked info karena menggunakan 3rd party apps, without approval dari Infra
</text>
  </threadedComment>
  <threadedComment ref="A8" dT="2019-09-04T08:54:33.19" personId="{6CAE5791-0238-49DC-8500-48D17529DA17}" id="{0950236E-A9BE-4948-9C65-38E570F4B431}" parentId="{5B03C9BB-230C-4ADD-982D-FCD76124140E}">
    <text>Analysis:
1. Penggunaan zoom membutuhkan proses setting schedule meeting, copy paste link untuk meeting dan membagikan ke peserta meeting</text>
  </threadedComment>
  <threadedComment ref="A8" dT="2019-09-04T12:42:45.54" personId="{76A9E71C-A713-4233-A3E4-FBC9A031DAFD}" id="{6D0C0C52-F5BD-4148-B05C-3528DD8D374C}" parentId="{5B03C9BB-230C-4ADD-982D-FCD76124140E}">
    <text xml:space="preserve">Analysis:
Tidak di jelaskan kenapa waktu menunggu via teams dan zoom berbeda. karena proses sebelumnya sudah di jelaskan peserta meeting sudah standby
</text>
  </threadedComment>
  <threadedComment ref="A10" dT="2019-09-04T07:29:44.14" personId="{C96CA1D0-EC19-46DA-9813-DCB1776074CA}" id="{62CAEC07-1003-4C4D-A4F2-A9CCCBFAC82A}">
    <text xml:space="preserve">Benefit:
Benefit tidak bisa dihitung untuk harbolnas, karena linehaul saat harbolnas pasti akan meningkat sehingga tidak bisa untuk IR
</text>
  </threadedComment>
  <threadedComment ref="A10" dT="2019-09-04T07:37:39.25" personId="{C96CA1D0-EC19-46DA-9813-DCB1776074CA}" id="{6E28B06F-5BFE-4A93-9795-E20C4292340E}" parentId="{62CAEC07-1003-4C4D-A4F2-A9CCCBFAC82A}">
    <text xml:space="preserve">Thorough Analysis:
How many cubics can be transfered by BES?
How many cubics that need to be transfered each month?
</text>
  </threadedComment>
  <threadedComment ref="A10" dT="2019-09-04T08:36:45.03" personId="{6CAE5791-0238-49DC-8500-48D17529DA17}" id="{3E7A5237-4739-4D39-8C8A-EC2B96A5094B}" parentId="{62CAEC07-1003-4C4D-A4F2-A9CCCBFAC82A}">
    <text>Benefit:
1. Tidak ada penjelasan bagaimana cara hitung saving 33.8mio/month.
2. tidak ada penjelasan kapan metode ini bisa digunakan, karena tidak setiap saat linehaul BES sepi, dan jika ada dedicated mobil maka harus dihitung cost mobilnya
Data Gathering:
1. FPC before tidak ada timenya
Analysis:
1. FPC after tidak ada timenya
2. disebutkan daily coordination, tetapi tidak dijelaskan di FPC after dan diperhitungan benefit
3. kapasitas transfer apakah sama</text>
  </threadedComment>
  <threadedComment ref="A10" dT="2019-09-05T02:33:03.53" personId="{0C02EB27-0A85-487B-B1B6-33793ED69FDB}" id="{522708D5-50E6-419F-9BBC-09C565D03A60}" parentId="{62CAEC07-1003-4C4D-A4F2-A9CCCBFAC82A}">
    <text>Quantitative Data &amp; Benefit:
1. Cost penggunaan mobil internal tidak disertakan/dibandingkan? (Manpower, Bensin, Capacity BES)
Thorough analysis:
1. Periode penggunaan mobil internal. (Pada harbolnas load BES untuk linehaul delivery akan meningkat)</text>
  </threadedComment>
  <threadedComment ref="A11" dT="2019-09-04T07:43:58.66" personId="{C96CA1D0-EC19-46DA-9813-DCB1776074CA}" id="{3FE09AF5-EAB5-4F24-94DF-8010EDFAC57A}">
    <text xml:space="preserve">Quantitative Data &amp; Benefit:
Waktu untuk mendapatkan mapping UPC &amp; SKU belum ada.
Berapa untuk menghitung qty di data after tidak ada
</text>
  </threadedComment>
  <threadedComment ref="A11" dT="2019-09-04T08:19:10.47" personId="{6CAE5791-0238-49DC-8500-48D17529DA17}" id="{C6E1E27A-AF86-4B10-847A-5656EEE2B6FB}" parentId="{3FE09AF5-EAB5-4F24-94DF-8010EDFAC57A}">
    <text>Analysis:
1. Scan berarti membutuhkan scanner dan PC / Laptop, tidak dijelaskan ada biaya penambahan equipment
2. Untuk scan berarti seharusnya akan ada transportasi barang dari lokasi checking ke area scan, itu tidak tercapture</text>
  </threadedComment>
  <threadedComment ref="A11" dT="2019-09-05T02:42:18.27" personId="{0C02EB27-0A85-487B-B1B6-33793ED69FDB}" id="{BCCDBBE0-E7D0-4CBF-9DEB-40CE13AB715C}" parentId="{3FE09AF5-EAB5-4F24-94DF-8010EDFAC57A}">
    <text>Quantative Data, Data Gathering:
1. Proses After tidak memperhitungkan waktu pengecekan fisik?
Thorough analysis:
1. Jumlah scanner / Laptop perlu penambahan tidak? ya ada biaya, tidak : berdampak ke proses lain?</text>
  </threadedComment>
  <threadedComment ref="A11" dT="2019-09-05T02:59:31.02" personId="{76A9E71C-A713-4233-A3E4-FBC9A031DAFD}" id="{C6B39E33-1ADD-47EA-B4E9-E18044B0518A}" parentId="{3FE09AF5-EAB5-4F24-94DF-8010EDFAC57A}">
    <text xml:space="preserve">Data Gathering:
Ada process yang dihilangkan di after, tidak dijelaskan kenapa dihilangkan
</text>
  </threadedComment>
  <threadedComment ref="A12" dT="2019-09-04T07:44:49.03" personId="{6CAE5791-0238-49DC-8500-48D17529DA17}" id="{F5778BC1-5F89-4C62-9874-0105C52E6BF5}">
    <text>Data Gather:
1. Flow Process Chart TIDAK ADA
Analysis:
1. Risk tidak dipertimbangkan dengan matang: Dengan menghilangkan keyboard, proses  cara mereka login komputer, mengetikkan URL system, login system tidak dijelaskan.</text>
  </threadedComment>
  <threadedComment ref="A12" dT="2019-09-04T07:50:32.27" personId="{C96CA1D0-EC19-46DA-9813-DCB1776074CA}" id="{BFF37EF9-704E-46C8-9D29-1FD89989190D}" parentId="{F5778BC1-5F89-4C62-9874-0105C52E6BF5}">
    <text xml:space="preserve">Benefit:
Rasanya cost keyboard tidak bisa dimasukkan karena tidak mungkin membeli set PC tanpa Keyboard
Angka After tidak jelas darimana
</text>
  </threadedComment>
  <threadedComment ref="A12" dT="2019-09-04T07:51:31.91" personId="{C96CA1D0-EC19-46DA-9813-DCB1776074CA}" id="{BB22BA3E-5194-4035-A9A7-FD065AB4BE16}" parentId="{F5778BC1-5F89-4C62-9874-0105C52E6BF5}">
    <text xml:space="preserve">Data Gather:
FPC tidak ada, angka tidak jelas darimana
</text>
  </threadedComment>
  <threadedComment ref="A12" dT="2019-09-05T02:53:54.23" personId="{0C02EB27-0A85-487B-B1B6-33793ED69FDB}" id="{E6F48048-4D61-4FB6-BBF5-48861A3CFC45}" parentId="{F5778BC1-5F89-4C62-9874-0105C52E6BF5}">
    <text>FPC ga ada, untuk benefit klo menghitung biaya beli keyboard tidak bisa dihitung karena beli pc se set kecuali beli rakitan? lepasan?</text>
  </threadedComment>
  <threadedComment ref="A12" dT="2019-09-05T03:06:24.23" personId="{76A9E71C-A713-4233-A3E4-FBC9A031DAFD}" id="{1707BCAC-D54C-48F8-B765-98017B344884}" parentId="{F5778BC1-5F89-4C62-9874-0105C52E6BF5}">
    <text xml:space="preserve">Data Gathering:
Tidak ada FPC, 
Analysis:
1. Tidak di mention risk menghilangkan keyboard 
2. Apa ada aktivitas yang jadi tidak bisa dilakukan karena tidak ada keyboard
</text>
  </threadedComment>
  <threadedComment ref="A13" dT="2019-09-04T07:37:23.36" personId="{6CAE5791-0238-49DC-8500-48D17529DA17}" id="{5F35F8FD-9B90-4913-A3F4-B2672C8F56B6}">
    <text>Analysis:
1. Proses after berubah dari menggunakan printout PO menjadi Softcopy PO, jadi seharusnya akan ada proses mengirimkan softcopy oleh tim inbound
2. Proses before sepertinya mencatat lokasi di kertas PO yang diberikan inbound, Proses after mereka memerlukan print dokumen untuk memperoleh lokasi, seharusnya akan menambah biaya kertas</text>
  </threadedComment>
  <threadedComment ref="A13" dT="2019-12-05T02:59:56.71" personId="{C36CF5C6-B390-4AF7-8360-8C0392FEE03B}" id="{E684624B-5418-41A5-87D1-386A43E9B64B}" parentId="{5F35F8FD-9B90-4913-A3F4-B2672C8F56B6}">
    <text xml:space="preserve">proses after tidak terlihat berbeda dengan proses before
</text>
  </threadedComment>
  <threadedComment ref="A14" dT="2019-09-04T07:25:42.83" personId="{6CAE5791-0238-49DC-8500-48D17529DA17}" id="{E5CEF013-85C7-4FDF-B60A-777F5A9A3AE6}">
    <text>Data Gathering:
1. Prosesnya seharusnya bisa lebih detail, karena pasti ada proses mengambil barang, memindahkan barang, save file, mengirimkan file ke pic yang membutuhkan file
Analysis:
1. Metode analisa dan improvement sangat simple karena report sudah tidak dibutuhkan sehingga proses tidak dilakukan lagi</text>
  </threadedComment>
  <threadedComment ref="A14" dT="2019-09-05T03:23:22.15" personId="{76A9E71C-A713-4233-A3E4-FBC9A031DAFD}" id="{E9ED5D33-5A06-4889-A316-F59029110A65}" parentId="{E5CEF013-85C7-4FDF-B60A-777F5A9A3AE6}">
    <text xml:space="preserve">Data Gathering:
1. Process tidak detail
2. Data after, ada prosesnya tapi tidak ada waktunya
</text>
  </threadedComment>
  <threadedComment ref="A24" dT="2019-09-27T05:31:34.13" personId="{6CAE5791-0238-49DC-8500-48D17529DA17}" id="{FDC68CA8-3726-4A6D-A914-C35ACA808E63}">
    <text>Analysis
1. Mengapa ada macro bisa menghilangkan proses membaca aspek</text>
  </threadedComment>
  <threadedComment ref="A25" dT="2019-09-26T03:52:23.97" personId="{6CAE5791-0238-49DC-8500-48D17529DA17}" id="{79518ED8-684A-4F61-B77A-8C7060CF361D}">
    <text>Data Before:
FPC tidak lengkap waktunya
Analysis:
Kurang jelas barcode apa yang apa yang dimaksud, ditempel dimana, proses FPC harusnya ada proses scan.
Benefit:
perhitungan kurang tepat, jumlah login dan jumlah shift tidak masuk perhitungan benefit, seharusnya bisa lebih banyak benefit</text>
  </threadedComment>
  <threadedComment ref="F25" dT="2019-10-28T07:01:29.33" personId="{6CAE5791-0238-49DC-8500-48D17529DA17}" id="{4DCA81A8-CB9A-4351-87AF-E42E5841265C}">
    <text>All Warehouse Est: (Sept 2019, Data Dea)
30980 manpower all wh / 1826 manpower Angke * Saving di Angke (180000)</text>
  </threadedComment>
  <threadedComment ref="G25" dT="2019-10-28T04:03:35.87" personId="{6CAE5791-0238-49DC-8500-48D17529DA17}" id="{F1377730-F4C4-4EB3-B2A8-CD23EA4E7E8D}">
    <text>Sept: 1x
Okt: est 1x MPP sep
Nov: est 1x MPP sep
Des: est 1x MPP sep</text>
  </threadedComment>
  <threadedComment ref="A26" dT="2019-09-27T05:50:41.99" personId="{6CAE5791-0238-49DC-8500-48D17529DA17}" id="{8382DE44-DB82-41BA-A52E-8C87A266C245}">
    <text>Analysis:
1. kenapa SO non moving bisa tiba2 berkurang nilaiya
2. RIsk: terdapat proses yang ketambahan aktivitas tapi waktu tetap
3. Risk: input di stockholm harusnya akan lebih lama karena harus mencocokan SKU yang dihitung</text>
  </threadedComment>
  <threadedComment ref="A28" dT="2019-09-27T02:33:58.40" personId="{0C02EB27-0A85-487B-B1B6-33793ED69FDB}" id="{A71B8F7D-8DAF-4DB4-A995-E064FB4005AE}">
    <text xml:space="preserve">Risk: Kerobek ulang print
</text>
  </threadedComment>
  <threadedComment ref="A28" dT="2019-09-27T03:25:59.73" personId="{76A9E71C-A713-4233-A3E4-FBC9A031DAFD}" id="{5954E233-E45B-4B6E-8A68-F5DB4693FEE2}" parentId="{A71B8F7D-8DAF-4DB4-A995-E064FB4005AE}">
    <text xml:space="preserve">FPC seharusnya bisa lebih detail
</text>
  </threadedComment>
  <threadedComment ref="A29" dT="2019-09-26T03:53:38.92" personId="{76A9E71C-A713-4233-A3E4-FBC9A031DAFD}" id="{DFE5C21D-1B1C-4499-AA48-31F87B35308D}">
    <text xml:space="preserve">Data Before
tidak ada FPC
Benefit
Perhitungan data benefit dan data after tidak match. data after perhitungannya dari mana?
</text>
  </threadedComment>
  <threadedComment ref="A29" dT="2019-09-27T06:06:43.26" personId="{6CAE5791-0238-49DC-8500-48D17529DA17}" id="{B0BE3EE6-F95B-497E-98E2-78F4A962C5D1}" parentId="{DFE5C21D-1B1C-4499-AA48-31F87B35308D}">
    <text>Data Before &amp; After:
1. Tidak ada FPC, dapat dari mana perhitungan  cost dan jumlah trip?
2. Perubahan Skema dari bagaimana menjadi bagaimana tidak dijelaskan
Benefit
1. kenapa granmax bisa jadi tidak ada
2. dapat dari mana angka 1080</text>
  </threadedComment>
  <threadedComment ref="A31" dT="2019-09-26T04:32:56.09" personId="{76A9E71C-A713-4233-A3E4-FBC9A031DAFD}" id="{51D5D47E-1EFF-41B4-90DB-6FA1C6C84E9C}">
    <text xml:space="preserve">Tidak ada FPC
analisa bisa ditambahkan kriteria kardus yang dapat digunakan dan rata-rata jumlah kardus recycle nya berapa, apa mencukupi
</text>
  </threadedComment>
  <threadedComment ref="A31" dT="2019-09-27T01:54:11.00" personId="{0C02EB27-0A85-487B-B1B6-33793ED69FDB}" id="{42C16713-55AA-4AA1-8288-A904ADF1A222}" parentId="{51D5D47E-1EFF-41B4-90DB-6FA1C6C84E9C}">
    <text xml:space="preserve">FPC/Tools lain tidak ada
Thorough analisis kurang menyertakan jumlah kardus bekas yang dihasilkan warehouse yang dapat layak pakai  bsa berapa.
Benefit : Target pemakaian karung kurang dijelaskan dapat dari man? (berhubungan dengan jmlah kardus dengan ukuran tertentu di gudang?)
</text>
  </threadedComment>
  <threadedComment ref="A31" dT="2019-09-27T06:12:49.55" personId="{6CAE5791-0238-49DC-8500-48D17529DA17}" id="{7841D004-E855-4E52-9427-D03CF58B6F34}" parentId="{51D5D47E-1EFF-41B4-90DB-6FA1C6C84E9C}">
    <text>Before After:
FPC tak ada
Riks: Menggunakan kardus membutuhkan waktu untuk mencari kardus, volume yang muat lebih sedikit</text>
  </threadedComment>
  <threadedComment ref="A32" dT="2019-09-27T02:02:06.37" personId="{0C02EB27-0A85-487B-B1B6-33793ED69FDB}" id="{971966AC-281F-4663-BD0C-4C10634D36C2}">
    <text xml:space="preserve">Benefit :
Perhitungan benefit kurang. 
</text>
  </threadedComment>
  <threadedComment ref="A32" dT="2019-09-27T03:11:56.06" personId="{76A9E71C-A713-4233-A3E4-FBC9A031DAFD}" id="{FE9E8C84-8EDC-4521-ADEC-11CF74089B32}" parentId="{971966AC-281F-4663-BD0C-4C10634D36C2}">
    <text xml:space="preserve">Analisa kurang, apa ada penambahan biaya atau proses lain kalau pakai conveyor?
</text>
  </threadedComment>
  <threadedComment ref="G32" dT="2019-10-28T04:01:50.53" personId="{6CAE5791-0238-49DC-8500-48D17529DA17}" id="{DA36B370-CDFC-4C54-B788-92C985813EFB}">
    <text>Data dari Leo
Aug : 1x (38.66 M3)
Sep : 2x (27.1 M3 &amp; 48.02 M3)
Oct : 1x (13.02 M3)
Nov: est 1x
Des: est 1x</text>
  </threadedComment>
  <threadedComment ref="A33" dT="2019-09-26T04:22:43.05" personId="{76A9E71C-A713-4233-A3E4-FBC9A031DAFD}" id="{F39CCA77-5618-4E8C-912A-9659D71DC49F}">
    <text xml:space="preserve">Data gathering: perhitungan data benefit dan next action tidak lengkap
seharusnya dapat dilakukan analisis benfit yang ada dihubungkan dengan delay time yang di cut
</text>
  </threadedComment>
  <threadedComment ref="A33" dT="2019-09-27T02:20:50.45" personId="{0C02EB27-0A85-487B-B1B6-33793ED69FDB}" id="{C9D819E8-6F00-4C75-859E-3632795240AC}" parentId="{F39CCA77-5618-4E8C-912A-9659D71DC49F}">
    <text xml:space="preserve">Data before : kasus customer missed direset PNVny? &lt;&lt; bisa untuk waktu delay karena tidak ada jadwal sebelomnya.
</text>
  </threadedComment>
  <threadedComment ref="A41" dT="2019-10-29T03:11:29.29" personId="{76A9E71C-A713-4233-A3E4-FBC9A031DAFD}" id="{123030C9-509C-4D66-B922-84F19CF9CBE9}">
    <text>Data Before:
Beberapa proses di FPC tidak sesuai, misal seharusnya storage jadi delay. Tidak lengkap perhitungan waktunya, tidak sesuai antara FPC dan Tabel PDCA report</text>
  </threadedComment>
  <threadedComment ref="A42" dT="2019-10-29T07:15:18.29" personId="{6CAE5791-0238-49DC-8500-48D17529DA17}" id="{A5EFAB0F-9D2A-46BF-B43D-22CFCB453564}">
    <text>Analisis:
1. Aktivitas 6,7,8 dari FPC before tiba2 hilang di FPC After</text>
  </threadedComment>
  <threadedComment ref="A43" dT="2019-10-29T07:50:29.94" personId="{6CAE5791-0238-49DC-8500-48D17529DA17}" id="{1A3AE92E-B0AF-4A05-BA76-94322601C2D8}">
    <text>Before:
1. Kurang detail bagaimana proses SO bisa butuh banyak waktu
Analisis:
1. Waktu untuk Aktivitas SO bisa berkurang tanpa ada penjelasan apapun</text>
  </threadedComment>
  <threadedComment ref="A43" dT="2019-10-30T06:44:52.12" personId="{0C02EB27-0A85-487B-B1B6-33793ED69FDB}" id="{82E45C4D-2EE9-4508-A157-8B895029AB05}" parentId="{1A3AE92E-B0AF-4A05-BA76-94322601C2D8}">
    <text>Thorough Analysis:
1. Tidak ada penjelasan bagaimana proses SO jadi berkurang (hitung waktunya per apa?)
2. Data waktu untuk benefit berdampak dari point 1?</text>
  </threadedComment>
  <threadedComment ref="A44" dT="2019-10-29T08:12:48.19" personId="{6CAE5791-0238-49DC-8500-48D17529DA17}" id="{E30C9A7A-4AE3-45CA-A772-2468C46AE169}">
    <text>1. Benefit:
- tidak jelas pehitungan benefit dari mana karena berbeda dengan FPC Before/After
2. Before
Aktivitas di rangkuman berbeda dengan FPC</text>
  </threadedComment>
  <threadedComment ref="A44" dT="2019-10-29T08:48:09.13" personId="{76A9E71C-A713-4233-A3E4-FBC9A031DAFD}" id="{DE7B7DF7-6240-4B21-B391-F93E3344007B}" parentId="{E30C9A7A-4AE3-45CA-A772-2468C46AE169}">
    <text>Data Before:
Angka perhitungan before after tidak sama dengan FPC, seharusnya di hitung untuk semua proses</text>
  </threadedComment>
  <threadedComment ref="A44" dT="2019-10-30T07:36:33.79" personId="{0C02EB27-0A85-487B-B1B6-33793ED69FDB}" id="{BBBE9EB9-4643-411C-A575-B3F4DB7B98EE}" parentId="{E30C9A7A-4AE3-45CA-A772-2468C46AE169}">
    <text>Data PDCA : menggunakan per day
data FPC before after menggunakan per IR. Tapi angka di FPC dan PDCA untuk aktivitas membuat dan mencetak IR tidak jelas pemecahannya --&gt; Data after jadi gajelas</text>
  </threadedComment>
  <threadedComment ref="A45" dT="2019-10-29T07:45:18.42" personId="{6CAE5791-0238-49DC-8500-48D17529DA17}" id="{F79088E4-89D2-41C7-9ADB-A8FA9F8D1832}">
    <text>Before:
1. Proses menunggu seharusnya tidak masuk perhitungan benefit, karena tidak ada manpower yang menunggu
Analisis:
1. melakukan pemeriksaan kurang detail, bagaimana bisa dari 48 jam menjadi 3 jam</text>
  </threadedComment>
  <threadedComment ref="A45" dT="2019-10-30T08:07:21.30" personId="{0C02EB27-0A85-487B-B1B6-33793ED69FDB}" id="{BA330393-4F48-46D7-BCF0-FD9141C9634F}" parentId="{F79088E4-89D2-41C7-9ADB-A8FA9F8D1832}">
    <text>Benefit : Data perhitungan salah, tidak perlu delay dihitung benefit</text>
  </threadedComment>
  <threadedComment ref="A47" dT="2019-10-30T08:12:49.20" personId="{0C02EB27-0A85-487B-B1B6-33793ED69FDB}" id="{B2F9F336-5313-48ED-A350-A3AF421F81B7}">
    <text>1. FPC Before dan After tidak lengkap melihat proses yang terjadi pada seluruh Hub (jumlah linehaul berkurang berarti harusnya jumlah proses bagging dan inward linehaul berubah)
2. Analisis dampak terhadap performance tak dijelaskan</text>
  </threadedComment>
  <threadedComment ref="A49" dT="2019-10-29T04:22:20.21" personId="{6CAE5791-0238-49DC-8500-48D17529DA17}" id="{68CE1E13-B4CA-47F0-9D9E-56B46B95C970}">
    <text>Analysis:
1. Kurang jelas ini macro excel apakah pakai excel online atau file manual, 
kalau macro excel online, apakah akan ada problem jika beberapa users input bersamaan
kalau macro dipegang di tiap hub, berarti database kurang lengkap,
2. Waktu dari Aktivitas "Isi data diri" di before dan after berbeda hampir 50%, padahal tidak disebutkan ada perubahan data yang diisi</text>
  </threadedComment>
  <threadedComment ref="A52" dT="2019-10-28T11:22:04.66" personId="{76A9E71C-A713-4233-A3E4-FBC9A031DAFD}" id="{5C7F3E37-4260-4EE2-9FC8-B3D4EA70AE51}">
    <text>Data Before:
Targetnya 13.000 detik darimana? ada dasarnya?
Thorough Analysis:
Perlu analisa lebih lanjut, hasilnya akurat atau tidak? Apa tetap dapat insight yang selama ini didapatkan dari checking manual?</text>
  </threadedComment>
  <threadedComment ref="A53" dT="2019-10-28T11:21:42.61" personId="{76A9E71C-A713-4233-A3E4-FBC9A031DAFD}" id="{3CAD9A5F-7B10-43BC-AE2B-418EA958138D}">
    <text>Data Before: 
Target tidak di state di awal?</text>
  </threadedComment>
  <threadedComment ref="A53" dT="2019-10-29T06:50:00.67" personId="{6CAE5791-0238-49DC-8500-48D17529DA17}" id="{7DAE677D-2965-49F3-8820-487043A276D9}" parentId="{3CAD9A5F-7B10-43BC-AE2B-418EA958138D}">
    <text>Analisa:
1. Aktivitas Analisa Data Weekly MTD (No 139 di FPC Before dan 90 di FPC After), berubah waktunya tanpa ada penjelasan kenapa berubah
2. Aktivitas jika ingin menentukan lagi weekly utility agent (No 152 di FPC Before) hilang tanpa ada penjelasan.</text>
  </threadedComment>
  <threadedComment ref="H61" dT="2019-12-03T06:47:18.96" personId="{6CAE5791-0238-49DC-8500-48D17529DA17}" id="{1AE9F2BB-028C-4B7D-A504-A126BCC5CAB6}">
    <text>0 karena implementasi ide kaizen lebih dari 3 minggu</text>
  </threadedComment>
  <threadedComment ref="A62" dT="2019-12-02T07:25:19.60" personId="{6CAE5791-0238-49DC-8500-48D17529DA17}" id="{19D7D797-F8CB-4EE1-A8A8-D852C4B0702A}">
    <text>Data AFter:
1. Aktivitas pencarian barang dan putaway fisik berkurang dari FPC Before tanpa ada keterangan yang jelas</text>
  </threadedComment>
  <threadedComment ref="A63" dT="2019-12-02T04:38:41.55" personId="{6CAE5791-0238-49DC-8500-48D17529DA17}" id="{4556C5E7-6815-41EB-8427-1FAB300156DA}">
    <text>Data Before After:
1. ga ada FPC Before After nya
Benefit:
1. kertas A6 nya motong dari A5? kalau iya, berarti di FPC after ada penambahan proses potong kertas.
2. terus drivernya jadi cuma ttd 1x, dan ga perlu nunggu copy GIN nya kan, berarti proses FPC afternya bisa lebih cepat</text>
  </threadedComment>
  <threadedComment ref="A63" dT="2019-12-02T09:39:58.48" personId="{E84C371A-6CE3-4747-87DB-C22F02E9A1A6}" id="{67E7DBDD-EF1A-4728-B26F-0769B6D57215}" parentId="{4556C5E7-6815-41EB-8427-1FAB300156DA}">
    <text xml:space="preserve">Data before: &amp; analysis:
1. FPC tidak detail
Benefit:
1. Pemotongan kertas manual oleh pekerja atau sudah datang dalam bentuk potongan A6 dari supplier?
</text>
  </threadedComment>
  <threadedComment ref="A63" dT="2019-12-02T10:53:43.38" personId="{C36CF5C6-B390-4AF7-8360-8C0392FEE03B}" id="{ACA6F390-09D6-4CEC-980F-C0470AFFAA1E}" parentId="{4556C5E7-6815-41EB-8427-1FAB300156DA}">
    <text>Data Before After:
1. FPC Before After kurang lengkap
Benefit:
1. Apa impact dari hanya ttd GRN 1x? Surat Jalannya yang pegang kita atau driver? lalu yang tidak terima akan dapat bukti berupa apa?</text>
  </threadedComment>
  <threadedComment ref="A63" dT="2019-12-03T02:51:20.16" personId="{76A9E71C-A713-4233-A3E4-FBC9A031DAFD}" id="{D6683836-F12E-4214-B031-720ADE17AFF0}" parentId="{4556C5E7-6815-41EB-8427-1FAB300156DA}">
    <text>1. FPC before after tidak jelas dan tidak detail
2. Tidak di jelaskan impact dan atau benefit hanya di TTD 1 kali?</text>
  </threadedComment>
  <threadedComment ref="A63" dT="2019-12-03T08:18:27.97" personId="{0C02EB27-0A85-487B-B1B6-33793ED69FDB}" id="{47551148-7ED4-4653-9881-A65FD315E96A}" parentId="{4556C5E7-6815-41EB-8427-1FAB300156DA}">
    <text>1. Tandatangan bukti serah terima 1x ? ga ada analisis dampak kemungkinan case klo cmn 1x ttd. 
2.FPC tidak detail, proses print2x berkurang jadi 1x tidakd iinclude</text>
  </threadedComment>
  <threadedComment ref="A64" dT="2019-12-02T04:29:18.85" personId="{6CAE5791-0238-49DC-8500-48D17529DA17}" id="{6167D0E3-63BD-4DDA-B1E8-596896181935}">
    <text>Data Before &amp; AFter:
1. Total Waktu FPC tidak sesuai dengan Total Waktu di Summary
Benefit:
1. Seharusnya memperhatikan impact ke Picking SKU yang lain, karena space digunakan untuk SKU baru</text>
  </threadedComment>
  <threadedComment ref="A64" dT="2019-12-02T10:47:39.42" personId="{C36CF5C6-B390-4AF7-8360-8C0392FEE03B}" id="{D4E79201-FEA5-4CBB-965C-2E3D35F0B883}" parentId="{6167D0E3-63BD-4DDA-B1E8-596896181935}">
    <text>Benefit:
1. Apakah load atau kinerja picker dapat di-maintain? karena sekarang beberapa picker hanya ditugaskan untuk mengambil barang Fast Moving</text>
  </threadedComment>
  <threadedComment ref="A64" dT="2019-12-03T03:13:15.11" personId="{76A9E71C-A713-4233-A3E4-FBC9A031DAFD}" id="{10F3E1E1-C9E7-4451-BF7F-C9CB1A74F8C3}" parentId="{6167D0E3-63BD-4DDA-B1E8-596896181935}">
    <text>1. Improvement nya tidak di jelaskan bentuknya seperti apa, kalau tidak baca FPC nya ga kelihatan
2. Di FPC before, kegiatan picking-scan storage dan container 4-18 waktunya sama dengan kegiatan utk 1 storage, seharusnya lebih lama?</text>
  </threadedComment>
  <threadedComment ref="A65" dT="2019-12-02T04:33:56.45" personId="{6CAE5791-0238-49DC-8500-48D17529DA17}" id="{C7B4BAE0-A6E1-4253-BA4C-19AFF05488A9}">
    <text>Data Before &amp; AFter:
1. Tidak ada FPC
Benefit:
1. Terdapat penambahan proses penempelan label sehingga harus dimasukkan biayanya</text>
  </threadedComment>
  <threadedComment ref="A65" dT="2019-12-02T10:49:10.05" personId="{E84C371A-6CE3-4747-87DB-C22F02E9A1A6}" id="{E33A3461-A0AF-4E50-83F9-246A7D645BA6}" parentId="{C7B4BAE0-A6E1-4253-BA4C-19AFF05488A9}">
    <text xml:space="preserve">Before &amp; After tidak ada FPC
Proses penempelan label tidak masuk ke dalam perhitungan.
</text>
  </threadedComment>
  <threadedComment ref="A65" dT="2019-12-02T11:06:27.10" personId="{C36CF5C6-B390-4AF7-8360-8C0392FEE03B}" id="{D4AB460E-B7C3-439C-A252-C9662FDBC5F5}" parentId="{C7B4BAE0-A6E1-4253-BA4C-19AFF05488A9}">
    <text>1. Tidak ada FPC Before &amp; After
2. Data before kurang jelas dalam memaparkan mengapa butuh waktu sampai 17 menit untuk mencari item
3. Apa proses tambahan yang harus dilakukan untuk register barcode? siapa yang maintain datanya di system? Tanggung jawab apa yang berbeda setelah prosesnya diganti?</text>
  </threadedComment>
  <threadedComment ref="A65" dT="2019-12-03T11:37:32.01" personId="{0C02EB27-0A85-487B-B1B6-33793ED69FDB}" id="{E20241E8-1BDB-4D15-A099-30C81B98B032}" parentId="{C7B4BAE0-A6E1-4253-BA4C-19AFF05488A9}">
    <text>1. Tidak ada FPC before after
2. Benefit sulit dipastikan sudah terhitung semua biaya yang muncul (karena point 1)</text>
  </threadedComment>
  <threadedComment ref="A66" dT="2019-12-03T02:53:18.90" personId="{6CAE5791-0238-49DC-8500-48D17529DA17}" id="{01F3FE93-DC91-4B18-9FD1-032C649DA534}">
    <text>Data After:
1. di improvement disebutkan proses menimbang dipindahkan sebelum driver datang, tetapi tidak di sebutkan di FPC after
Benefit:
1. Benefit seharusnya tidak menghilangkan waktu proses yang dipindahkan, karena proses tersebut tetap dilakukan dan menjadi cost warehouse</text>
  </threadedComment>
  <threadedComment ref="A66" dT="2019-12-03T03:44:16.82" personId="{76A9E71C-A713-4233-A3E4-FBC9A031DAFD}" id="{94A1036F-D503-489D-9A1C-E99E8F2B1107}" parentId="{01F3FE93-DC91-4B18-9FD1-032C649DA534}">
    <text>1. FPC tetap sama antara before dan after, seharunya bisa di jabarkan proses menimbang dan mengukur paket seperti apa yang membuat waktunya berkurang
2. Proses menimbang dan mengukur di lakukan sebelum driver datang, jadi harusnya prosesnya di atas (jadi no 1)</text>
  </threadedComment>
  <threadedComment ref="A66" dT="2019-12-03T08:51:14.87" personId="{E84C371A-6CE3-4747-87DB-C22F02E9A1A6}" id="{813F5B07-23EC-4B20-94F0-9F984B4CEFDA}" parentId="{01F3FE93-DC91-4B18-9FD1-032C649DA534}">
    <text xml:space="preserve">1. Proses timbang &amp; ukur dimensi tetap dilakukan seblumnya namun tidak dimasukkan ke dalam perhitungan.  
</text>
  </threadedComment>
  <threadedComment ref="A66" dT="2019-12-05T03:05:59.18" personId="{C36CF5C6-B390-4AF7-8360-8C0392FEE03B}" id="{1D327C9C-5E97-4852-9F69-8FC8E139F541}" parentId="{01F3FE93-DC91-4B18-9FD1-032C649DA534}">
    <text xml:space="preserve">1. Sepertinya belum memaparkan berapa lama waktu yang dibutuhkan untuk menimbang.
2. Kalau hanya menukar urutan proses dari menimbang di belakang, sekarang menjadi di depan, harusnya pembandingnya dapat menuliskan berapa banyak delay yang dikurangi
</text>
  </threadedComment>
  <threadedComment ref="F66" dT="2019-12-03T02:50:37.93" personId="{6CAE5791-0238-49DC-8500-48D17529DA17}" id="{E09C4BFB-14BA-4E2F-B251-B0ECB7EC003F}">
    <text>0 karena hanya memindahkan proses</text>
  </threadedComment>
  <threadedComment ref="A67" dT="2019-12-02T10:50:04.67" personId="{C96CA1D0-EC19-46DA-9813-DCB1776074CA}" id="{C476BE4D-D546-4E32-B168-757039E1FD53}">
    <text xml:space="preserve">Benefit: 
1. Lead Time reduction tidak bisa langsung * Rp 30k
</text>
  </threadedComment>
  <threadedComment ref="A68" dT="2019-12-05T02:57:57.34" personId="{6CAE5791-0238-49DC-8500-48D17529DA17}" id="{FCA1B045-7776-491D-8751-53C1CC0C2462}">
    <text>Data Before:
kurang jelas
1. FPC itu dilakukan untuk 1 koli / 1 IR brp koli?
2. Pengecekan dan bongkar muat kenapa bisa lama sekali
Data After
1. Terdapat pengurangan proses pengecekan dan bongkar muat tanpa ada keterangan jelas
2. proses bagging menambah waktunya
3. proses loading ke truck hilang, barangnya teleport??
Benefit
1. Tidak Jelas dapat dari mana angka tsb</text>
  </threadedComment>
  <threadedComment ref="A68" dT="2019-12-05T03:17:19.03" personId="{C36CF5C6-B390-4AF7-8360-8C0392FEE03B}" id="{F25D2399-9C11-4DEB-9B21-CFFB77C8D759}" parentId="{FCA1B045-7776-491D-8751-53C1CC0C2462}">
    <text xml:space="preserve">1. Mereka akan kirim dengan BES untuk tujuan yang murah, berarti akan ada proses sorting per area kah? kalo ada, sptnya bakal nambah proses lain juga
2. memang harga pengirimannya murah, namun apakah sdh consider waktu pengiriman akan lbh sebentar / lama?
3. Apakah semua barang yang dikirimkan  3PL, bisa di handle semua / lebih efektif kalau di kirim dengan BES (e.g. DG / Big Product)?
Comment nomor 3 Jeffry = Best comment 2019
</text>
  </threadedComment>
  <threadedComment ref="A71" dT="2019-12-02T07:01:52.42" personId="{6CAE5791-0238-49DC-8500-48D17529DA17}" id="{DC67BDA1-9D05-4E5C-A870-D3D261A39282}">
    <text>Data Before &amp; After:
1. Tidak ada FPC
Benefit:
1. Rute Baru lebih lama jadi seharusnya ada penambahan cost (manpower)</text>
  </threadedComment>
  <threadedComment ref="A71" dT="2019-12-02T09:56:35.76" personId="{C36CF5C6-B390-4AF7-8360-8C0392FEE03B}" id="{8F8EE316-8FA5-4330-AD32-0E3212E3F193}" parentId="{DC67BDA1-9D05-4E5C-A870-D3D261A39282}">
    <text>Benefit:
1. Tidak ada justification yang jelas mengapa biayanya bisa berkurang
2. Rute memang lebih pendek, namun lama tempuh lebih panjang
3. Tidak ada briefing / penyambung mengapa perubahan rute dapat mengurangi kebutuhan armada, karena harus dibandingkan juga dengan jumlah volum yang dibawa</text>
  </threadedComment>
  <threadedComment ref="A71" dT="2019-12-02T10:28:47.26" personId="{E84C371A-6CE3-4747-87DB-C22F02E9A1A6}" id="{813BA7FA-4A45-4E52-A677-1F14D9576579}" parentId="{DC67BDA1-9D05-4E5C-A870-D3D261A39282}">
    <text xml:space="preserve">Data before after tidak ada FPC
Rute lebih dekat, waktu temput lebih panjang.
Tidak ada penjelasan tentang korelasi perubahan jalur dengan efiesiensi armada
</text>
  </threadedComment>
  <threadedComment ref="A72" dT="2019-12-02T07:06:11.32" personId="{6CAE5791-0238-49DC-8500-48D17529DA17}" id="{8DB959B4-D291-4D01-9537-B464DAF970DA}">
    <text>FPC Before &amp; After:
1. FPC Before Kurang detail, semua aktivitas saat istirahat hari jumat dijadikan 1
2. FPC After tidak ada aktivitas sama sekali
Benefit:
1. seharusnya dihitung waktu OB membeli makanan</text>
  </threadedComment>
  <threadedComment ref="A72" dT="2019-12-02T10:23:40.35" personId="{C36CF5C6-B390-4AF7-8360-8C0392FEE03B}" id="{1FE058CF-35A8-477D-90AA-A85FDD5FFC05}" parentId="{8DB959B4-D291-4D01-9537-B464DAF970DA}">
    <text>FPC Before &amp; After:
1. Tidak terlihat perubahan prosesnya selain waktu</text>
  </threadedComment>
  <threadedComment ref="A72" dT="2019-12-02T11:52:04.07" personId="{E84C371A-6CE3-4747-87DB-C22F02E9A1A6}" id="{CE7486BE-AAD1-4938-964D-AFBAD7F7CEF8}" parentId="{8DB959B4-D291-4D01-9537-B464DAF970DA}">
    <text xml:space="preserve">Isu ini cukup sensitif karena terkait ibadah. Di Indonesia pada umumnya waktu pulang yang dimundurkan.
</text>
  </threadedComment>
  <threadedComment ref="A72" dT="2019-12-03T13:13:59.74" personId="{0C02EB27-0A85-487B-B1B6-33793ED69FDB}" id="{EDCBBDB2-7B86-4CB6-BAFF-EA1DFBC34B26}" parentId="{8DB959B4-D291-4D01-9537-B464DAF970DA}">
    <text>Manpower OB digunakan</text>
  </threadedComment>
  <threadedComment ref="A73" dT="2019-12-02T07:20:10.23" personId="{6CAE5791-0238-49DC-8500-48D17529DA17}" id="{5D2D402A-5AB1-4497-BD06-1D6D03F47684}">
    <text>Benefit:
Apakah sudah disetujui untuk upload materi training di FB?</text>
  </threadedComment>
  <threadedComment ref="A73" dT="2019-12-02T10:07:46.49" personId="{C36CF5C6-B390-4AF7-8360-8C0392FEE03B}" id="{E421AA55-8F56-42E5-8834-B290BFE1AF6F}" parentId="{5D2D402A-5AB1-4497-BD06-1D6D03F47684}">
    <text>Benefit:
1. Bagaimana cara memastikan bahwa agent memang melakukan training dan bukan hanya click next
2. Bagaimana cara pengukuran peningkatan skill setelah training</text>
  </threadedComment>
  <threadedComment ref="A73" dT="2019-12-02T12:01:40.76" personId="{E84C371A-6CE3-4747-87DB-C22F02E9A1A6}" id="{A18343F8-A1DC-4487-A70E-BC551D07ECD8}" parentId="{5D2D402A-5AB1-4497-BD06-1D6D03F47684}">
    <text xml:space="preserve">Perlu dipertimbangkan penggunaan medsos (confidential issue). Sebaiknya bisa maksimalkan penggunaan medsos internal seperti teams
</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0-02-05T04:28:00.11" personId="{C36CF5C6-B390-4AF7-8360-8C0392FEE03B}" id="{262CA993-0CD1-4AD4-B6BD-030AE40DE687}">
    <text>Quantitative Benefit:
Edbert: Benefit jelas dan penjelasan juga sudah baik
Data Before:
Edbert: Datanya juga jelas dan make sense untuk waktu pengerjaannya
Thorough Analysis:
Edbert: Masalahnya adalah upload product satu per satu, apakah dengan macro, uploadnya jadi dapat dilakukan secara bulk? Sebenarnya apakah kegunaan dari macro ini? belum begitu jelas</text>
  </threadedComment>
  <threadedComment ref="D2" dT="2020-02-05T09:59:16.87" personId="{76A9E71C-A713-4233-A3E4-FBC9A031DAFD}" id="{6A43BB02-4782-4B30-88A8-8D1E5D8A9826}" parentId="{262CA993-0CD1-4AD4-B6BD-030AE40DE687}">
    <text>Thorough Analysis:
Setelah pakai makro, apa proses pemeriksaan/inspeksinya sama?</text>
  </threadedComment>
  <threadedComment ref="D2" dT="2020-02-05T11:49:15.61" personId="{0C02EB27-0A85-487B-B1B6-33793ED69FDB}" id="{E78B8C7F-AA8B-4462-929F-DCF1DE5FF3DC}" parentId="{262CA993-0CD1-4AD4-B6BD-030AE40DE687}">
    <text>Data Before : Sudah jelas
Thorough analysis : Kalau big product ini kan upload D nya manual pada PDCA di improvement dikatakan update dilakukan menjadi tiap minggu. Apakah ini tidak apa apa?
Quantitative Benefit : Ok</text>
  </threadedComment>
  <threadedComment ref="D2" dT="2020-02-05T11:59:01.88" personId="{E84C371A-6CE3-4747-87DB-C22F02E9A1A6}" id="{98470043-3E69-438D-8E8A-E4B191B13E41}" parentId="{262CA993-0CD1-4AD4-B6BD-030AE40DE687}">
    <text>Quantitative benefit
Clear
Data before
Clear
Thorough Analysis
Apakah update dibutuhkan setiap hari / minggu / bulan? Karena terjadi perubahan frekuensi update dari harian menjadi mingguan.</text>
  </threadedComment>
  <threadedComment ref="D3" dT="2020-02-05T04:44:26.38" personId="{C36CF5C6-B390-4AF7-8360-8C0392FEE03B}" id="{613084A7-00E9-4838-A629-5D2B92645ABC}">
    <text>Quantiative Benefit
Edbert: Benefit sudah cukup jelas dan disajikan dengan cukup
Data Before:
Edbert: Tidak ada alasan mengapa tidak bisa menggunakan template serupa yang pernah dibuat sebelumnya dan menggunakan kembali template tersebut
Thorough Analysis:
Edbert: Jika macro untuk membuat template bisa dibuat, kenapa tidak coba untuk copas template sebelum2nya saja untuk pengerjaan yang sekarang?</text>
  </threadedComment>
  <threadedComment ref="D3" dT="2020-02-05T09:22:20.34" personId="{6CAE5791-0238-49DC-8500-48D17529DA17}" id="{6946A097-A7C5-43F8-A344-850BCB0D2AF2}" parentId="{613084A7-00E9-4838-A629-5D2B92645ABC}">
    <text>Benefit:
belum dikonversi ke financial
Analysis:
Penjabaran process macro masih kurang jelas</text>
  </threadedComment>
  <threadedComment ref="D3" dT="2020-02-05T12:01:32.03" personId="{0C02EB27-0A85-487B-B1B6-33793ED69FDB}" id="{15E0CC14-D172-474D-807A-527F4F22202B}" parentId="{613084A7-00E9-4838-A629-5D2B92645ABC}">
    <text>Data Before : 
Benefit :
Kurang di convert ke uang dan sebenarnya berhubungan dengan Thorough analysis : darimana waktu tersebut bisa didapatkan</text>
  </threadedComment>
  <threadedComment ref="D3" dT="2020-02-05T12:07:33.29" personId="{E84C371A-6CE3-4747-87DB-C22F02E9A1A6}" id="{EFEE9EB2-CC96-463D-9D78-6210D8FA9FC2}" parentId="{613084A7-00E9-4838-A629-5D2B92645ABC}">
    <text>Quantitative benefit
Hanya diberikan secara waktu, belum terlihat efisiensi finansial. 
Data before
Berapa orang yang mengerjakan?
Berapa sering setiap minggunya?
Thorough Analysis
Analisa quantitatif bisa lebih diperdalama</text>
  </threadedComment>
  <threadedComment ref="D3" dT="2020-02-06T00:56:50.64" personId="{76A9E71C-A713-4233-A3E4-FBC9A031DAFD}" id="{2E5A9197-9378-4811-8020-1D82103DE9C3}" parentId="{613084A7-00E9-4838-A629-5D2B92645ABC}">
    <text>Data Before:
Tidak ada penjabaran proses per proses, kurang jelas terlihat proses mana yang di cut
Analysis:
Kurang jelas perbedaan proses dengan atau tanpa makro</text>
  </threadedComment>
  <threadedComment ref="D4" dT="2020-02-05T07:32:55.65" personId="{C36CF5C6-B390-4AF7-8360-8C0392FEE03B}" id="{A9F03B35-AD55-4239-9823-A921F35BF68D}">
    <text>Quantitative Benefit
Edbert: Tidak jelas, sekarang Storage Bazaar juga sudah ada lalu proses apa yang beda? Lagipula, tim warehouse memang tau barang apa saja yang akan di Bazaar-kan ke depannya?
Data Before: Proses sudah cukup jelas dan lengkap
Thorough Analysis: Improvement ini lebih ke pengumpulan barang bazaar di storage bazaar, oleh karena itu pasti ada proses putaway, stock control, etc. Disini tidak dinyatakan ada proses itu. Lalu, apakah ada perbedaan penggunaan space untuk storage bazaar dengan tidak?</text>
  </threadedComment>
  <threadedComment ref="D4" dT="2020-02-05T12:23:46.89" personId="{E84C371A-6CE3-4747-87DB-C22F02E9A1A6}" id="{F8F49714-92DD-46DC-9E40-66AE7994C0C5}" parentId="{A9F03B35-AD55-4239-9823-A921F35BF68D}">
    <text>Quantitative benefit
Bagaimana bisa barang bazar selalu sama setiap kali diadakan?
Data before
Apakah storage sudah ada sebelumnya? Kalau belum, kenapa tidak ada costnya?
Thorough Analysis
1. "Menunggu list bazar" tetap ada before and after, padahal statusnya bisa dieliminasi.
2. Pengecekan barang kenapa bisa menjadi sangat singkat?</text>
  </threadedComment>
  <threadedComment ref="D4" dT="2020-02-05T15:42:03.99" personId="{6CAE5791-0238-49DC-8500-48D17529DA17}" id="{41909515-DE03-41AF-92A7-E12460CFDF46}" parentId="{A9F03B35-AD55-4239-9823-A921F35BF68D}">
    <text>Analysis:
Kuran penjelasan apa yang diimprove
kurang penjelasan apa yang dilakukan sehingga 18 step bisa menjadi 9 step
Benefir
saving seharusnya hanya terjadi untuk sku yang sisa bazaar sebelumnya, untuk sku baru masih perlu dicari di dalam storage</text>
  </threadedComment>
  <threadedComment ref="D4" dT="2020-02-06T01:01:20.45" personId="{76A9E71C-A713-4233-A3E4-FBC9A031DAFD}" id="{A74D1F66-C81F-43C7-8D73-72EA59003AE7}" parentId="{A9F03B35-AD55-4239-9823-A921F35BF68D}">
    <text>Data Before:
Perbedaan elemen proses menunggu di list bazar tidak dijelaskan kenapa jadi storage?
Analysis:
Dengan adanya storage bazar, ada biaya lain yg dikeluarkan ga? Berapa besar area yang digunakan, harusnya akan jadi costing besides efisiensi cost dari sisi time</text>
  </threadedComment>
  <threadedComment ref="D5" dT="2020-02-05T07:39:59.63" personId="{C36CF5C6-B390-4AF7-8360-8C0392FEE03B}" id="{1D6A5554-A76A-4064-BD26-D67D3208DB93}">
    <text>Quantiative Benefit
Edbert: Sudah cukup jelas namun bisa ditambahkan penjelasan seperti berapa tingkat kesalahan HO sekarang dan prediksi ke depannya
Data Before:
Edbert: Tidak ada
Thorough Analysis:
Edbert: Masih belum menjelaskan bagaimana WA dapat menjawab goal untuk menyediakan paket mana untuk driver mana, karena walaupun sudah di koordinasikan, pihak yang handover harus mencari paket itu juga untuk kurir yang sesuai.
Lalu, belum dijelaskan bagaimana prosedur untuk memilah paket mana untuk kurir mana dan kira-kira resource apa yang dipakai untuk proses sorting yang baru ini.</text>
  </threadedComment>
  <threadedComment ref="D5" dT="2020-02-05T12:26:25.94" personId="{0C02EB27-0A85-487B-B1B6-33793ED69FDB}" id="{C9853F59-0FB2-40AB-AA3D-E3C88307CEA6}" parentId="{1D6A5554-A76A-4064-BD26-D67D3208DB93}">
    <text>Thorough Analysis:
Tidak dijelaskan bagaimana proses sortir packing bisa dilakukan setelah di koordinasikan..</text>
  </threadedComment>
  <threadedComment ref="D5" dT="2020-02-05T15:24:27.64" personId="{E84C371A-6CE3-4747-87DB-C22F02E9A1A6}" id="{1A37A98B-F192-4E5D-94BB-87E7D8040002}" parentId="{1D6A5554-A76A-4064-BD26-D67D3208DB93}">
    <text xml:space="preserve">Quantitative benefit
jika sudah disiapkan, apakah loading dock menjadi lebih kosong?
Data before
1. Perhitungan timing tidak jelas.
2. Tidak ada FPC
Thorough Analysis
1. tidak jelas proses apa saja yang dilakukan sehingga mendapat waktu sekian
2. waktu pembuatan list apakah menjadi hilang?
3. Proses lain yang ditimbulkan dari sistem baru?
4. Mengapa tidak menggunakan email? (lebih valid &amp; secure)
</text>
  </threadedComment>
  <threadedComment ref="D5" dT="2020-02-06T01:06:54.86" personId="{76A9E71C-A713-4233-A3E4-FBC9A031DAFD}" id="{71F28907-C2B1-4781-A909-5E7B310121F7}" parentId="{1D6A5554-A76A-4064-BD26-D67D3208DB93}">
    <text>Data Before:
Tidak ada detail proses, tidak tau proses mana yang diperbaiki
data before-after ga jelas apa jumlah SKU nya sama
Analysis:
Tidak dijelaskan group WA nya bekerja seperti apa. Apa dengan group WA, informasi dapat di simpan seperti mana email?</text>
  </threadedComment>
  <threadedComment ref="D6" dT="2020-02-05T07:55:58.17" personId="{C36CF5C6-B390-4AF7-8360-8C0392FEE03B}" id="{ED69F55F-0EA6-40BC-9A9A-1BB7058BE455}">
    <text>Quantitative Benefit
Edbert: Benefit cukup jelas
Data Before:
Edbert: Proses before sudah benar dan disampaikan dengan lengkap
Thorough Analysis
Edbert: Impact dan cara pengerjaan sudah sangat lengkap. Penjabaran pekerjaan picker dan admin juga sudah lengkap. Sedikit masukkan adalah apakah proses-proses tersebut akan melanggar SOP karena storage di set manual bukan stockholm</text>
  </threadedComment>
  <threadedComment ref="D6" dT="2020-02-05T15:25:13.33" personId="{E84C371A-6CE3-4747-87DB-C22F02E9A1A6}" id="{924856B5-EF74-4B2B-B786-B05398E7B467}" parentId="{ED69F55F-0EA6-40BC-9A9A-1BB7058BE455}">
    <text xml:space="preserve">Cukup jelas
</text>
  </threadedComment>
  <threadedComment ref="D6" dT="2020-02-05T16:02:23.82" personId="{6CAE5791-0238-49DC-8500-48D17529DA17}" id="{C491F6D1-4B10-422F-91B8-C97F64C811EC}" parentId="{ED69F55F-0EA6-40BC-9A9A-1BB7058BE455}">
    <text>Analysis:
Perbandingan tidak apple to apple
di before, waktu assign sampai pick lama karena 1 cycle picking dilakukan untuk beberapa SKU selain SKU yang qty terbanyak
di after, waktu assign sampai pick menjadi cepat karena 1 cycle picking dilakukan untuk SKU qty terbanyak saja, namun tidak dihitung juga waktu untuk picking SKU lain juga</text>
  </threadedComment>
  <threadedComment ref="D6" dT="2020-02-05T23:19:40.17" personId="{0C02EB27-0A85-487B-B1B6-33793ED69FDB}" id="{7C3AD786-2CFA-46D8-BC9E-D035CBDA4772}" parentId="{ED69F55F-0EA6-40BC-9A9A-1BB7058BE455}">
    <text>ok</text>
  </threadedComment>
  <threadedComment ref="D6" dT="2020-02-06T04:28:47.45" personId="{6CAE5791-0238-49DC-8500-48D17529DA17}" id="{FCAFD295-8551-4308-8498-F3704CBCEBBC}" parentId="{ED69F55F-0EA6-40BC-9A9A-1BB7058BE455}">
    <text>Diskualifikasi karena sama persis dengan kaizen ceper di 2019, sudah konfirm ke Faisal dan Ci Sanni</text>
  </threadedComment>
  <threadedComment ref="D7" dT="2020-02-05T03:37:44.43" personId="{C36CF5C6-B390-4AF7-8360-8C0392FEE03B}" id="{3F6C6FA8-5E4E-47D6-8B58-F0E58B4B1B6C}">
    <text>Quantitative Benefit:
Edbert: Memang benar kertas tidak digunakan, tapi sekarang semua personil BES harus mempunyai akses ke Microsoft Forms, apakah mereka sekarang sudah punya akses?
Lalu apakah anda yakin bahwa proses pengisian form PA akan lancar apabila menggunakan HP? bisa jadi pengisian PA nya malah lebih lama
Data Before:
Edbert: Proses cukup straightforward jadi jelas-jelas saja
Thorough Analysis:
Edbert: Masih kurang pas karena masih ada beberapa poin yang harus di consider seperti akses ke form, siapa yang maintain dokumen (karena harus disimpan sampai 10 tahun), Apakah mudah mencari jawaban pegawai untuk proses one on one mengingat ini bentuknya form bukan excel</text>
  </threadedComment>
  <threadedComment ref="D7" dT="2020-02-05T15:40:06.50" personId="{E84C371A-6CE3-4747-87DB-C22F02E9A1A6}" id="{1F96A07E-60F0-451B-9323-9A66A3FE79BF}" parentId="{3F6C6FA8-5E4E-47D6-8B58-F0E58B4B1B6C}">
    <text xml:space="preserve">Quantitative benefit
1.  cukup jelas
Data before
1. Biaya cetak belum termasuk. Bisa ditambahkan.
2. Biaya preservasi dokumen?
Thorough Analysis
1. Bagaimana memastikan preservasi dokumen PA online selama 10 tahun?
2. Proses submit ke HRD hilang. Apakah form langsung submit ke HR
3. Siapa yang mengisi formnya?
4. Waktu proses review tidak masuk?
</text>
  </threadedComment>
  <threadedComment ref="D7" dT="2020-02-05T16:15:49.41" personId="{6CAE5791-0238-49DC-8500-48D17529DA17}" id="{1AFE987C-C5AF-4DE7-86AF-CA56BAAC3C3F}" parentId="{3F6C6FA8-5E4E-47D6-8B58-F0E58B4B1B6C}">
    <text>Data Before:
seharusnya dimasukkan proses memasukkan PA ke kertas manual supaya dapat dibandingkan apakah menulis di kertas dan mengetik di form online sama cepatnya
Analysis
Seharusnya dimasukkan waktu untuk mengisi form online
Benfit:
OK</text>
  </threadedComment>
  <threadedComment ref="D7" dT="2020-02-05T23:33:32.80" personId="{0C02EB27-0A85-487B-B1B6-33793ED69FDB}" id="{DBBB9837-BD2E-4FCE-959C-6525313728BD}" parentId="{3F6C6FA8-5E4E-47D6-8B58-F0E58B4B1B6C}">
    <text>Thorough Analysis :
Excel online atau microsoft form? 
Proses submit ke hrd ga ada? apakah langsung pas selesai PA nya? 
Apakah pengisian PA dan proses PA dilakukan bersamaan? &lt;&lt;&lt; Ada baiknya proses PA dan pengisian PA dipisah.</text>
  </threadedComment>
  <threadedComment ref="D7" dT="2020-02-06T01:14:38.71" personId="{76A9E71C-A713-4233-A3E4-FBC9A031DAFD}" id="{AA11ACAC-F574-439E-8991-C96EDD225FAC}" parentId="{3F6C6FA8-5E4E-47D6-8B58-F0E58B4B1B6C}">
    <text>Analysis:
Apakah no problem ketika penyerahan hasil PA berupa hasil online form ke HRD? Jika perlu di fisik, harusnya ada biaya cetak hasil PA. Apa proses PA ini ok jika dilakukan tanpa face to face?</text>
  </threadedComment>
  <threadedComment ref="D8" dT="2020-02-05T04:04:50.62" personId="{C36CF5C6-B390-4AF7-8360-8C0392FEE03B}" id="{879EFE6C-EA62-49FE-A75C-FAC451B4D39F}">
    <text>Quantitative Benefit:
Edbert: benefit make sense dan banyak aspek yang tersentuh seperti efisiensi biaya, peningkatan utilisasi aset dan pegawai
Data Before:
Tidak ada proses yang berubah, namun lebih ke perubahan penggunaan aset, dari menggunakan jasa 3PL menjadi menggunakan resource internal
Thorough Analysis:
Edbert: Rincian sudah lengkap hanya saja ada beberapa faktor seperti seberapa banyak peningkatan utilisasi karyawan dan utilisasi kendaraan masih belum dapat dilampirkan karena memang belum ada datanya</text>
  </threadedComment>
  <threadedComment ref="D8" dT="2020-02-05T16:29:42.44" personId="{E84C371A-6CE3-4747-87DB-C22F02E9A1A6}" id="{E373463C-F198-4589-A0FD-BB7BF2E251F1}" parentId="{879EFE6C-EA62-49FE-A75C-FAC451B4D39F}">
    <text xml:space="preserve">1. Belum terlihat perbandingan biaya per hari dari 3pl dengan inhouse untuk masing-masing rute.
2. Cost BBM berbeda-beda untuk setiap rute
4. Perhitungan cost masih ada yang terlewat seperti ban, asuransi, biaya kenek.
5. Berpotensi saving besar namun perlu perhitungan yang lebih rinci
</text>
  </threadedComment>
  <threadedComment ref="D8" dT="2020-02-05T16:41:43.44" personId="{6CAE5791-0238-49DC-8500-48D17529DA17}" id="{B377BF84-EDA3-452A-A754-E47AAABA6A15}" parentId="{879EFE6C-EA62-49FE-A75C-FAC451B4D39F}">
    <text>Data Before kurang jelas berasal dari mana 235 jt
Harusnya FPC menjelaskan proses linehaul (handover ke trip logic dsb) dimana pasti akan ada pengisian dokumen serah terima, arsip yang mungkin dapat dihemat dengan penggunaan kurir internal
Analysis:
harusnya FPC menjelaskan proses linhaulnya
Benefit:
OK</text>
  </threadedComment>
  <threadedComment ref="D8" dT="2020-02-05T23:43:34.70" personId="{0C02EB27-0A85-487B-B1B6-33793ED69FDB}" id="{66785A2E-C49D-4F20-A77A-8514B59B11BF}" parentId="{879EFE6C-EA62-49FE-A75C-FAC451B4D39F}">
    <text>Thorough Analysis:
Akan lebih ok dengan apakah utilisasi mobil mencukupi untuk proses linehaul mother hub hingga 6 bulan kedepan minimal.
-Dapat info : tidak ada satupun proses yg berbeda antara driver internal atau eksternal?
Data Before :
Biaya dri invoice kah? darimana?</text>
  </threadedComment>
  <threadedComment ref="D8" dT="2020-02-06T01:18:15.90" personId="{76A9E71C-A713-4233-A3E4-FBC9A031DAFD}" id="{993FA83E-43F3-40CF-AB0F-729A19E38A85}" parentId="{879EFE6C-EA62-49FE-A75C-FAC451B4D39F}">
    <text>Data Before:
Benefit biaya kurang jelas, angka biayanya dari mana?
Proses di linehaul nya gimana? Apakah iya sama persis dengan sebelumnya?</text>
  </threadedComment>
  <threadedComment ref="D9" dT="2020-02-05T06:32:42.96" personId="{C36CF5C6-B390-4AF7-8360-8C0392FEE03B}" id="{8B1A6617-BF74-48BE-8200-2B5B52747B82}">
    <text>Quantitative Benefit
Edbert: Tujuan dan keuntungan sudah cukup jelas
Data Before:
Edbert: Proses sudah cukup jelas dan lengkap
Thorough Analysis:
Edbert: Apakah load seperti ini dilakukan secara reguler? jika tidak, maka savingnya sebenarnya tidak fixed dan sebaiknya memberikan average.</text>
  </threadedComment>
  <threadedComment ref="D9" dT="2020-02-05T16:51:02.12" personId="{E84C371A-6CE3-4747-87DB-C22F02E9A1A6}" id="{1A3E1BC6-FA9B-4F4F-9157-6F7C2FC9B773}" parentId="{8B1A6617-BF74-48BE-8200-2B5B52747B82}">
    <text xml:space="preserve">1. Berapa muatan maksimum dari granmax bv? Diharapkan muatan masih di bawah batas berat maksimum.
2. Berapa kali dalam 1 bulan ada trip yang penuh? 
</text>
  </threadedComment>
  <threadedComment ref="D9" dT="2020-02-05T16:52:38.79" personId="{6CAE5791-0238-49DC-8500-48D17529DA17}" id="{0A4C63C9-76B0-4648-88F2-8B8E9065FE04}" parentId="{8B1A6617-BF74-48BE-8200-2B5B52747B82}">
    <text>Data Before: OK
Analysis: sisi bagian belakang kenapa tidak dimaksimalkan juga
Benefit: Perhitungan 40rb kurang jelas, improvement tidak dapat diterapkan setiap waktu</text>
  </threadedComment>
  <threadedComment ref="D9" dT="2020-02-05T23:48:16.98" personId="{0C02EB27-0A85-487B-B1B6-33793ED69FDB}" id="{045C6E49-C037-45A9-8AC7-62465475F4DE}" parentId="{8B1A6617-BF74-48BE-8200-2B5B52747B82}">
    <text>Benefit : Dilakukan hanya setiap promo bliblimart groceries... perlu melihat load apakah memang terpakai full selalu berdasarkan history saja</text>
  </threadedComment>
  <threadedComment ref="D9" dT="2020-02-06T01:22:50.57" personId="{76A9E71C-A713-4233-A3E4-FBC9A031DAFD}" id="{B1189298-4797-4903-83E1-796A29627BF6}" parentId="{8B1A6617-BF74-48BE-8200-2B5B52747B82}">
    <text>Analysis:
Efisiensi biaya perhitungannya bagaimana? 40rb didapatkan dari mana? Secara proses justu menimbulkan costing 41rb?</text>
  </threadedComment>
  <threadedComment ref="D10" dT="2020-02-05T06:55:21.96" personId="{C36CF5C6-B390-4AF7-8360-8C0392FEE03B}" id="{131F527C-F496-474B-AEE3-0AFB6B9D2B5C}">
    <text>Quantitative Benefit
Edbert: Benefitnya jelas, namun sepertinya angkanya tidak bisa fixed, karena kebutuhan agent belum tentu sama angkanya
Data Before
Edbert: Proses sekarang sudah cukup lengkap dan jelas
Thorough Analysis:
Edbert: Apa yang dilakukan apabila tiba-tiba butuh akun tambahan? Apakah proses approvalnya cepat? Apabila minta akun mendadak, apakah billing akan naik?</text>
  </threadedComment>
  <threadedComment ref="D10" dT="2020-02-05T17:04:25.78" personId="{6CAE5791-0238-49DC-8500-48D17529DA17}" id="{25CBF525-B4F0-4CBB-92D7-1370633E6717}" parentId="{131F527C-F496-474B-AEE3-0AFB6B9D2B5C}">
    <text>Analysis:
apakah sudah implementasi?
negosiasi menjadi bagaimana?
approval request akun dan negosiasi dilakukan setiap berapa lama sekali</text>
  </threadedComment>
  <threadedComment ref="D10" dT="2020-02-05T23:54:30.41" personId="{0C02EB27-0A85-487B-B1B6-33793ED69FDB}" id="{516D01D7-E932-44B2-ACAE-8ACFED181994}" parentId="{131F527C-F496-474B-AEE3-0AFB6B9D2B5C}">
    <text>Quantitative Ben: jelas
Thorough analysis : Ini dilakukan tahunan? apabila terdapat perubahan mendadak (tiba-tiba ada event besar) apakah proses penambahan akun dapat dilakukan dengan cepat?</text>
  </threadedComment>
  <threadedComment ref="D10" dT="2020-02-06T01:25:09.86" personId="{76A9E71C-A713-4233-A3E4-FBC9A031DAFD}" id="{E9A0D018-9DEA-420C-B97B-2817C3C4FD73}" parentId="{131F527C-F496-474B-AEE3-0AFB6B9D2B5C}">
    <text>Analysis:
Seharusnya bisa ditambahkan penjadwalan/pengaturan penggunaan akun, pada bagian improvement seharusnya disebutkan bahwa akun bisa digunakan lebih dari 1 user sehingga pertanyaan mengenai kekurangan akun bisa terjawab</text>
  </threadedComment>
  <threadedComment ref="D10" dT="2020-02-06T02:43:21.83" personId="{E84C371A-6CE3-4747-87DB-C22F02E9A1A6}" id="{F20DE910-0507-43B5-A08E-E5BA16D2F8C8}" parentId="{131F527C-F496-474B-AEE3-0AFB6B9D2B5C}">
    <text xml:space="preserve">1. Apakah sudah implementasi?
2. Bagaimana jika terjadi kebutuhan mendadak? Impact terhadap SLA?
</text>
  </threadedComment>
  <threadedComment ref="D11" dT="2020-02-05T07:16:43.62" personId="{C36CF5C6-B390-4AF7-8360-8C0392FEE03B}" id="{9F976CD2-2749-4F18-B4ED-223C34CF88B9}">
    <text>Quantiative Benefit
Edbert: Benefitnya memang jelas, tapi banyak pertimbangan yang belum dijelaskan apakah ada impact terhadap quality
Data Before
Edbert: Proses sudah benar dan straightforward
Thorough Analysis
Edbert: Bagaimana mereka make sure kalau setiap agent punya standard yang sama dalam filter mana email yang spam dan yang bukan? Sudahkah di hitung impactnya apabila agent tidak melakukan filter dengan benar?</text>
  </threadedComment>
  <threadedComment ref="D11" dT="2020-02-05T15:29:41.48" personId="{E84C371A-6CE3-4747-87DB-C22F02E9A1A6}" id="{DE4D15C2-B7BC-4DE2-95AC-14A8708A23F2}" parentId="{9F976CD2-2749-4F18-B4ED-223C34CF88B9}">
    <text xml:space="preserve">Quantitative benefit
Belum dijelaskan panduan diberikan dalam bentuk apa. kertas/training/sticky notes?
Data before
Apa alasan TL membutuhkan waktu 130s?
Thorough Analysis
Jika TL membutuhkan waktu sampai 130s, bagaimana caranya Agent bisa melakukan lebih cepat?3
</text>
  </threadedComment>
  <threadedComment ref="D11" dT="2020-02-05T17:08:33.61" personId="{6CAE5791-0238-49DC-8500-48D17529DA17}" id="{A5FC762B-C653-475C-9230-CC4D167E636E}" parentId="{9F976CD2-2749-4F18-B4ED-223C34CF88B9}">
    <text>Analysis:
Guideline belum dijelaskan seperti apa
seharusnya ada periodical check untuk memastikan keputusan agent benar atau tidak</text>
  </threadedComment>
  <threadedComment ref="D11" dT="2020-02-06T00:01:14.83" personId="{0C02EB27-0A85-487B-B1B6-33793ED69FDB}" id="{EC803E34-47B6-4A3D-9213-1C3E9882F003}" parentId="{9F976CD2-2749-4F18-B4ED-223C34CF88B9}">
    <text>Thorough analysis :
Guide bentuknya apa?
Mengapa agent bisa menentukan email SPAM hanya dalam waktu total 84 detik sementara untuk TL 130 detik, ada waktu membuka app nya?</text>
  </threadedComment>
  <threadedComment ref="D11" dT="2020-02-06T01:37:31.71" personId="{76A9E71C-A713-4233-A3E4-FBC9A031DAFD}" id="{058B219C-E26D-4186-B2F0-E7527CA5BBAF}" parentId="{9F976CD2-2749-4F18-B4ED-223C34CF88B9}">
    <text>Analysis:
Guideline nya gimana dan diletakkan dimana?</text>
  </threadedComment>
  <threadedComment ref="D12" dT="2020-02-05T07:22:19.84" personId="{C36CF5C6-B390-4AF7-8360-8C0392FEE03B}" id="{C5B8C843-5757-4C0C-822A-8A192169D27C}">
    <text>Quantitative Benefit
Edbert: Perumusan dan penjelasan benefit sudah sangat baik dan dapat dimengerti darimana savingnya
Data Before:
Edbert: Proses juga sudah sangat lengkap dan tepat
Thorouh Analysis:
Edbert: Sudah sangat jelas action apa saja yang harus dilakukan dan hitungannya sudah make sense</text>
  </threadedComment>
  <threadedComment ref="D13" dT="2020-02-24T03:30:16.92" personId="{E84C371A-6CE3-4747-87DB-C22F02E9A1A6}" id="{BF8F9083-3041-49E5-9BE2-03CD46068A60}">
    <text>Why analysis bisa lebih diperjelas mengapa data bank tidak lengkap. Tujuannya untuk menghindari proses terhambat karena data yang tidak lengkap karena kesalahan yang sama</text>
  </threadedComment>
  <threadedComment ref="D13" dT="2020-02-24T10:02:02.13" personId="{76A9E71C-A713-4233-A3E4-FBC9A031DAFD}" id="{47E19E1D-7362-4038-A548-348CA6763BD3}" parentId="{BF8F9083-3041-49E5-9BE2-03CD46068A60}">
    <text>Analysis:
Potential improvement yang dapat dilakukan lebih besar, kurang dijelaskan bagaimana bentuk datanya</text>
  </threadedComment>
  <threadedComment ref="D13" dT="2020-02-26T04:28:50.60" personId="{C36CF5C6-B390-4AF7-8360-8C0392FEE03B}" id="{AD732842-592F-4A07-B779-9D02D6CF41E5}" parentId="{BF8F9083-3041-49E5-9BE2-03CD46068A60}">
    <text>Thorough analysis:
Bentuk listnya dalam bentuk apa ya?</text>
  </threadedComment>
  <threadedComment ref="D13" dT="2020-02-26T10:02:30.27" personId="{6CAE5791-0238-49DC-8500-48D17529DA17}" id="{B2A61B71-7BFA-49AC-A8D5-246865976983}" parentId="{BF8F9083-3041-49E5-9BE2-03CD46068A60}">
    <text>Analysis
Why analysis masih bisa dilanjutkan</text>
  </threadedComment>
  <threadedComment ref="D14" dT="2020-02-24T03:46:17.40" personId="{E84C371A-6CE3-4747-87DB-C22F02E9A1A6}" id="{C858F284-2552-4E34-9B8F-1B287A43B6D7}">
    <text>Data Before:
1. Rata-rata 1 bulan didapat dari bulan berapa sampai berapa?
Through Analysis:
1. Pada FPC before, banyak yang bisa dieliminate, namun tidak dilakukan.
QB:
1. Penghematan waktu tidak dikonversi ke penghematan</text>
  </threadedComment>
  <threadedComment ref="D14" dT="2020-02-24T10:20:32.36" personId="{76A9E71C-A713-4233-A3E4-FBC9A031DAFD}" id="{8073D340-F7AC-465C-BFC2-948978EEC018}" parentId="{C858F284-2552-4E34-9B8F-1B287A43B6D7}">
    <text>perhitungan pengurangan unit berdasarkan apa kurang dijelaskan
pejadwalan penggunaan avaya nya seperti apa, karena dari FPC penggunaan avaya utk FU cases</text>
  </threadedComment>
  <threadedComment ref="D14" dT="2020-02-26T04:38:35.82" personId="{C36CF5C6-B390-4AF7-8360-8C0392FEE03B}" id="{CA1147AA-52E3-4C95-99B9-520238767069}" parentId="{C858F284-2552-4E34-9B8F-1B287A43B6D7}">
    <text>TA:
Apakah load pekerjaan tetap dapat di maintain apabila device ditiadakan?</text>
  </threadedComment>
  <threadedComment ref="D14" dT="2020-02-26T10:15:26.42" personId="{6CAE5791-0238-49DC-8500-48D17529DA17}" id="{DA0569DE-4043-4C03-95EA-FF3F954FBDC8}" parentId="{C858F284-2552-4E34-9B8F-1B287A43B6D7}">
    <text>Analysis:
Why analysis masih bisa diperdalam lagi
Benefit
tidak menghitung cost waktu yang bertambah.</text>
  </threadedComment>
  <threadedComment ref="D14" dT="2020-02-26T11:38:15.64" personId="{0C02EB27-0A85-487B-B1B6-33793ED69FDB}" id="{C74CD843-C6B8-49CA-B32C-E647C4EAD183}" parentId="{C858F284-2552-4E34-9B8F-1B287A43B6D7}">
    <text>Thorough analysis :
bagaimana bsa ngurangin jumlah avayanya
Qty benefit :
benefit kurang di penambahan waktu yg terjadi</text>
  </threadedComment>
  <threadedComment ref="D15" dT="2020-02-24T04:34:21.07" personId="{E84C371A-6CE3-4747-87DB-C22F02E9A1A6}" id="{90084D85-1BAF-445D-B0AF-D43DBDFAC9C5}">
    <text>DB:
1. Perhitungan kapsitas catridge untuk ukuran A4/A5? 9600 lembar didapat dari mana?
TA:
1. FPC tidak ada perhitungan dari segi waktu.
2. Proses scan dan upload tidak terkuantifikasi.
QB:
1. Data disimpan di server atau hard disk external? Kalau di local drive, potensi data hilang karena kerusakan device.</text>
  </threadedComment>
  <threadedComment ref="D15" dT="2020-02-26T04:41:58.27" personId="{C36CF5C6-B390-4AF7-8360-8C0392FEE03B}" id="{0B88BECD-5768-4B4B-9E14-8C0FD31ECE66}" parentId="{90084D85-1BAF-445D-B0AF-D43DBDFAC9C5}">
    <text>DB:
Tidak ada perubahan? sepertinya sama saja cuma ganti media
TA:
bukannya dokumen GIN harus ada dokumennya supaya sesuai dengan ISO</text>
  </threadedComment>
  <threadedComment ref="D15" dT="2020-02-26T10:18:34.56" personId="{6CAE5791-0238-49DC-8500-48D17529DA17}" id="{F2AC628B-D8BF-405A-A047-937FA64A5BE7}" parentId="{90084D85-1BAF-445D-B0AF-D43DBDFAC9C5}">
    <text>FPC tidak ada waktunya
Benefit tidak consider saving dari segi waktu</text>
  </threadedComment>
  <threadedComment ref="D15" dT="2020-02-26T10:24:03.51" personId="{6CAE5791-0238-49DC-8500-48D17529DA17}" id="{4D3A9DDF-7702-4F76-9A0C-DA65B04BE94B}" parentId="{90084D85-1BAF-445D-B0AF-D43DBDFAC9C5}">
    <text>Saving Cartridge tidak tepat menggunakan asumsi 50%, karena pemakaian cartridge dari tim OPM kan bukan hanya untuk GIN dengan BES saja</text>
  </threadedComment>
  <threadedComment ref="D15" dT="2020-02-26T10:25:02.28" personId="{6CAE5791-0238-49DC-8500-48D17529DA17}" id="{AEBCBB84-187E-41C6-8871-F580252F69FA}" parentId="{90084D85-1BAF-445D-B0AF-D43DBDFAC9C5}">
    <text>Saving per year saya kurangin saving dari cartridge</text>
  </threadedComment>
  <threadedComment ref="D15" dT="2020-02-26T11:53:31.16" personId="{0C02EB27-0A85-487B-B1B6-33793ED69FDB}" id="{EBEDAA12-65E2-4E1A-8C90-642D60EA36EC}" parentId="{90084D85-1BAF-445D-B0AF-D43DBDFAC9C5}">
    <text>Thorough analysis:
waktu di fpc tidak ada, 
Qty benefit :
simpan di sharepoint berarti benefit nya tidak pakai perkiraan terabytenya external tpi cloud?</text>
  </threadedComment>
  <threadedComment ref="H15" dT="2020-06-30T07:05:16.00" personId="{6CAE5791-0238-49DC-8500-48D17529DA17}" id="{A967C3CE-C86C-4E9C-9DAC-CE2A978732C5}">
    <text>Order Q4 diasumsikan 3x dari order Q1-Q3 sehingga dikalikan 18 x untuk mengetahui jumlah penggunaan kertas selama satu tahun</text>
  </threadedComment>
  <threadedComment ref="D16" dT="2020-02-24T06:31:08.99" personId="{E84C371A-6CE3-4747-87DB-C22F02E9A1A6}" id="{8BA7A56A-47D1-4FBC-8F33-4891946E7698}">
    <text>Seharusnya SO tidak perlu menggunakan kertas</text>
  </threadedComment>
  <threadedComment ref="D16" dT="2020-02-26T10:53:02.64" personId="{6CAE5791-0238-49DC-8500-48D17529DA17}" id="{01F96B2C-F3AE-4FD7-BA86-5F17849213A7}" parentId="{8BA7A56A-47D1-4FBC-8F33-4891946E7698}">
    <text>Data Before tidak ada FPC, 
SO seharusnya tidak menggunakan kertas
setelah diberi revisi data juga angka tidak berubah
ANalysis
why analysis kurang tepat, seharusnya analisa kenapa pemakaian kertas banyak,
pemakaian untuk proses apa saja, dsb
benefit
perhitungan salah</text>
  </threadedComment>
  <threadedComment ref="D17" dT="2020-02-25T07:48:55.15" personId="{76A9E71C-A713-4233-A3E4-FBC9A031DAFD}" id="{4F34F823-E3FC-44B5-80A9-8C04F9774377}">
    <text>Analysis:
1. Bagaimana proses sosialisasi ke driver ojol?
2. Ada proses tambahan rekap dari data yang di send by WA ga?</text>
  </threadedComment>
  <threadedComment ref="D17" dT="2020-02-26T06:41:48.78" personId="{C36CF5C6-B390-4AF7-8360-8C0392FEE03B}" id="{7872A9F2-AECD-49B6-BC37-DCAD6C1849F0}" parentId="{4F34F823-E3FC-44B5-80A9-8C04F9774377}">
    <text>TA:
1. Bagaimana cara membuat driver konsisten / mau hub pakai WA dulu? karena ini adalah driver 3rd party
2. Lalu setelah di WA, memang bagaimana caranya membuat driver tdk perlu mengantri lagi? karena operator tetap harus tanya nama driver siapa
DB:
Biasa ngantri berp lama?</text>
  </threadedComment>
  <threadedComment ref="D17" dT="2020-02-26T11:09:09.27" personId="{6CAE5791-0238-49DC-8500-48D17529DA17}" id="{14042ECA-A2A0-4B12-843C-2F6AEDABE32B}" parentId="{4F34F823-E3FC-44B5-80A9-8C04F9774377}">
    <text>After:
proses driver konfirmasi di whatsapp juga tidak mungkin hanya 5 detik untuk mengetik info2 yang dibutuhkan.
Menyiapkan dan menyerahkan paket ke driver kenapa waktunya bisa lebih cepat? kan proses menyiapkan dan serah terima ke driver tidak berubah, hanya informasi lebih cepat saja</text>
  </threadedComment>
  <threadedComment ref="D18" dT="2020-02-24T06:52:44.85" personId="{E84C371A-6CE3-4747-87DB-C22F02E9A1A6}" id="{BA949A96-1471-4F42-B8DD-D7C3EB6CEF01}">
    <text>DB, TA, QB sudah jelas</text>
  </threadedComment>
  <threadedComment ref="C19" dT="2020-02-25T14:38:18.94" personId="{C36CF5C6-B390-4AF7-8360-8C0392FEE03B}" id="{65CC6775-0EE4-4850-9CE0-81666232D727}">
    <text>25/2: Pringgo drop submission Kaizen ini karena dia bilang masih belum keuntungan dari melakukan ide ini</text>
  </threadedComment>
  <threadedComment ref="D19" dT="2020-02-24T08:06:04.07" personId="{E84C371A-6CE3-4747-87DB-C22F02E9A1A6}" id="{AE25D523-F37C-495E-B65D-B228E80B915D}">
    <text>mengapa proses yang sama di FPC before after bisa berbeda waktunya?
apakah waktu konfirmasi chat dengan driver betul2 hanya 5 detik?</text>
  </threadedComment>
  <threadedComment ref="D20" dT="2020-02-24T08:23:25.98" personId="{E84C371A-6CE3-4747-87DB-C22F02E9A1A6}" id="{C368F807-F07D-4E53-95B2-EFF7518862F2}">
    <text>belum ada penjelasan siapa yang approve form. Mengapa di FPC before tidak ada approval proses?</text>
  </threadedComment>
  <threadedComment ref="D20" dT="2020-02-25T08:15:53.88" personId="{76A9E71C-A713-4233-A3E4-FBC9A031DAFD}" id="{5EAFF917-17F7-487F-BA6C-4A8E4B787631}" parentId="{C368F807-F07D-4E53-95B2-EFF7518862F2}">
    <text>Penjelasan proses kurang detail, padahal bisa di jabarin pengurangan waktu admin yang siapin ATK saat rekap data by email yang lebih lama dibanding tercompile di form</text>
  </threadedComment>
  <threadedComment ref="D20" dT="2020-02-25T14:44:33.02" personId="{C36CF5C6-B390-4AF7-8360-8C0392FEE03B}" id="{77BA3419-F42C-45F7-87C6-221E86798547}" parentId="{C368F807-F07D-4E53-95B2-EFF7518862F2}">
    <text>Sepertinya kegunaan bukan hanya dari segi waktu, tapi ke pertanggunjawaban / bisa pelajari ATK apa yang sering di pakai atau cepat habis</text>
  </threadedComment>
  <threadedComment ref="D20" dT="2020-02-26T11:23:13.33" personId="{6CAE5791-0238-49DC-8500-48D17529DA17}" id="{AEAA50C4-0ACB-4562-9CB3-49EEBCEC44B2}" parentId="{C368F807-F07D-4E53-95B2-EFF7518862F2}">
    <text>Benefit:
data 18x belum menggunakan data aktual, karena masih menggunakan asumsi</text>
  </threadedComment>
  <threadedComment ref="D21" dT="2020-02-24T10:08:38.25" personId="{E84C371A-6CE3-4747-87DB-C22F02E9A1A6}" id="{6FEE18AA-872E-4DC3-96ED-6439870F6DD4}">
    <text>Diagram fish bone tidak menjelaskan permasalahan sebelumnya.</text>
  </threadedComment>
  <threadedComment ref="D21" dT="2020-02-26T08:00:23.99" personId="{C36CF5C6-B390-4AF7-8360-8C0392FEE03B}" id="{33B3E6B7-8254-4824-BDC8-C9CD12FB7B98}" parentId="{6FEE18AA-872E-4DC3-96ED-6439870F6DD4}">
    <text>TA:
Belum ada analisa apakah mengurangi manpower dapat tetap menjaga kinerja operator</text>
  </threadedComment>
  <threadedComment ref="D21" dT="2020-02-26T11:30:03.41" personId="{6CAE5791-0238-49DC-8500-48D17529DA17}" id="{926FC9EB-5CF4-4840-8105-EC6249D518CF}" parentId="{6FEE18AA-872E-4DC3-96ED-6439870F6DD4}">
    <text>FPC tidak ada waktu nya
Analisa tidak menyebutkan kenapa di awal di set sejumlah 4 orang tersebut</text>
  </threadedComment>
  <threadedComment ref="D22" dT="2020-02-25T07:07:14.95" personId="{76A9E71C-A713-4233-A3E4-FBC9A031DAFD}" id="{3732BFB6-DACD-46C9-BECE-B4B79FFDE835}">
    <text>Analysis:
Salah satu kendala online form berbarengan adalah kemungkinan tabrakan per baris satu sama lain, kurang di mention ada atau tidak aktivitas tambahan untuk menghindari hal tsb?</text>
  </threadedComment>
  <threadedComment ref="D22" dT="2020-02-26T11:40:14.96" personId="{6CAE5791-0238-49DC-8500-48D17529DA17}" id="{2416CDEC-25BB-41E1-92C4-71C62AF43A0D}" parentId="{3732BFB6-DACD-46C9-BECE-B4B79FFDE835}">
    <text>penjabaran Perhitungan benefit tidak sistematis dan angka berbeda dengan difference FPC</text>
  </threadedComment>
  <threadedComment ref="D23" dT="2020-02-25T07:13:59.77" personId="{76A9E71C-A713-4233-A3E4-FBC9A031DAFD}" id="{D0121ACF-ED98-45A8-BBE7-46DC64D6C129}">
    <text>Analysis:
1. Proses control nya bagaimana? Berapa % keberhasilannya? karena kemungkinan agent tetep telat tetap ada walaupun pakai aplikasi tersebut
2. Agent ga perlu info di slack lagi? WFM control nya all via galarm?</text>
  </threadedComment>
  <threadedComment ref="D23" dT="2020-02-26T08:40:19.05" personId="{C36CF5C6-B390-4AF7-8360-8C0392FEE03B}" id="{DE564233-877E-44F6-BDC6-D7D42AD14C15}" parentId="{D0121ACF-ED98-45A8-BBE7-46DC64D6C129}">
    <text>DB:
waktu break vs ketelatan tidak apple to apple karena harusnya per satu agent saja bukan kolektif
TA:
Kenapa harus pakai Galarm? memang tidak bisa pake clock di HP saja?</text>
  </threadedComment>
  <threadedComment ref="D23" dT="2020-02-26T11:44:56.08" personId="{6CAE5791-0238-49DC-8500-48D17529DA17}" id="{B600C2E9-BC5F-432E-B499-35C71FFF3CBF}" parentId="{D0121ACF-ED98-45A8-BBE7-46DC64D6C129}">
    <text>Data before:
Keterlambatan seharusnya tidak masuk FPC tetapi di bagian benefit
Analysis dana data after:
Terdapat proses melakukan aux break yang waktunya berubah dari before ke after padahal tidak ada keterangan improvement apapun pada aktivitas tsb</text>
  </threadedComment>
  <threadedComment ref="D24" dT="2020-02-26T11:54:39.67" personId="{6CAE5791-0238-49DC-8500-48D17529DA17}" id="{5E31AE13-B113-4B50-9957-F031C4F59CCD}">
    <text>Data before untuk GIN butuh 4200 lembar tidak valid, karena berdasar data GIN di stockholm selama bulan januari hanya terdapat sekitar 800 GIN sehingga hanya membutuhkan 1600 lembar saja
FPC before after tidak ada waktunya</text>
  </threadedComment>
  <threadedComment ref="D24" dT="2020-02-26T12:08:12.16" personId="{C36CF5C6-B390-4AF7-8360-8C0392FEE03B}" id="{78B3E761-2BF5-49FC-A9EE-8CD76366340B}" parentId="{5E31AE13-B113-4B50-9957-F031C4F59CCD}">
    <text>masalah utamanya bukan karena pake 2 account tapi lebih ke kurang training sampe2 2 orang proses 1 GIN yang sama</text>
  </threadedComment>
  <threadedComment ref="D25" dT="2020-02-26T12:11:35.45" personId="{C36CF5C6-B390-4AF7-8360-8C0392FEE03B}" id="{AB891115-DA4C-4619-9652-24A83A661148}">
    <text>TA:
Dia mempunyai PIC utk sorting kardus, artinya akan hire orang specific utk kerja. Pertanyaan: apakah load pekerjaan di WH ini akan tetap terjaga, lalu apakah waktu pekerja ini akan di utilize dengan baik?</text>
  </threadedComment>
  <threadedComment ref="D25" dT="2020-02-27T02:23:56.52" personId="{6CAE5791-0238-49DC-8500-48D17529DA17}" id="{CEBB3D58-3A3F-483A-8DA7-A6228CE09619}" parentId="{AB891115-DA4C-4619-9652-24A83A661148}">
    <text>Pengumpulan report terlambat
Data Before:
FPC tidak ada
Analysis:
FPC tidak ada
Improvement tidak menyelasaikan semua root cause yang ditemukan pada Analisa Sebab, padahal improvementnya seharusnya cepat
bagaimana cara maintain space yang digunakan untuk packaging tidak mencapai 300m2 lagi?
Goalnya untuk mempersingkat waktu pengeluaran kardus, tetapi tidak disebutkan before dan after waktu pengeluaran kardusnya.
Benfit:
saving seharusnya tidak 300m2 karena masih ada space yang digunakan untuk kardus bekas</text>
  </threadedComment>
  <threadedComment ref="D26" dT="2020-03-18T04:04:35.51" personId="{76A9E71C-A713-4233-A3E4-FBC9A031DAFD}" id="{6966B91C-3F6B-42A4-9128-8762A33EFBA0}">
    <text>Benefit/Implementation:
1. After improvement kenapa tetap ada proses print form KYC?
2. Proses upload data dokumen kenapa tidak ada di after improvement?</text>
  </threadedComment>
  <threadedComment ref="D26" dT="2020-03-18T08:08:40.32" personId="{0C02EB27-0A85-487B-B1B6-33793ED69FDB}" id="{C83A6032-82AC-476E-ABCA-9746E1B7178A}" parentId="{6966B91C-3F6B-42A4-9128-8762A33EFBA0}">
    <text>1. Dokumen di after tidak perlu discan?</text>
  </threadedComment>
  <threadedComment ref="D26" dT="2020-03-19T02:13:03.57" personId="{6CAE5791-0238-49DC-8500-48D17529DA17}" id="{053E31A3-5D04-42B5-AF00-D3AE04226C89}" parentId="{6966B91C-3F6B-42A4-9128-8762A33EFBA0}">
    <text>analisa
1. proses scan dan upload data dokumen di after tidak dijelaskan
2. 
benefiti
1. pengurangan waktu proses seharusnya ikut dihitung sebagai benefit</text>
  </threadedComment>
  <threadedComment ref="D27" dT="2020-03-19T02:22:50.23" personId="{6CAE5791-0238-49DC-8500-48D17529DA17}" id="{C6C1ADE2-9FC7-4DC5-AF02-A2ECBB5FCB30}">
    <text>Before:
1. data yang disebutkan pada summary data before berbeda dengan data pada FPC
analysis:
1. improvement tidak menjawab analisa template yang berbeda dan kebutuhan yang berbeda di setiap bagian
benefit:
1. benfit tidak ada</text>
  </threadedComment>
  <threadedComment ref="H27" dT="2020-04-20T04:51:49.69" personId="{6CAE5791-0238-49DC-8500-48D17529DA17}" id="{6E635BF5-C4AE-4412-979A-0A80BE59D258}">
    <text>based on presentation with Ops Mgr</text>
  </threadedComment>
  <threadedComment ref="D28" dT="2020-03-03T03:42:23.16" personId="{6CAE5791-0238-49DC-8500-48D17529DA17}" id="{DD35F6F6-AB87-414B-A435-BDD131FA542A}">
    <text>kan berarti keuntungannya:
1. mengurangi salah kirim - berapa kali kejadian before dan after improvement (rata2 dalam 1 bulan)
2. mempercepat investigasi kalau salah kirim - berapa lama investigasi before dan after (rata2 dalam 1 bulan)
kerugiannya:
1. Penambahan waktu buat input excel - berapa lama waktu yang diperlukan (rata2 dalam 1 bulan)
nnti tlg dipastikan ada perhitungan ini</text>
  </threadedComment>
  <threadedComment ref="D28" dT="2020-03-19T02:51:47.99" personId="{6CAE5791-0238-49DC-8500-48D17529DA17}" id="{53051F4F-DBCC-4C09-B2BD-AB4CB175A1CF}" parentId="{DD35F6F6-AB87-414B-A435-BDD131FA542A}">
    <text>before:
1. data kerugian tidak jelas dari mana
2. tidak ada FPC untuk investigasi salah kirim
analisis
1. harusnya analisa sebab bisa lebih detail mengambil kasus yang telah terjadi kenapa bisa salah kirim bukan langsung kesimpulan karena tidak ada monitoring berat
2. improvement kurang detail bagaimana cara cek error weight, excelnya seperti apa
benefit:
1. Data after seharusnya menyertakan proses cek error weight itu menambah proses berapa lama
2. tidak dikuantifikasi</text>
  </threadedComment>
  <threadedComment ref="D28" dT="2020-03-19T04:47:49.47" personId="{0C02EB27-0A85-487B-B1B6-33793ED69FDB}" id="{8B66789E-CED3-4A28-AFAB-FA50A9F6B0B9}" parentId="{DD35F6F6-AB87-414B-A435-BDD131FA542A}">
    <text>Ada perubahan proses tpi tidak ada FPC : Data before
Tho Anal : Improvement kurang jelas dijelaskan cara cek error dan kenapa bsa bkin ga lebih kurang</text>
  </threadedComment>
  <threadedComment ref="D30" dT="2020-03-18T10:50:34.70" personId="{C36CF5C6-B390-4AF7-8360-8C0392FEE03B}" id="{2A46CAEB-66CF-4AA0-B1C5-27F4158C5E10}">
    <text>QB:
Terus kalau GINnya di batch, waktunya penyerahannya ngga sesuai dong?</text>
  </threadedComment>
  <threadedComment ref="D30" dT="2020-03-19T03:03:28.87" personId="{6CAE5791-0238-49DC-8500-48D17529DA17}" id="{2DAA4527-B36A-4A90-BB3C-55EC8E3E807F}" parentId="{2A46CAEB-66CF-4AA0-B1C5-27F4158C5E10}">
    <text>Analisa:
1. Analisa bisa lebih detail, mengapa bisa banyak akun, mengapa bisa lama submit GINnya
Benefit:
1. harusnya untuk semua warehouse tidak bisa langsung dikali 19 saja, karena tidak semua warehouse sama, terutama yang di luar jabodetabek</text>
  </threadedComment>
  <threadedComment ref="H30" dT="2020-04-20T04:45:30.31" personId="{6CAE5791-0238-49DC-8500-48D17529DA17}" id="{1A3B420F-5CDE-4E6B-8AD9-248456162F30}">
    <text>based on presentation with Ops Mgr</text>
  </threadedComment>
  <threadedComment ref="D31" dT="2020-03-03T03:46:37.24" personId="{6CAE5791-0238-49DC-8500-48D17529DA17}" id="{5334762A-E08F-44FC-A1C5-B5A5BCABC6F5}">
    <text>harus dibandingkannya lebih mudah antara pakai stockholm atau pakai excel online nya,</text>
  </threadedComment>
  <threadedComment ref="D31" dT="2020-03-19T03:30:19.66" personId="{6CAE5791-0238-49DC-8500-48D17529DA17}" id="{F3F9BBF9-977D-4773-B552-58D5AD1C4170}" parentId="{5334762A-E08F-44FC-A1C5-B5A5BCABC6F5}">
    <text>Before:
1. FPC kurang detail
Benefit:
1. FPC kurang detail apakah scan di security sudah termasuk di proses mencatat data ATK
2. sehari ambil 32 macam ATK? kok kurang make sense</text>
  </threadedComment>
  <threadedComment ref="D34" dT="2020-03-19T03:46:25.96" personId="{6CAE5791-0238-49DC-8500-48D17529DA17}" id="{4790C28E-32D5-4CD2-8EA5-9049D2FC65B7}">
    <text>Before:
FPC kurang detail 90 detik melakukan kategorisasi itu gimana caranya
Benefit
FPC after kurang detail 10 detik itu bagaimana
lalu ada penarikan data dengan macro tidak masuk dalam FPC</text>
  </threadedComment>
  <threadedComment ref="H34" dT="2020-04-20T04:43:36.93" personId="{6CAE5791-0238-49DC-8500-48D17529DA17}" id="{7354E2CF-B26C-4FD6-9997-B7C4CA4D33D3}">
    <text>based on presentation with Ops Mgr</text>
  </threadedComment>
  <threadedComment ref="D36" dT="2020-03-19T03:50:05.86" personId="{76A9E71C-A713-4233-A3E4-FBC9A031DAFD}" id="{3AA2B338-BFC5-4D89-B3F2-4E631A02F370}">
    <text>sudah di implementasikan</text>
  </threadedComment>
  <threadedComment ref="D36" dT="2020-03-19T03:50:26.30" personId="{6CAE5791-0238-49DC-8500-48D17529DA17}" id="{A8A64FC6-C6C4-472A-B4BE-3995A8E939C5}" parentId="{3AA2B338-BFC5-4D89-B3F2-4E631A02F370}">
    <text>Data before tidak ada
Analisa dan improvement ridak dijelaskan
benefit tidak ada</text>
  </threadedComment>
  <threadedComment ref="D36" dT="2020-03-19T06:43:30.28" personId="{0C02EB27-0A85-487B-B1B6-33793ED69FDB}" id="{83E56C2A-A60B-4056-9C3E-22969890ECD9}" parentId="{3AA2B338-BFC5-4D89-B3F2-4E631A02F370}">
    <text>Improvement tidak dijelaskan,
data before after tidak ada</text>
  </threadedComment>
  <threadedComment ref="D37" dT="2020-03-19T03:58:05.30" personId="{6CAE5791-0238-49DC-8500-48D17529DA17}" id="{F6EAC791-FE74-4A5E-961E-9DC0AE50CE19}">
    <text>Analisa:
Tidak menjelaskan bagaimana memastikan admin disipilin
Benefit:
tidak aktual, perhitungan permintaan stok masih dalam bentuk "Misal"
Stock opname bulanan kenapa hanya 67200 kan harusnya 48000x2</text>
  </threadedComment>
  <threadedComment ref="D38" dT="2020-03-19T04:04:01.28" personId="{6CAE5791-0238-49DC-8500-48D17529DA17}" id="{551E2FDD-BBBB-4868-827D-B944F4F58EFD}">
    <text>analisis
improvement tidak menjawab semua masalah yang ada
benefit
benefit tidak dijelaskan
perbandingan dengan data before tidak ada (jumlah palet, selisih stock)</text>
  </threadedComment>
  <threadedComment ref="D39" dT="2020-03-19T04:19:54.02" personId="{6CAE5791-0238-49DC-8500-48D17529DA17}" id="{12447FA4-486C-4318-A7E1-CAA491DFDEB0}">
    <text>Analisys:
Why analisis tidak dilanjutkan hingga root cause
improvement kurang jelas
benefit
benefit tidak ada
data after tidak dijelaskan itu sekarang dikerjakan berapa orang</text>
  </threadedComment>
  <threadedComment ref="H39" dT="2020-04-20T05:00:14.42" personId="{6CAE5791-0238-49DC-8500-48D17529DA17}" id="{A410DA3A-3D78-4846-9E57-8F67556A27D3}">
    <text>based on presentation with Ops Mgr</text>
  </threadedComment>
  <threadedComment ref="D40" dT="2020-04-09T03:03:05.71" personId="{C36CF5C6-B390-4AF7-8360-8C0392FEE03B}" id="{DE0B5723-603E-4DE9-879D-C7314A94DC44}">
    <text>TA:
sudah memperhitungkan berapa banyak orang dan berapa lama untuk memproses barang claim di tiap warehouse?</text>
  </threadedComment>
  <threadedComment ref="D40" dT="2020-04-09T10:14:43.49" personId="{5B7250CA-52A3-4CDF-BC44-82773AB71DC7}" id="{5E7EBD7F-5A01-4D14-A278-8BC5A1C15C09}" parentId="{DE0B5723-603E-4DE9-879D-C7314A94DC44}">
    <text xml:space="preserve">QB:
Need to check akurasi saving, karena penggunaan SiCepat tidak 100% (hanya sebagian besar, ini juga tidak di state berapa kontribusinya)
</text>
  </threadedComment>
  <threadedComment ref="D41" dT="2020-04-09T10:20:16.78" personId="{5B7250CA-52A3-4CDF-BC44-82773AB71DC7}" id="{A98E966F-C2D7-4905-A301-CDD20B836056}">
    <text xml:space="preserve">TA:
Apakah jika picking menggunakan tablet ada benefit lain (e.g.: time saving atau dokumentasi)?
</text>
  </threadedComment>
  <threadedComment ref="D41" dT="2020-04-14T11:51:59.02" personId="{76A9E71C-A713-4233-A3E4-FBC9A031DAFD}" id="{C2BFA58A-D925-459E-8E5F-F9B8B8F790D0}" parentId="{A98E966F-C2D7-4905-A301-CDD20B836056}">
    <text>Tidak ada FPC-&gt; tidak dijelaskan ada atau tidak perubahan proses</text>
  </threadedComment>
  <threadedComment ref="D41" dT="2020-04-15T10:30:53.12" personId="{6CAE5791-0238-49DC-8500-48D17529DA17}" id="{E6AE6856-F11E-4EDB-93EC-4392DA908C90}" parentId="{A98E966F-C2D7-4905-A301-CDD20B836056}">
    <text>Before:
Tidak jelas 14rb dari mana
Benefit
perhitungan jumlah kertas kenapa bisa turun jadi 4</text>
  </threadedComment>
  <threadedComment ref="D43" dT="2020-04-09T03:09:04.74" personId="{C36CF5C6-B390-4AF7-8360-8C0392FEE03B}" id="{CBBA1D1F-EB6B-4CB9-B5F1-D64E5F71F6CC}">
    <text>TA: berapa container per trolley? kalau containernya tidak butuh sebanyak yang di trolley lalu bagaimana?</text>
  </threadedComment>
  <threadedComment ref="D43" dT="2020-04-15T11:04:18.16" personId="{6CAE5791-0238-49DC-8500-48D17529DA17}" id="{45A64849-6239-402A-BCD8-E2877D176D79}" parentId="{CBBA1D1F-EB6B-4CB9-B5F1-D64E5F71F6CC}">
    <text>Benefit tidak ada cost saving karena memindahkan proses</text>
  </threadedComment>
  <threadedComment ref="D45" dT="2020-04-09T10:32:00.65" personId="{5B7250CA-52A3-4CDF-BC44-82773AB71DC7}" id="{84AE43A4-374B-411B-B3A2-62A58A9A0743}">
    <text xml:space="preserve">TA:
Content form checklist perlu direview:
1. Apakah masa berlaku dokumen per karyawan bisa dilookup dari database terpisah? (perubahannya tidak dalam jangka waktu dekat &amp; bisa menambah time saving)
2. Pertanyaan dan jawaban perlu dicek (e.g. form mobil tidak cek spion; form spion motor pilihannya menyala/tidak; tas operasional ada/tidak - kalau ada tapi rusak bagaimana?)
</text>
  </threadedComment>
  <threadedComment ref="D45" dT="2020-04-15T10:54:10.58" personId="{6CAE5791-0238-49DC-8500-48D17529DA17}" id="{21B4C965-B46E-4D35-850A-A864AD1C597B}" parentId="{84AE43A4-374B-411B-B3A2-62A58A9A0743}">
    <text>Benefit tidak di rupiahkan semua</text>
  </threadedComment>
  <threadedComment ref="D47" dT="2020-04-13T09:56:20.75" personId="{5B7250CA-52A3-4CDF-BC44-82773AB71DC7}" id="{D09D0EA4-8876-4426-A92E-4CA5F6FAA687}">
    <text xml:space="preserve">QB:
Need to recheck dafa after (time saving: 11,07 menit = 664 detik --&gt; 4x coaching &amp; avg 7 orang: per bulan 310 jam)
</text>
  </threadedComment>
  <threadedComment ref="D47" dT="2020-04-14T11:58:31.97" personId="{76A9E71C-A713-4233-A3E4-FBC9A031DAFD}" id="{352F7DC3-C61B-41BB-B9C5-37436CD09CE1}" parentId="{D09D0EA4-8876-4426-A92E-4CA5F6FAA687}">
    <text>benefit calc to rp?</text>
  </threadedComment>
  <threadedComment ref="D47" dT="2020-04-15T10:09:17.04" personId="{6CAE5791-0238-49DC-8500-48D17529DA17}" id="{6A0E0E4F-809A-472D-9362-E95800C0BD57}" parentId="{D09D0EA4-8876-4426-A92E-4CA5F6FAA687}">
    <text>Data Before:
tidak jelas kenapa proses coaching ada 2 x di FPC
Benefit 
calculation ke IDR ga ada</text>
  </threadedComment>
  <threadedComment ref="D50" dT="2020-04-28T03:18:19.25" personId="{0C02EB27-0A85-487B-B1B6-33793ED69FDB}" id="{58D7B1D0-DC75-498E-946D-5A361790EEA9}">
    <text>Ranggi Maharani:
1. Barang tercampur bagaimana dipisahkannya?
2. Ini merupakan contoh menanggulangi kekurangan container namun tidak cocok untuk jangka panjang</text>
  </threadedComment>
  <threadedComment ref="D50" dT="2020-04-28T10:30:16.32" personId="{C36CF5C6-B390-4AF7-8360-8C0392FEE03B}" id="{415E6019-0DFE-4972-BC0D-1F64887CEB74}" parentId="{58D7B1D0-DC75-498E-946D-5A361790EEA9}">
    <text xml:space="preserve">Sangat beresiko packing tercampur dengan container lainnya
</text>
  </threadedComment>
  <threadedComment ref="D50" dT="2020-04-28T10:35:10.43" personId="{6CAE5791-0238-49DC-8500-48D17529DA17}" id="{690E424F-A45F-4D9E-A8CA-D433019C69F4}" parentId="{58D7B1D0-DC75-498E-946D-5A361790EEA9}">
    <text>Waktu Proses Before dan After tidak dihitung</text>
  </threadedComment>
  <threadedComment ref="D51" dT="2020-04-28T03:50:16.03" personId="{0C02EB27-0A85-487B-B1B6-33793ED69FDB}" id="{B0267B56-79EA-4C22-BCCE-A444200F669F}">
    <text>1. ada perubahan proses tpi fpc ga ada, tidak tau apakah sudah mempertimbangkan perubahan proses paa benefit</text>
  </threadedComment>
  <threadedComment ref="D51" dT="2020-04-28T10:34:08.57" personId="{C36CF5C6-B390-4AF7-8360-8C0392FEE03B}" id="{1DD4CF17-3286-4046-8391-3398D1B08668}" parentId="{B0267B56-79EA-4C22-BCCE-A444200F669F}">
    <text xml:space="preserve">Resiko apabila PIC inbound salah jumlah, maka qty yang di commit juga salah karena tidak ada pengecekan lebih lanjut
</text>
  </threadedComment>
  <threadedComment ref="D51" dT="2020-04-28T10:42:05.15" personId="{6CAE5791-0238-49DC-8500-48D17529DA17}" id="{BFF627C0-A9D3-4AFC-B6BF-42BD4DD7E593}" parentId="{B0267B56-79EA-4C22-BCCE-A444200F669F}">
    <text xml:space="preserve">FPC tidak ada, 
</text>
  </threadedComment>
  <threadedComment ref="D54" dT="2020-04-28T10:36:59.89" personId="{C36CF5C6-B390-4AF7-8360-8C0392FEE03B}" id="{81A0C1A5-39AC-4D12-9D5C-C63696902BA6}">
    <text xml:space="preserve">Apakah ada kebutuhan untuk tambah space? kalau tidak ada maka tidak berguna
</text>
  </threadedComment>
  <threadedComment ref="D55" dT="2020-04-29T02:37:34.90" personId="{76A9E71C-A713-4233-A3E4-FBC9A031DAFD}" id="{EED148FC-D2BD-4D88-B451-71E074DE5184}">
    <text>apa ada efek terhadap finlost setelah improvement?</text>
  </threadedComment>
  <threadedComment ref="D56" dT="2020-04-28T09:20:14.57" personId="{C36CF5C6-B390-4AF7-8360-8C0392FEE03B}" id="{943F99B2-66CB-40FE-9D89-3F60FE84127F}">
    <text xml:space="preserve">TA: Apakah faktor costing di WH Decentralize sudah di consider? seperti space, manusia dll
</text>
  </threadedComment>
  <threadedComment ref="D56" dT="2020-04-28T10:16:57.86" personId="{6CAE5791-0238-49DC-8500-48D17529DA17}" id="{032BBE6E-F2A6-4134-B3E4-59B7FFDC5B67}" parentId="{943F99B2-66CB-40FE-9D89-3F60FE84127F}">
    <text>FPC tidak ada waktunya, padahal bisa save waktu untuk memproses barang</text>
  </threadedComment>
  <threadedComment ref="D56" dT="2020-04-29T02:34:13.86" personId="{76A9E71C-A713-4233-A3E4-FBC9A031DAFD}" id="{69A313C6-829D-4BC3-97F5-136B31EA1BE9}" parentId="{943F99B2-66CB-40FE-9D89-3F60FE84127F}">
    <text>apa ada saving waktu transportation?</text>
  </threadedComment>
  <threadedComment ref="D57" dT="2020-04-28T09:15:25.16" personId="{6CAE5791-0238-49DC-8500-48D17529DA17}" id="{FE910FD4-C7F8-4952-A736-F49819094024}">
    <text>Deskripsi problem tidak jelas
Analisa masalah kurang detail</text>
  </threadedComment>
  <threadedComment ref="D57" dT="2020-04-28T10:40:47.56" personId="{C36CF5C6-B390-4AF7-8360-8C0392FEE03B}" id="{466907EE-BA1F-423E-9268-D87F60D20D79}" parentId="{FE910FD4-C7F8-4952-A736-F49819094024}">
    <text xml:space="preserve">Apakah ada dispute nanti apabila dibukakan akses TMS?
</text>
  </threadedComment>
  <threadedComment ref="D57" dT="2020-04-29T02:29:03.97" personId="{76A9E71C-A713-4233-A3E4-FBC9A031DAFD}" id="{31247241-B12A-4BC3-9FDA-953377E150A4}" parentId="{FE910FD4-C7F8-4952-A736-F49819094024}">
    <text>perhitungan benefit untuk first cust+champion order. screening awb to first cust apa terus akan dilakukan? jika tidak awb yang di screening hny untuk champion (lebih sedikit drpada perhitungan)</text>
  </threadedComment>
  <threadedComment ref="D59" dT="2020-05-29T10:45:51.01" personId="{0C02EB27-0A85-487B-B1B6-33793ED69FDB}" id="{7932B504-65B9-4702-9D59-57737F628CD1}">
    <text>Data Before : perubahan proses putaway tidak ada.</text>
  </threadedComment>
  <threadedComment ref="D60" dT="2020-05-26T09:59:34.94" personId="{C36CF5C6-B390-4AF7-8360-8C0392FEE03B}" id="{F8E58C53-6E78-4E96-81EC-21A01204A6A9}">
    <text xml:space="preserve">QB: bagaimana menentukan berapa banyak kurir yg dibutuhkan sehari? bagaimana kalau kekurangan / kelebihan? apakah resiko nya secara angka sudah diperhitungkan?
</text>
  </threadedComment>
  <threadedComment ref="D60" dT="2020-05-29T10:57:08.19" personId="{0C02EB27-0A85-487B-B1B6-33793ED69FDB}" id="{0DFB17BA-B8A9-4CCD-88C9-63A964711710}" parentId="{F8E58C53-6E78-4E96-81EC-21A01204A6A9}">
    <text>Improvement berfokus pada penambahan kurir harian pada bisnis proses. kurang penjelasan pd risk/problem arise dengan penggunaan kurir harian.</text>
  </threadedComment>
  <threadedComment ref="D60" dT="2020-06-05T03:25:53.10" personId="{6CAE5791-0238-49DC-8500-48D17529DA17}" id="{90554910-E824-40B2-BEE0-F625D9839139}" parentId="{F8E58C53-6E78-4E96-81EC-21A01204A6A9}">
    <text>Benefit:
perhitungan benefit tidak apple to apple, 
biaya jml kurir harian saat itu 64 kurir dibandingkan dengan 64 kurir reguler, padahal belum tentu setiap hari ada 64 kurir reguler selama 1 bulan
Analysis:
IMprovement dan root cause tidak detail, kenapa penentuan harga 6500
kenapa ditentukan 64 kurir</text>
  </threadedComment>
  <threadedComment ref="H60" dT="2020-06-23T03:29:23.92" personId="{6CAE5791-0238-49DC-8500-48D17529DA17}" id="{A1E4EC2C-1A72-45D9-97B9-2B3812A14314}">
    <text>based on ppt</text>
  </threadedComment>
  <threadedComment ref="D62" dT="2020-05-29T04:04:56.57" personId="{76A9E71C-A713-4233-A3E4-FBC9A031DAFD}" id="{F88362AA-D188-4C3D-91AF-C0F1A3DAF80E}">
    <text>perhitungan benefoit shifting berkurang 30 hari dari mana, pengali 60rb?</text>
  </threadedComment>
  <threadedComment ref="D62" dT="2020-06-05T08:36:00.20" personId="{6CAE5791-0238-49DC-8500-48D17529DA17}" id="{408C543A-59BE-4BCE-81CE-0B26D3DFC7BE}" parentId="{F88362AA-D188-4C3D-91AF-C0F1A3DAF80E}">
    <text>Data Before &amp; After kurang menjelaskan shifting dan penggunaan avaya untuk apa saja
Analisa dan Improvement kurang detail</text>
  </threadedComment>
  <threadedComment ref="H62" dT="2020-06-23T03:32:17.41" personId="{6CAE5791-0238-49DC-8500-48D17529DA17}" id="{AFF32A05-9F71-4496-97DC-D971EC15CD23}">
    <text>based on ppt ops meeting</text>
  </threadedComment>
  <threadedComment ref="D64" dT="2020-06-16T11:28:21.60" personId="{C36CF5C6-B390-4AF7-8360-8C0392FEE03B}" id="{9500CEAD-63C9-4CCD-ABEF-20D0FE9436BE}">
    <text xml:space="preserve">TA: sudah diperhitungkan resiko pengantaran oleh AntarAja? apakah ada kemungkinan fraud dari customer dengan AntarAja dan merchant karena kita sudah tidak ada touch pointnya di process ini?
</text>
  </threadedComment>
  <threadedComment ref="D65" dT="2020-06-22T09:22:06.11" personId="{6CAE5791-0238-49DC-8500-48D17529DA17}" id="{18AEC73E-9E51-4180-B38E-FCF5E7C9D6A6}">
    <text>Saving tidak hanya dari kertas, tetapi dari waktu print, tinta
tetapi akan ada waktu tambahan untuk ganti2 kertas HVS dan kertas buram</text>
  </threadedComment>
  <threadedComment ref="H70" dT="2020-06-30T09:47:20.03" personId="{6CAE5791-0238-49DC-8500-48D17529DA17}" id="{AABB2C47-1E4C-4EC5-8B20-12AB1365F473}">
    <text>Saving from presentation</text>
  </threadedComment>
  <threadedComment ref="D71" dT="2020-06-16T11:14:12.70" personId="{C36CF5C6-B390-4AF7-8360-8C0392FEE03B}" id="{0742EB19-D849-44F5-94E0-DF41227227A4}">
    <text xml:space="preserve">TA: bagaimana memastikan bahwa semua agent sudah mendengar briefing? apa yang terjadi apabila mereka tidak mendengarkan briefing?
</text>
  </threadedComment>
  <threadedComment ref="D71" dT="2020-06-22T07:50:53.99" personId="{6CAE5791-0238-49DC-8500-48D17529DA17}" id="{B872736B-5DAF-487A-8C06-82627C070062}" parentId="{0742EB19-D849-44F5-94E0-DF41227227A4}">
    <text>Durasi penyampaian briefing kok hilang di data after? apakah berarti materi briefing tidak didengarkan?
Benefit kurang lengkap seharusnya dihitung semua waktu proses yang dibutuhkan dari trainer dan agent.
waktu proses trainer berkurang krna tidak perlu briefing berkali2, waktu proses agent harusnya bertambah karena mengisi quiziz</text>
  </threadedComment>
  <threadedComment ref="H71" dT="2020-06-30T09:56:48.26" personId="{6CAE5791-0238-49DC-8500-48D17529DA17}" id="{03708B03-07AA-497E-90BE-B34FB913EBA6}">
    <text>Saving berdasar presentasi</text>
  </threadedComment>
  <threadedComment ref="D72" dT="2020-06-22T09:29:57.31" personId="{6CAE5791-0238-49DC-8500-48D17529DA17}" id="{DE033179-F0ED-48FC-88D3-DFCD2C180D03}">
    <text>FPC tidak ada, padahal itu oasti terdapat perubahan proses</text>
  </threadedComment>
  <threadedComment ref="D73" dT="2020-06-22T09:38:09.22" personId="{6CAE5791-0238-49DC-8500-48D17529DA17}" id="{66726C0D-2827-4F90-8179-670EAF177F46}">
    <text>FPC tidak ada, padahal itu oasti terdapat perubahan proses</text>
  </threadedComment>
  <threadedComment ref="D74" dT="2020-06-22T09:34:12.46" personId="{6CAE5791-0238-49DC-8500-48D17529DA17}" id="{6BF368EE-5862-4790-8FC6-5111721B8642}">
    <text>Aktual hanya dapat dilakukan di WH itu, belum approved juga untuk all warehouse membeli Beam</text>
  </threadedComment>
  <threadedComment ref="D84" dT="2020-08-05T14:49:52.84" personId="{6CAE5791-0238-49DC-8500-48D17529DA17}" id="{C6E490BE-B2CA-42B9-B41D-45AF4FF4F80B}">
    <text>Benefit aneh, pemakaian kertas buat form checklist 100lembar per hari, bolpen dan stabilo 20 per bulan?
proses chart before after tidak jelas</text>
  </threadedComment>
  <threadedComment ref="D84" dT="2020-08-06T03:07:01.47" personId="{0C02EB27-0A85-487B-B1B6-33793ED69FDB}" id="{3939BCAE-D060-4FA1-B8CB-678D6F677D2E}" parentId="{C6E490BE-B2CA-42B9-B41D-45AF4FF4F80B}">
    <text>FPC untuk proses tidak jelas, tapi penjelasan penggunaan tablet jelas. 
Bolpen dan stabilo 20 per bulan? karena habis atau tardiness hilang dkk?</text>
  </threadedComment>
  <threadedComment ref="D85" dT="2020-08-06T03:12:21.44" personId="{0C02EB27-0A85-487B-B1B6-33793ED69FDB}" id="{70FB6F4D-1420-40C0-9C98-8486EA64E0CC}">
    <text>berarti perlu ada proses updating guide untuk klasifikasi/atleast pengecekannya nanti</text>
  </threadedComment>
  <threadedComment ref="D87" dT="2020-08-05T15:26:59.94" personId="{6CAE5791-0238-49DC-8500-48D17529DA17}" id="{A562DCCD-0045-4F7A-9DFF-03E391EBCC88}">
    <text>Jumlah order item tidak make sense,
waktu untuk identify proses pengecekan order yg butuh gimmick tidak di consider</text>
  </threadedComment>
  <threadedComment ref="D88" dT="2020-08-04T03:00:35.07" personId="{C36CF5C6-B390-4AF7-8360-8C0392FEE03B}" id="{78C31161-DB5B-4ED6-B0F1-697480D03377}">
    <text>TA: Apakah mengganti tipe storage sudah disetujui manajemen? takutnya ada consideration yang sudah ditentukan sebelumnya sehingga menggunakan bin dan bukan sekat</text>
  </threadedComment>
  <threadedComment ref="D89" dT="2020-08-05T14:54:22.18" personId="{6CAE5791-0238-49DC-8500-48D17529DA17}" id="{B2845EEA-4DB3-49A5-A13D-DE19887220E0}">
    <text>tidak ada keterangan apakah tinggi tumpukan memperhatikan ketentuan maksimum tumpukan dari manufaktur</text>
  </threadedComment>
  <threadedComment ref="D90" dT="2020-08-05T13:58:20.89" personId="{6CAE5791-0238-49DC-8500-48D17529DA17}" id="{C5B5142D-A73E-4028-8EB3-40215B025C72}">
    <text>Proses driver untuk melakukan routing tidak diconsider</text>
  </threadedComment>
  <threadedComment ref="D92" dT="2020-08-05T14:10:45.29" personId="{6CAE5791-0238-49DC-8500-48D17529DA17}" id="{47A91E05-D2E1-42CE-9270-9D619DDD61A5}">
    <text>Proses update di confluence kenapa bisa hilang</text>
  </threadedComment>
  <threadedComment ref="D93" dT="2020-08-05T15:45:53.05" personId="{6CAE5791-0238-49DC-8500-48D17529DA17}" id="{642A69B1-117E-46AF-AE06-62576ED061DF}">
    <text>excel report tidak menjelaskan story improvement dengan jelas, analisa masalah kurang.</text>
  </threadedComment>
  <threadedComment ref="D93" dT="2020-08-06T04:27:51.42" personId="{0C02EB27-0A85-487B-B1B6-33793ED69FDB}" id="{46660FD1-176D-405C-88E6-641D54827C28}" parentId="{642A69B1-117E-46AF-AE06-62576ED061DF}">
    <text>improvement yg dilakukan dengan TMS maksudnya bagaimana? screening apa yg dilakukan? tidak ada penjelasan.
FPC juga tidak ada perubahan</text>
  </threadedComment>
  <threadedComment ref="H93" dT="2020-08-05T10:39:50.07" personId="{76A9E71C-A713-4233-A3E4-FBC9A031DAFD}" id="{2821F2FD-169F-4AA7-ABA3-694EBD122884}">
    <text>saving waktu visit + gimmick</text>
  </threadedComment>
  <threadedComment ref="H94" dT="2020-08-05T10:39:50.07" personId="{76A9E71C-A713-4233-A3E4-FBC9A031DAFD}" id="{427400B1-3507-4414-9F4E-72230D12BFBA}">
    <text>saving waktu visit + gimmick</text>
  </threadedComment>
  <threadedComment ref="D109" dT="2020-11-10T04:39:35.22" personId="{6CAE5791-0238-49DC-8500-48D17529DA17}" id="{3C8CD787-3E08-433B-83D4-FD32C999FFEB}">
    <text>kelebihan device dikasih ke WH mana, kalau ga ada yang butuh ya ga saving, kan itu equipment milik gdn, dipakai atau ga ya tetep sudah ada cost</text>
  </threadedComment>
  <threadedComment ref="D110" dT="2020-10-16T10:41:14.47" personId="{6CAE5791-0238-49DC-8500-48D17529DA17}" id="{EA66D7AB-F1E9-423E-8B56-7EF2F8ECC6F3}">
    <text>flow proses tidak disebutkan dengan jelas</text>
  </threadedComment>
  <threadedComment ref="D113" dT="2020-10-16T10:40:52.10" personId="{6CAE5791-0238-49DC-8500-48D17529DA17}" id="{CB457950-8B76-41EA-A4DB-4E50A00F7687}">
    <text>Afternya cm berubah dilakukan oleh TL kenapa waktu bisa berkurang?</text>
  </threadedComment>
  <threadedComment ref="D124" dT="2020-12-17T04:11:57.97" personId="{0C02EB27-0A85-487B-B1B6-33793ED69FDB}" id="{2BD67A1C-720B-4FA3-9196-A11F97D45787}">
    <text>Apakah ada jenis barang yg lebih risky jika terlihat jenis barang yang diantarkan karena plastik PE bening?
Dari segi branding? (ok ttp pakai lakban blibli)</text>
  </threadedComment>
</ThreadedComments>
</file>

<file path=xl/threadedComments/threadedComment3.xml><?xml version="1.0" encoding="utf-8"?>
<ThreadedComments xmlns="http://schemas.microsoft.com/office/spreadsheetml/2018/threadedcomments" xmlns:x="http://schemas.openxmlformats.org/spreadsheetml/2006/main">
  <threadedComment ref="K43" dT="2021-07-27T07:37:05.11" personId="{6CAE5791-0238-49DC-8500-48D17529DA17}" id="{0C9664FB-A081-435E-8C90-D89E23F25F5F}">
    <text>Nilai Jual di mematikan PC, jumlah banyak, dan bagus untuk PC karena direstart bisa mengurangi error</text>
  </threadedComment>
  <threadedComment ref="K44" dT="2021-07-27T07:26:04.55" personId="{6CAE5791-0238-49DC-8500-48D17529DA17}" id="{981E37BC-A9CF-4631-AD69-2831AD199150}">
    <text>Ternyata bisa di Stockholm juga</text>
  </threadedComment>
  <threadedComment ref="E47" dT="2021-07-26T03:26:13.71" personId="{6CAE5791-0238-49DC-8500-48D17529DA17}" id="{CB012F96-899A-4A55-BF9D-60070662DA8B}">
    <text>Baru pertama kali submit Kaizen</text>
  </threadedComment>
  <threadedComment ref="K48" dT="2021-07-26T03:42:04.04" personId="{6CAE5791-0238-49DC-8500-48D17529DA17}" id="{DA884F8F-8372-4ED4-8FA9-E971F5E10F07}">
    <text>ini tidak ada saving karena percepat SLA saja, secara proses hanya pindah yang menjalankan macro k tim XOR</text>
  </threadedComment>
  <threadedComment ref="K55" dT="2021-07-27T08:15:11.65" personId="{6CAE5791-0238-49DC-8500-48D17529DA17}" id="{003C340B-9CB0-4ED6-BCDA-B7F120123C31}">
    <text>Bagaiman untuk atasi keamanan data customer?</text>
  </threadedComment>
  <threadedComment ref="V75" dT="2022-01-12T04:37:47.51" personId="{6CAE5791-0238-49DC-8500-48D17529DA17}" id="{035ADA38-5FEE-466E-823A-49056FFE8CD9}">
    <text>konfirm 510rb by yohanes</text>
  </threadedComment>
  <threadedComment ref="Q84" dT="2022-01-05T09:41:04.51" personId="{6CAE5791-0238-49DC-8500-48D17529DA17}" id="{3D5BDC2F-087B-4CB8-9645-0D999DC27D74}">
    <text>konfirm pak iman</text>
  </threadedComment>
  <threadedComment ref="Q99" dT="2022-01-11T10:17:44.10" personId="{6CAE5791-0238-49DC-8500-48D17529DA17}" id="{98EA0DB5-F31C-4C31-810A-AF63BFE59635}">
    <text>confirm by clarissa</text>
  </threadedComment>
</ThreadedComments>
</file>

<file path=xl/threadedComments/threadedComment4.xml><?xml version="1.0" encoding="utf-8"?>
<ThreadedComments xmlns="http://schemas.microsoft.com/office/spreadsheetml/2018/threadedcomments" xmlns:x="http://schemas.openxmlformats.org/spreadsheetml/2006/main">
  <threadedComment ref="V8" dT="2022-04-07T03:54:01.85" personId="{C96CA1D0-EC19-46DA-9813-DCB1776074CA}" id="{B3F47120-DF37-490B-BECF-1DFA125307A0}">
    <text xml:space="preserve">Ini juga terlihat salah itungannya
</text>
  </threadedComment>
  <threadedComment ref="V12" dT="2022-04-07T03:53:36.87" personId="{C96CA1D0-EC19-46DA-9813-DCB1776074CA}" id="{C692FFDB-C2F9-4E82-9F50-35CEF8AE02B1}">
    <text>Cara saving ga gini itungannya</text>
  </threadedComment>
</ThreadedComments>
</file>

<file path=xl/threadedComments/threadedComment5.xml><?xml version="1.0" encoding="utf-8"?>
<ThreadedComments xmlns="http://schemas.microsoft.com/office/spreadsheetml/2018/threadedcomments" xmlns:x="http://schemas.openxmlformats.org/spreadsheetml/2006/main">
  <threadedComment ref="AO39" dT="2023-05-19T11:04:24.31" personId="{0C02EB27-0A85-487B-B1B6-33793ED69FDB}" id="{FFD2D536-DAF6-4DE3-A9A1-9C3057ADB169}">
    <text>Ini apakah sudah ok secara financial?</text>
  </threadedComment>
  <threadedComment ref="V45" dT="2023-11-14T03:35:59.82" personId="{5F14265C-F71D-4C3A-9C0B-2D87E4D53CA8}" id="{5756B96A-0984-47C0-B329-188E70314154}">
    <text>Transisi A5 jadi A6</text>
  </threadedComment>
  <threadedComment ref="AN51" dT="2023-10-16T07:03:29.78" personId="{0C02EB27-0A85-487B-B1B6-33793ED69FDB}" id="{77AF4173-C6F3-40B5-8A7F-A3DD28445943}">
    <text>Ini GDSnya sama? Pada periode 8 jga ada dari tim return buat GDS untuk lokasi produk</text>
  </threadedComment>
  <threadedComment ref="V58" dT="2023-11-14T03:35:59.82" personId="{5F14265C-F71D-4C3A-9C0B-2D87E4D53CA8}" id="{0EF6A168-0124-4EA2-95B2-EDAADBFBD6A4}">
    <text>Transisi a5 jadi a6</text>
  </threadedComment>
  <threadedComment ref="AO58" dT="2023-05-19T11:05:47.23" personId="{0C02EB27-0A85-487B-B1B6-33793ED69FDB}" id="{BB8CA160-3172-4BD6-8DAB-15F984B62B44}">
    <text>Susah ga identifikasi saat GR di WH Tujuan?</text>
  </threadedComment>
  <threadedComment ref="AO65" dT="2023-05-16T09:30:58.59" personId="{0C02EB27-0A85-487B-B1B6-33793ED69FDB}" id="{0CA1D60C-6D6A-4BC2-8DC7-1FE62C012F10}">
    <text>Tidak ada waktu yang jelas dari prosesnya di flow chart dan trollyenya bagaimana</text>
  </threadedComment>
  <threadedComment ref="AQ70" dT="2023-05-19T10:18:32.56" personId="{0C02EB27-0A85-487B-B1B6-33793ED69FDB}" id="{1047B21A-E82D-4E8E-B50E-F502C7B0887A}">
    <text>Pakai bolivia? Apakah ini improvement system? Timelinenya apakah cocok?</text>
  </threadedComment>
  <threadedComment ref="AO79" dT="2023-05-16T09:11:49.88" personId="{0C02EB27-0A85-487B-B1B6-33793ED69FDB}" id="{081A5D02-BF40-4ADD-8BFF-2CE65FA78C3F}">
    <text xml:space="preserve">Bagaimana requester tau rak tidak dijelaskan apakah mudah atau tidak? Apakah ada kemungkinan perubahan dari rak saat request dan saat perintah ke wh? </text>
  </threadedComment>
  <threadedComment ref="AO83" dT="2023-05-16T09:12:10.35" personId="{0C02EB27-0A85-487B-B1B6-33793ED69FDB}" id="{C12A9CD3-42DC-486F-B6FB-9D2157654012}">
    <text>CS harus buka excel jika butuh</text>
  </threadedComment>
  <threadedComment ref="Q106" dT="2023-11-14T04:00:28.69" personId="{5F14265C-F71D-4C3A-9C0B-2D87E4D53CA8}" id="{8FF57676-2FA0-4E6F-A2CF-A17950AAD38A}">
    <text>Paper belum include</text>
  </threadedComment>
  <threadedComment ref="AN112" dT="2023-10-16T02:34:52.05" personId="{0C02EB27-0A85-487B-B1B6-33793ED69FDB}" id="{FD0AAD15-23DD-4071-A4C8-56AF4715D1EB}">
    <text>Membuat box dilakukan jika MPP tersedia</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file:///D:\download\attachments\19693843\FPC%20After%20-%20Team%203.xlsx" TargetMode="External"/><Relationship Id="rId21" Type="http://schemas.openxmlformats.org/officeDocument/2006/relationships/hyperlink" Target="file:///D:\download\attachments\19446415\FPC%20Before%20CS%20Team.xlsx" TargetMode="External"/><Relationship Id="rId42" Type="http://schemas.openxmlformats.org/officeDocument/2006/relationships/hyperlink" Target="file:///D:\download\attachments\19446415\FPC%20After%20Kaizen%20Periode%202.xlsx" TargetMode="External"/><Relationship Id="rId63" Type="http://schemas.openxmlformats.org/officeDocument/2006/relationships/hyperlink" Target="file:///D:\display\~anton.basri" TargetMode="External"/><Relationship Id="rId84" Type="http://schemas.openxmlformats.org/officeDocument/2006/relationships/hyperlink" Target="file:///D:\display\~jiswel.eral" TargetMode="External"/><Relationship Id="rId138" Type="http://schemas.openxmlformats.org/officeDocument/2006/relationships/hyperlink" Target="file:///D:\display\~satrio.g.wibiseno" TargetMode="External"/><Relationship Id="rId159" Type="http://schemas.openxmlformats.org/officeDocument/2006/relationships/hyperlink" Target="file:///D:\download\attachments\19693843\Kaizen%20Presentation%20Periode%20III.pptx" TargetMode="External"/><Relationship Id="rId107" Type="http://schemas.openxmlformats.org/officeDocument/2006/relationships/hyperlink" Target="file:///D:\display\~linda.rachmawati" TargetMode="External"/><Relationship Id="rId11" Type="http://schemas.openxmlformats.org/officeDocument/2006/relationships/hyperlink" Target="file:///D:\display\~sherly.setiawan" TargetMode="External"/><Relationship Id="rId32" Type="http://schemas.openxmlformats.org/officeDocument/2006/relationships/hyperlink" Target="file:///D:\display\~ridha.ghassini" TargetMode="External"/><Relationship Id="rId53" Type="http://schemas.openxmlformats.org/officeDocument/2006/relationships/hyperlink" Target="file:///D:\display\~ridwan.handoko" TargetMode="External"/><Relationship Id="rId74" Type="http://schemas.openxmlformats.org/officeDocument/2006/relationships/hyperlink" Target="file:///D:\download\attachments\19446415\Kaizen%20II%20-%20Arrange%20Inbound%20supplier%20schedule.v01.xlsx" TargetMode="External"/><Relationship Id="rId128" Type="http://schemas.openxmlformats.org/officeDocument/2006/relationships/hyperlink" Target="file:///D:\display\~wahyudi1" TargetMode="External"/><Relationship Id="rId149" Type="http://schemas.openxmlformats.org/officeDocument/2006/relationships/hyperlink" Target="file:///D:\display\~romayudin" TargetMode="External"/><Relationship Id="rId5" Type="http://schemas.openxmlformats.org/officeDocument/2006/relationships/hyperlink" Target="file:///D:\display\~arif.riyanto" TargetMode="External"/><Relationship Id="rId95" Type="http://schemas.openxmlformats.org/officeDocument/2006/relationships/hyperlink" Target="file:///D:\display\~livia.karwita" TargetMode="External"/><Relationship Id="rId22" Type="http://schemas.openxmlformats.org/officeDocument/2006/relationships/hyperlink" Target="file:///D:\download\attachments\19446415\FPC%20CS%20Team.xlsx" TargetMode="External"/><Relationship Id="rId43" Type="http://schemas.openxmlformats.org/officeDocument/2006/relationships/hyperlink" Target="file:///D:\display\~endang.cendaningrum" TargetMode="External"/><Relationship Id="rId64" Type="http://schemas.openxmlformats.org/officeDocument/2006/relationships/hyperlink" Target="file:///D:\display\~intan.d.sihombing" TargetMode="External"/><Relationship Id="rId118" Type="http://schemas.openxmlformats.org/officeDocument/2006/relationships/hyperlink" Target="file:///D:\display\~azizah.purwitasari" TargetMode="External"/><Relationship Id="rId139" Type="http://schemas.openxmlformats.org/officeDocument/2006/relationships/hyperlink" Target="file:///D:\download\attachments\19693843\Kaizen%20III%20-%20Reduce%20supplier%20waiting%20time%20when%20pickup%20RTV%20Product%20.v00.xlsx" TargetMode="External"/><Relationship Id="rId80" Type="http://schemas.openxmlformats.org/officeDocument/2006/relationships/hyperlink" Target="file:///D:\download\attachments\19446415\DataAfterKaizen.xlsx" TargetMode="External"/><Relationship Id="rId85" Type="http://schemas.openxmlformats.org/officeDocument/2006/relationships/hyperlink" Target="file:///D:\display\~alvin.juliansyah" TargetMode="External"/><Relationship Id="rId150" Type="http://schemas.openxmlformats.org/officeDocument/2006/relationships/hyperlink" Target="file:///D:\display\~udi.suardi" TargetMode="External"/><Relationship Id="rId155" Type="http://schemas.openxmlformats.org/officeDocument/2006/relationships/hyperlink" Target="file:///D:\display\~ignacia.c.irawan" TargetMode="External"/><Relationship Id="rId12" Type="http://schemas.openxmlformats.org/officeDocument/2006/relationships/hyperlink" Target="file:///D:\display\~titis.e.krisnanda" TargetMode="External"/><Relationship Id="rId17" Type="http://schemas.openxmlformats.org/officeDocument/2006/relationships/hyperlink" Target="file:///D:\display\~dearni" TargetMode="External"/><Relationship Id="rId33" Type="http://schemas.openxmlformats.org/officeDocument/2006/relationships/hyperlink" Target="file:///D:\display\~vania.hadisurya" TargetMode="External"/><Relationship Id="rId38" Type="http://schemas.openxmlformats.org/officeDocument/2006/relationships/hyperlink" Target="file:///D:\display\~peter.m.leonardy" TargetMode="External"/><Relationship Id="rId59" Type="http://schemas.openxmlformats.org/officeDocument/2006/relationships/hyperlink" Target="file:///D:\display\~adam.kris" TargetMode="External"/><Relationship Id="rId103" Type="http://schemas.openxmlformats.org/officeDocument/2006/relationships/hyperlink" Target="file:///D:\display\~dwina.m.christy" TargetMode="External"/><Relationship Id="rId108" Type="http://schemas.openxmlformats.org/officeDocument/2006/relationships/hyperlink" Target="file:///D:\display\~arifiana.oktavia" TargetMode="External"/><Relationship Id="rId124" Type="http://schemas.openxmlformats.org/officeDocument/2006/relationships/hyperlink" Target="file:///D:\display\~gizella.k.natallia" TargetMode="External"/><Relationship Id="rId129" Type="http://schemas.openxmlformats.org/officeDocument/2006/relationships/hyperlink" Target="file:///D:\display\~rachel.saragih" TargetMode="External"/><Relationship Id="rId54" Type="http://schemas.openxmlformats.org/officeDocument/2006/relationships/hyperlink" Target="file:///D:\display\~mahpudin" TargetMode="External"/><Relationship Id="rId70" Type="http://schemas.openxmlformats.org/officeDocument/2006/relationships/hyperlink" Target="file:///D:\display\~ronny.a.mutter" TargetMode="External"/><Relationship Id="rId75" Type="http://schemas.openxmlformats.org/officeDocument/2006/relationships/hyperlink" Target="file:///D:\display\~bambang.e.rahardjo" TargetMode="External"/><Relationship Id="rId91" Type="http://schemas.openxmlformats.org/officeDocument/2006/relationships/hyperlink" Target="file:///D:\display\~lita.adhitia" TargetMode="External"/><Relationship Id="rId96" Type="http://schemas.openxmlformats.org/officeDocument/2006/relationships/hyperlink" Target="file:///D:\display\~santiasih" TargetMode="External"/><Relationship Id="rId140" Type="http://schemas.openxmlformats.org/officeDocument/2006/relationships/hyperlink" Target="file:///D:\display\~bambang.e.rahardjo" TargetMode="External"/><Relationship Id="rId145" Type="http://schemas.openxmlformats.org/officeDocument/2006/relationships/hyperlink" Target="file:///D:\download\attachments\19693843\Kaizen%20III%20-%20Improve%20%20Inbound%20Put-away%20Process%20.v00.xlsx" TargetMode="External"/><Relationship Id="rId1" Type="http://schemas.openxmlformats.org/officeDocument/2006/relationships/hyperlink" Target="http://blibli.com/" TargetMode="External"/><Relationship Id="rId6" Type="http://schemas.openxmlformats.org/officeDocument/2006/relationships/hyperlink" Target="file:///D:\display\~agus.tryono" TargetMode="External"/><Relationship Id="rId23" Type="http://schemas.openxmlformats.org/officeDocument/2006/relationships/hyperlink" Target="file:///D:\download\attachments\19446415\FPC%20before%20(SQM)%20KAIZEN%20II.xlsx" TargetMode="External"/><Relationship Id="rId28" Type="http://schemas.openxmlformats.org/officeDocument/2006/relationships/hyperlink" Target="file:///D:\display\~vina.v.kusuma" TargetMode="External"/><Relationship Id="rId49" Type="http://schemas.openxmlformats.org/officeDocument/2006/relationships/hyperlink" Target="file:///D:\display\~ruliansyah.maradona" TargetMode="External"/><Relationship Id="rId114" Type="http://schemas.openxmlformats.org/officeDocument/2006/relationships/hyperlink" Target="file:///D:\display\~ihsanudin" TargetMode="External"/><Relationship Id="rId119" Type="http://schemas.openxmlformats.org/officeDocument/2006/relationships/hyperlink" Target="file:///D:\display\~saras.k.dewi" TargetMode="External"/><Relationship Id="rId44" Type="http://schemas.openxmlformats.org/officeDocument/2006/relationships/hyperlink" Target="file:///D:\display\~joudy.m.arifin" TargetMode="External"/><Relationship Id="rId60" Type="http://schemas.openxmlformats.org/officeDocument/2006/relationships/hyperlink" Target="file:///D:\display\~lindo.h.sandi" TargetMode="External"/><Relationship Id="rId65" Type="http://schemas.openxmlformats.org/officeDocument/2006/relationships/hyperlink" Target="file:///D:\download\attachments\19446415\Kaizen%202%20PDCA%20Report.xlsx" TargetMode="External"/><Relationship Id="rId81" Type="http://schemas.openxmlformats.org/officeDocument/2006/relationships/hyperlink" Target="file:///D:\download\attachments\19446415\PDCA%20Report%20(A4)%20-%20Periode%2002%20-%20Agustus%202016.xlsx" TargetMode="External"/><Relationship Id="rId86" Type="http://schemas.openxmlformats.org/officeDocument/2006/relationships/hyperlink" Target="file:///D:\display\~dearni" TargetMode="External"/><Relationship Id="rId130" Type="http://schemas.openxmlformats.org/officeDocument/2006/relationships/hyperlink" Target="file:///D:\display\~lusyana.wijaya" TargetMode="External"/><Relationship Id="rId135" Type="http://schemas.openxmlformats.org/officeDocument/2006/relationships/hyperlink" Target="file:///D:\display\~ferdi" TargetMode="External"/><Relationship Id="rId151" Type="http://schemas.openxmlformats.org/officeDocument/2006/relationships/hyperlink" Target="file:///D:\display\~seteven.chandra" TargetMode="External"/><Relationship Id="rId156" Type="http://schemas.openxmlformats.org/officeDocument/2006/relationships/hyperlink" Target="file:///D:\display\~dominik.laurus" TargetMode="External"/><Relationship Id="rId13" Type="http://schemas.openxmlformats.org/officeDocument/2006/relationships/hyperlink" Target="file:///D:\display\~adi.kharisma" TargetMode="External"/><Relationship Id="rId18" Type="http://schemas.openxmlformats.org/officeDocument/2006/relationships/hyperlink" Target="file:///D:\display\~kamal.adhiwira" TargetMode="External"/><Relationship Id="rId39" Type="http://schemas.openxmlformats.org/officeDocument/2006/relationships/hyperlink" Target="file:///D:\display\~stevie.prayudi" TargetMode="External"/><Relationship Id="rId109" Type="http://schemas.openxmlformats.org/officeDocument/2006/relationships/hyperlink" Target="file:///D:\display\~dina.anggraini" TargetMode="External"/><Relationship Id="rId34" Type="http://schemas.openxmlformats.org/officeDocument/2006/relationships/hyperlink" Target="file:///D:\download\attachments\19446415\FPC%20After.xlsx" TargetMode="External"/><Relationship Id="rId50" Type="http://schemas.openxmlformats.org/officeDocument/2006/relationships/hyperlink" Target="file:///D:\display\~dewi.sukmawati" TargetMode="External"/><Relationship Id="rId55" Type="http://schemas.openxmlformats.org/officeDocument/2006/relationships/hyperlink" Target="file:///D:\display\~deniza.anggia" TargetMode="External"/><Relationship Id="rId76" Type="http://schemas.openxmlformats.org/officeDocument/2006/relationships/hyperlink" Target="file:///D:\display\~tri.s.wibowo" TargetMode="External"/><Relationship Id="rId97" Type="http://schemas.openxmlformats.org/officeDocument/2006/relationships/hyperlink" Target="file:///D:\display\~intan.p.hartono" TargetMode="External"/><Relationship Id="rId104" Type="http://schemas.openxmlformats.org/officeDocument/2006/relationships/hyperlink" Target="file:///D:\download\attachments\19693843\FPC%20Before%20Kaizen%20Periode%203_RM.xlsx" TargetMode="External"/><Relationship Id="rId120" Type="http://schemas.openxmlformats.org/officeDocument/2006/relationships/hyperlink" Target="file:///D:\display\~dewi.sukmawati" TargetMode="External"/><Relationship Id="rId125" Type="http://schemas.openxmlformats.org/officeDocument/2006/relationships/hyperlink" Target="file:///D:\display\~firsty.kartika" TargetMode="External"/><Relationship Id="rId141" Type="http://schemas.openxmlformats.org/officeDocument/2006/relationships/hyperlink" Target="file:///D:\display\~piping.christiawan" TargetMode="External"/><Relationship Id="rId146" Type="http://schemas.openxmlformats.org/officeDocument/2006/relationships/hyperlink" Target="file:///D:\display\~ervien.suseno" TargetMode="External"/><Relationship Id="rId7" Type="http://schemas.openxmlformats.org/officeDocument/2006/relationships/hyperlink" Target="file:///D:\display\~wahyudi1" TargetMode="External"/><Relationship Id="rId71" Type="http://schemas.openxmlformats.org/officeDocument/2006/relationships/hyperlink" Target="file:///D:\display\~rommy.p.gazali" TargetMode="External"/><Relationship Id="rId92" Type="http://schemas.openxmlformats.org/officeDocument/2006/relationships/hyperlink" Target="file:///D:\display\~hendri.volta" TargetMode="External"/><Relationship Id="rId2" Type="http://schemas.openxmlformats.org/officeDocument/2006/relationships/hyperlink" Target="file:///D:\display\~yordy" TargetMode="External"/><Relationship Id="rId29" Type="http://schemas.openxmlformats.org/officeDocument/2006/relationships/hyperlink" Target="file:///D:\download\attachments\19446415\FPC%20Before_CXA.xlsx" TargetMode="External"/><Relationship Id="rId24" Type="http://schemas.openxmlformats.org/officeDocument/2006/relationships/hyperlink" Target="file:///D:\download\attachments\19446415\FPC%20After%20(SQM)%20KAIZEN%20II.xlsx" TargetMode="External"/><Relationship Id="rId40" Type="http://schemas.openxmlformats.org/officeDocument/2006/relationships/hyperlink" Target="file:///D:\download\attachments\19446415\FPC%20Before%20Kaizen%20Periode%202_RM.xlsx" TargetMode="External"/><Relationship Id="rId45" Type="http://schemas.openxmlformats.org/officeDocument/2006/relationships/hyperlink" Target="file:///D:\display\~dina.anggraini" TargetMode="External"/><Relationship Id="rId66" Type="http://schemas.openxmlformats.org/officeDocument/2006/relationships/hyperlink" Target="file:///D:\download\attachments\19446415\Kaizen%201%20PDCA%20Report%20as%2019%20Sept%202016.xlsx" TargetMode="External"/><Relationship Id="rId87" Type="http://schemas.openxmlformats.org/officeDocument/2006/relationships/hyperlink" Target="file:///D:\download\attachments\19693843\FPC%20Before%20CS%20Team.xlsx" TargetMode="External"/><Relationship Id="rId110" Type="http://schemas.openxmlformats.org/officeDocument/2006/relationships/hyperlink" Target="file:///D:\display\~mahpudin" TargetMode="External"/><Relationship Id="rId115" Type="http://schemas.openxmlformats.org/officeDocument/2006/relationships/hyperlink" Target="file:///D:\display\~ihsanudin" TargetMode="External"/><Relationship Id="rId131" Type="http://schemas.openxmlformats.org/officeDocument/2006/relationships/hyperlink" Target="file:///D:\display\~verencia.permatasari" TargetMode="External"/><Relationship Id="rId136" Type="http://schemas.openxmlformats.org/officeDocument/2006/relationships/hyperlink" Target="file:///D:\display\~tri.s.wibowo" TargetMode="External"/><Relationship Id="rId157" Type="http://schemas.openxmlformats.org/officeDocument/2006/relationships/hyperlink" Target="file:///D:\display\~ian.anggono" TargetMode="External"/><Relationship Id="rId61" Type="http://schemas.openxmlformats.org/officeDocument/2006/relationships/hyperlink" Target="file:///D:\display\~rangga.dhamaswara" TargetMode="External"/><Relationship Id="rId82" Type="http://schemas.openxmlformats.org/officeDocument/2006/relationships/hyperlink" Target="file:///D:\download\attachments\19446415\PDCA%20Report%20(A4)%20-%20Periode%2002%20-%20Agustus%202016b.bayu.xlsx" TargetMode="External"/><Relationship Id="rId152" Type="http://schemas.openxmlformats.org/officeDocument/2006/relationships/hyperlink" Target="file:///D:\display\~chaiyren.o.herman" TargetMode="External"/><Relationship Id="rId19" Type="http://schemas.openxmlformats.org/officeDocument/2006/relationships/hyperlink" Target="file:///D:\display\~daniel.lumbatoruan" TargetMode="External"/><Relationship Id="rId14" Type="http://schemas.openxmlformats.org/officeDocument/2006/relationships/hyperlink" Target="file:///D:\display\~satrio.g.wibiseno" TargetMode="External"/><Relationship Id="rId30" Type="http://schemas.openxmlformats.org/officeDocument/2006/relationships/hyperlink" Target="file:///D:\download\attachments\19446415\FPC%20After_CXA.xlsx" TargetMode="External"/><Relationship Id="rId35" Type="http://schemas.openxmlformats.org/officeDocument/2006/relationships/hyperlink" Target="file:///D:\download\attachments\19446415\FPC%20Before.xlsx" TargetMode="External"/><Relationship Id="rId56" Type="http://schemas.openxmlformats.org/officeDocument/2006/relationships/hyperlink" Target="file:///D:\download\attachments\19446415\PDCA%20Report%20(A4)-II%20CR.xlsx" TargetMode="External"/><Relationship Id="rId77" Type="http://schemas.openxmlformats.org/officeDocument/2006/relationships/hyperlink" Target="file:///D:\display\~muhammad.rizki.g" TargetMode="External"/><Relationship Id="rId100" Type="http://schemas.openxmlformats.org/officeDocument/2006/relationships/hyperlink" Target="file:///D:\display\~charles" TargetMode="External"/><Relationship Id="rId105" Type="http://schemas.openxmlformats.org/officeDocument/2006/relationships/hyperlink" Target="file:///D:\download\attachments\19693843\FPC%20After%20Kaizen%20Periode%203_RM.xlsx" TargetMode="External"/><Relationship Id="rId126" Type="http://schemas.openxmlformats.org/officeDocument/2006/relationships/hyperlink" Target="file:///D:\display\~irene.k.d.saputro" TargetMode="External"/><Relationship Id="rId147" Type="http://schemas.openxmlformats.org/officeDocument/2006/relationships/hyperlink" Target="file:///D:\display\~aditia" TargetMode="External"/><Relationship Id="rId8" Type="http://schemas.openxmlformats.org/officeDocument/2006/relationships/hyperlink" Target="file:///D:\display\~muhammad.sudibjo" TargetMode="External"/><Relationship Id="rId51" Type="http://schemas.openxmlformats.org/officeDocument/2006/relationships/hyperlink" Target="file:///D:\display\~saras.k.dewi" TargetMode="External"/><Relationship Id="rId72" Type="http://schemas.openxmlformats.org/officeDocument/2006/relationships/hyperlink" Target="file:///D:\display\~piping.christiawan" TargetMode="External"/><Relationship Id="rId93" Type="http://schemas.openxmlformats.org/officeDocument/2006/relationships/hyperlink" Target="file:///D:\download\attachments\19693843\FPC%20before%20(SQM)%20KAIZEN%20III.xlsx" TargetMode="External"/><Relationship Id="rId98" Type="http://schemas.openxmlformats.org/officeDocument/2006/relationships/hyperlink" Target="file:///D:\display\~wulan.utami" TargetMode="External"/><Relationship Id="rId121" Type="http://schemas.openxmlformats.org/officeDocument/2006/relationships/hyperlink" Target="file:///D:\display\~dessita.rahmah" TargetMode="External"/><Relationship Id="rId142" Type="http://schemas.openxmlformats.org/officeDocument/2006/relationships/hyperlink" Target="file:///D:\display\~rommy.p.gazali" TargetMode="External"/><Relationship Id="rId3" Type="http://schemas.openxmlformats.org/officeDocument/2006/relationships/hyperlink" Target="file:///D:\display\~michelle.gunawan" TargetMode="External"/><Relationship Id="rId25" Type="http://schemas.openxmlformats.org/officeDocument/2006/relationships/hyperlink" Target="file:///D:\display\~gusti.intan" TargetMode="External"/><Relationship Id="rId46" Type="http://schemas.openxmlformats.org/officeDocument/2006/relationships/hyperlink" Target="file:///D:\display\~yuni.widiasih" TargetMode="External"/><Relationship Id="rId67" Type="http://schemas.openxmlformats.org/officeDocument/2006/relationships/hyperlink" Target="file:///D:\display\~titis.e.krisnanda" TargetMode="External"/><Relationship Id="rId116" Type="http://schemas.openxmlformats.org/officeDocument/2006/relationships/hyperlink" Target="file:///D:\download\attachments\19693843\FPC%20Before%20-%20Team%203.xlsx" TargetMode="External"/><Relationship Id="rId137" Type="http://schemas.openxmlformats.org/officeDocument/2006/relationships/hyperlink" Target="file:///D:\display\~raimi.noor" TargetMode="External"/><Relationship Id="rId158" Type="http://schemas.openxmlformats.org/officeDocument/2006/relationships/hyperlink" Target="file:///D:\display\~anna.m.jessica" TargetMode="External"/><Relationship Id="rId20" Type="http://schemas.openxmlformats.org/officeDocument/2006/relationships/hyperlink" Target="file:///D:\display\~daniel.lumbatoruan" TargetMode="External"/><Relationship Id="rId41" Type="http://schemas.openxmlformats.org/officeDocument/2006/relationships/hyperlink" Target="file:///D:\download\attachments\19446415\FPC%20After%20Kaizen%20Periode%202_RM.xlsx" TargetMode="External"/><Relationship Id="rId62" Type="http://schemas.openxmlformats.org/officeDocument/2006/relationships/hyperlink" Target="file:///D:\display\~refa.siregar" TargetMode="External"/><Relationship Id="rId83" Type="http://schemas.openxmlformats.org/officeDocument/2006/relationships/hyperlink" Target="file:///D:\download\attachments\19446415\PDCA%20Report%20(A4)%20PIR%20II.xlsx" TargetMode="External"/><Relationship Id="rId88" Type="http://schemas.openxmlformats.org/officeDocument/2006/relationships/hyperlink" Target="file:///D:\download\attachments\19693843\FPC%20After%20CS%20Team.xlsx" TargetMode="External"/><Relationship Id="rId111" Type="http://schemas.openxmlformats.org/officeDocument/2006/relationships/hyperlink" Target="file:///D:\display\~joudy.m.arifin" TargetMode="External"/><Relationship Id="rId132" Type="http://schemas.openxmlformats.org/officeDocument/2006/relationships/hyperlink" Target="file:///D:\display\~ulfa.m.h.putri" TargetMode="External"/><Relationship Id="rId153" Type="http://schemas.openxmlformats.org/officeDocument/2006/relationships/hyperlink" Target="file:///D:\display\~handoko.widodo" TargetMode="External"/><Relationship Id="rId15" Type="http://schemas.openxmlformats.org/officeDocument/2006/relationships/hyperlink" Target="file:///D:\display\~yosep.andi" TargetMode="External"/><Relationship Id="rId36" Type="http://schemas.openxmlformats.org/officeDocument/2006/relationships/hyperlink" Target="file:///D:\download\attachments\19446415\PPT%20Kaizen%20Partner%20Relation.ppt" TargetMode="External"/><Relationship Id="rId57" Type="http://schemas.openxmlformats.org/officeDocument/2006/relationships/hyperlink" Target="file:///D:\download\attachments\19446415\PDCA%20Report%20(A4)-II%20CR.xlsx" TargetMode="External"/><Relationship Id="rId106" Type="http://schemas.openxmlformats.org/officeDocument/2006/relationships/hyperlink" Target="file:///D:\display\~yuli.astutik" TargetMode="External"/><Relationship Id="rId127" Type="http://schemas.openxmlformats.org/officeDocument/2006/relationships/hyperlink" Target="file:///D:\display\~muhammad.sudibjo" TargetMode="External"/><Relationship Id="rId10" Type="http://schemas.openxmlformats.org/officeDocument/2006/relationships/hyperlink" Target="file:///D:\display\~verencia.permatasari" TargetMode="External"/><Relationship Id="rId31" Type="http://schemas.openxmlformats.org/officeDocument/2006/relationships/hyperlink" Target="file:///D:\display\~randy.hazemi" TargetMode="External"/><Relationship Id="rId52" Type="http://schemas.openxmlformats.org/officeDocument/2006/relationships/hyperlink" Target="file:///D:\display\~arifiana.oktavia" TargetMode="External"/><Relationship Id="rId73" Type="http://schemas.openxmlformats.org/officeDocument/2006/relationships/hyperlink" Target="file:///D:\display\~satrio.g.wibiseno" TargetMode="External"/><Relationship Id="rId78" Type="http://schemas.openxmlformats.org/officeDocument/2006/relationships/hyperlink" Target="file:///D:\display\~ramadian.purnama" TargetMode="External"/><Relationship Id="rId94" Type="http://schemas.openxmlformats.org/officeDocument/2006/relationships/hyperlink" Target="file:///D:\display\~elbert.lukman" TargetMode="External"/><Relationship Id="rId99" Type="http://schemas.openxmlformats.org/officeDocument/2006/relationships/hyperlink" Target="file:///D:\display\~lois.amilia" TargetMode="External"/><Relationship Id="rId101" Type="http://schemas.openxmlformats.org/officeDocument/2006/relationships/hyperlink" Target="file:///D:\display\~stevie.prayudi" TargetMode="External"/><Relationship Id="rId122" Type="http://schemas.openxmlformats.org/officeDocument/2006/relationships/hyperlink" Target="file:///D:\download\attachments\19693843\PDCA%20Report%20(A4)-CR%20Periode%20III.xlsx" TargetMode="External"/><Relationship Id="rId143" Type="http://schemas.openxmlformats.org/officeDocument/2006/relationships/hyperlink" Target="file:///D:\display\~ronny.a.mutter" TargetMode="External"/><Relationship Id="rId148" Type="http://schemas.openxmlformats.org/officeDocument/2006/relationships/hyperlink" Target="file:///D:\display\~ferdhianto.ibnugroho" TargetMode="External"/><Relationship Id="rId4" Type="http://schemas.openxmlformats.org/officeDocument/2006/relationships/hyperlink" Target="file:///D:\display\~irene.k.d.saputro" TargetMode="External"/><Relationship Id="rId9" Type="http://schemas.openxmlformats.org/officeDocument/2006/relationships/hyperlink" Target="file:///D:\display\~arliandi.arifin" TargetMode="External"/><Relationship Id="rId26" Type="http://schemas.openxmlformats.org/officeDocument/2006/relationships/hyperlink" Target="file:///D:\display\~livia.karwita" TargetMode="External"/><Relationship Id="rId47" Type="http://schemas.openxmlformats.org/officeDocument/2006/relationships/hyperlink" Target="file:///D:\display\~annissa.m.k.daulay" TargetMode="External"/><Relationship Id="rId68" Type="http://schemas.openxmlformats.org/officeDocument/2006/relationships/hyperlink" Target="file:///D:\display\~sherly.setiawan" TargetMode="External"/><Relationship Id="rId89" Type="http://schemas.openxmlformats.org/officeDocument/2006/relationships/hyperlink" Target="file:///D:\display\~eka.sriningsih" TargetMode="External"/><Relationship Id="rId112" Type="http://schemas.openxmlformats.org/officeDocument/2006/relationships/hyperlink" Target="file:///D:\display\~gabriela.kefina" TargetMode="External"/><Relationship Id="rId133" Type="http://schemas.openxmlformats.org/officeDocument/2006/relationships/hyperlink" Target="file:///D:\download\attachments\19693843\FPC%20Before%20Tim%20Recon%20Kaizen%203.xlsx" TargetMode="External"/><Relationship Id="rId154" Type="http://schemas.openxmlformats.org/officeDocument/2006/relationships/hyperlink" Target="file:///D:\display\~martinus.andry" TargetMode="External"/><Relationship Id="rId16" Type="http://schemas.openxmlformats.org/officeDocument/2006/relationships/hyperlink" Target="file:///D:\display\~raimi.noor" TargetMode="External"/><Relationship Id="rId37" Type="http://schemas.openxmlformats.org/officeDocument/2006/relationships/hyperlink" Target="file:///D:\display\~andi.kusniawan" TargetMode="External"/><Relationship Id="rId58" Type="http://schemas.openxmlformats.org/officeDocument/2006/relationships/hyperlink" Target="file:///D:\display\~bryant.mandrawa" TargetMode="External"/><Relationship Id="rId79" Type="http://schemas.openxmlformats.org/officeDocument/2006/relationships/hyperlink" Target="file:///D:\download\attachments\19446415\scBundling.xlsx" TargetMode="External"/><Relationship Id="rId102" Type="http://schemas.openxmlformats.org/officeDocument/2006/relationships/hyperlink" Target="file:///D:\display\~andi.kusniawan" TargetMode="External"/><Relationship Id="rId123" Type="http://schemas.openxmlformats.org/officeDocument/2006/relationships/hyperlink" Target="file:///D:\display\~matias.simanungkalit" TargetMode="External"/><Relationship Id="rId144" Type="http://schemas.openxmlformats.org/officeDocument/2006/relationships/hyperlink" Target="file:///D:\display\~muhammad.rizki.g" TargetMode="External"/><Relationship Id="rId90" Type="http://schemas.openxmlformats.org/officeDocument/2006/relationships/hyperlink" Target="file:///D:\display\~mei.f.handayani" TargetMode="External"/><Relationship Id="rId27" Type="http://schemas.openxmlformats.org/officeDocument/2006/relationships/hyperlink" Target="file:///D:\display\~santiasih" TargetMode="External"/><Relationship Id="rId48" Type="http://schemas.openxmlformats.org/officeDocument/2006/relationships/hyperlink" Target="file:///D:\display\~linda.rachmawati" TargetMode="External"/><Relationship Id="rId69" Type="http://schemas.openxmlformats.org/officeDocument/2006/relationships/hyperlink" Target="file:///D:\display\~lusyana.wijaya" TargetMode="External"/><Relationship Id="rId113" Type="http://schemas.openxmlformats.org/officeDocument/2006/relationships/hyperlink" Target="file:///D:\display\~ruliansyah.maradona" TargetMode="External"/><Relationship Id="rId134" Type="http://schemas.openxmlformats.org/officeDocument/2006/relationships/hyperlink" Target="file:///D:\display\~adi.kharisma"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urveymonkey.com/r/YRBNMXB" TargetMode="External"/><Relationship Id="rId3" Type="http://schemas.openxmlformats.org/officeDocument/2006/relationships/hyperlink" Target="https://confluence.gdn-app.com/display/~anggi.nugroho" TargetMode="External"/><Relationship Id="rId7" Type="http://schemas.openxmlformats.org/officeDocument/2006/relationships/hyperlink" Target="https://confluence.gdn-app.com/download/attachments/23918583/WarehouseMedan_Data%20After%20Kaizen%20VI.xlsx?version=1&amp;modificationDate=1494842757056&amp;api=v2" TargetMode="External"/><Relationship Id="rId2" Type="http://schemas.openxmlformats.org/officeDocument/2006/relationships/hyperlink" Target="https://confluence.gdn-app.com/display/~eka.kurniawan" TargetMode="External"/><Relationship Id="rId1" Type="http://schemas.openxmlformats.org/officeDocument/2006/relationships/hyperlink" Target="https://confluence.gdn-app.com/display/~rachel.saragih" TargetMode="External"/><Relationship Id="rId6" Type="http://schemas.openxmlformats.org/officeDocument/2006/relationships/hyperlink" Target="https://confluence.gdn-app.com/download/attachments/23918583/WarehouseMedan_Data%20Before%20Kaizen%20VI.xlsx?version=1&amp;modificationDate=1494237208665&amp;api=v2" TargetMode="External"/><Relationship Id="rId5" Type="http://schemas.openxmlformats.org/officeDocument/2006/relationships/hyperlink" Target="https://confluence.gdn-app.com/download/attachments/23893081/Kaizen%20IV%20%28Data%20After%20Improvement%29.xlsx?version=1&amp;modificationDate=1490599640325&amp;api=v2" TargetMode="External"/><Relationship Id="rId4" Type="http://schemas.openxmlformats.org/officeDocument/2006/relationships/hyperlink" Target="https://confluence.gdn-app.com/download/attachments/23893081/Kaizen%20IV%20%28Data%20Before%20Improvement%29.xlsx?version=1&amp;modificationDate=1490058538308&amp;api=v2" TargetMode="Externa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openxmlformats.org/officeDocument/2006/relationships/hyperlink" Target="../../../../../:f:/s/Operation/EqbP9qtIiJdFkbzllRR-AsgBkjFlH6Tj1Sw9zJTokxomEA?e=hxCkPv" TargetMode="External"/><Relationship Id="rId13" Type="http://schemas.openxmlformats.org/officeDocument/2006/relationships/hyperlink" Target="../../../../../:f:/s/Operation/Eo4ANNfZ7WZGssuqFTGzZkIBxRr-r7LvnphlxP2EVBxYOw?e=V19lbs" TargetMode="External"/><Relationship Id="rId18" Type="http://schemas.openxmlformats.org/officeDocument/2006/relationships/hyperlink" Target="../../../../../:f:/s/Operation/El0-MpkYX5tCoxt-_yPiliQBp0sjYWuDtJxZS91WFNj8Bg?e=5tjJa0" TargetMode="External"/><Relationship Id="rId26" Type="http://schemas.openxmlformats.org/officeDocument/2006/relationships/hyperlink" Target="../../../../../:f:/s/Operation/EqEPN_Nb4ShOpp3djV8_EpMB2r3a-ojQTuH-n_P6SoJiTg?e=pdVram" TargetMode="External"/><Relationship Id="rId3" Type="http://schemas.openxmlformats.org/officeDocument/2006/relationships/hyperlink" Target="../../../../../:f:/s/Operation/EluOH7CCEflChpSl2y48QJwBUIRZo6PA3dp9kdEt-1tluQ?e=YG3M6R" TargetMode="External"/><Relationship Id="rId21" Type="http://schemas.openxmlformats.org/officeDocument/2006/relationships/hyperlink" Target="../../../../../:f:/s/Operation/EqLMcDY68_JAjoN7jA8ZQqABkwEiHUw1ZkNq6DYB6SkPIA?e=N4e7nI" TargetMode="External"/><Relationship Id="rId7" Type="http://schemas.openxmlformats.org/officeDocument/2006/relationships/hyperlink" Target="../../../../../:f:/s/Operation/EqbP9qtIiJdFkbzllRR-AsgBkjFlH6Tj1Sw9zJTokxomEA?e=hxCkPv" TargetMode="External"/><Relationship Id="rId12" Type="http://schemas.openxmlformats.org/officeDocument/2006/relationships/hyperlink" Target="../../../../../:f:/s/Operation/Eo4ANNfZ7WZGssuqFTGzZkIBxRr-r7LvnphlxP2EVBxYOw?e=V19lbs" TargetMode="External"/><Relationship Id="rId17" Type="http://schemas.openxmlformats.org/officeDocument/2006/relationships/hyperlink" Target="../../../../../:f:/s/Operation/El0-MpkYX5tCoxt-_yPiliQBp0sjYWuDtJxZS91WFNj8Bg?e=5tjJa0" TargetMode="External"/><Relationship Id="rId25" Type="http://schemas.openxmlformats.org/officeDocument/2006/relationships/hyperlink" Target="../../../../../:f:/s/Operation/EqEPN_Nb4ShOpp3djV8_EpMB2r3a-ojQTuH-n_P6SoJiTg?e=pdVram" TargetMode="External"/><Relationship Id="rId2" Type="http://schemas.openxmlformats.org/officeDocument/2006/relationships/hyperlink" Target="../../../../../:f:/s/Operation/EluOH7CCEflChpSl2y48QJwBUIRZo6PA3dp9kdEt-1tluQ?e=YG3M6R" TargetMode="External"/><Relationship Id="rId16" Type="http://schemas.openxmlformats.org/officeDocument/2006/relationships/hyperlink" Target="../../../../../:f:/s/Operation/EluOH7CCEflChpSl2y48QJwBUIRZo6PA3dp9kdEt-1tluQ?e=YG3M6R" TargetMode="External"/><Relationship Id="rId20" Type="http://schemas.openxmlformats.org/officeDocument/2006/relationships/hyperlink" Target="../../../../../:f:/s/Operation/EmyxCvlaGkRGqB_bJquqQfABj4TlrDnLs3hUAK30u0KJIw?e=cXPwed" TargetMode="External"/><Relationship Id="rId29" Type="http://schemas.openxmlformats.org/officeDocument/2006/relationships/hyperlink" Target="../../../../../:f:/s/Operation/ElkN49MQvtlDnrXVCjKi6jABnWGLUkPSZV_L7AUuyIzr1w?e=q70bxd" TargetMode="External"/><Relationship Id="rId1" Type="http://schemas.openxmlformats.org/officeDocument/2006/relationships/hyperlink" Target="../../../../../:f:/s/Operation/Esfbbrq31MVLq9mC_Dt43cMBZFtnsCTeoW7YLp8ORPQjbw?e=vdt55G" TargetMode="External"/><Relationship Id="rId6" Type="http://schemas.openxmlformats.org/officeDocument/2006/relationships/hyperlink" Target="../../../../../:f:/s/Operation/Eigj9LTz-DdIloJb8S3MmEEBTkhIxLwMRBX9DpGWZv2u-g?e=IuTsKa" TargetMode="External"/><Relationship Id="rId11" Type="http://schemas.openxmlformats.org/officeDocument/2006/relationships/hyperlink" Target="../../../../../:f:/s/Operation/Eg2UI9dXrwBBo-k2Y1No4z4BF3sKavvccuvCD95NFB1rBw?e=qN70Sm" TargetMode="External"/><Relationship Id="rId24" Type="http://schemas.openxmlformats.org/officeDocument/2006/relationships/hyperlink" Target="../../../../../:f:/s/Operation/EsFkNGIf2BhAhluoGhE7NYkByfjyQjXPygC1nqu6lowDcw?e=3Ig2a3" TargetMode="External"/><Relationship Id="rId32" Type="http://schemas.microsoft.com/office/2017/10/relationships/threadedComment" Target="../threadedComments/threadedComment3.xml"/><Relationship Id="rId5" Type="http://schemas.openxmlformats.org/officeDocument/2006/relationships/hyperlink" Target="../../../../../:f:/s/Operation/Eigj9LTz-DdIloJb8S3MmEEBTkhIxLwMRBX9DpGWZv2u-g?e=IuTsKa" TargetMode="External"/><Relationship Id="rId15" Type="http://schemas.openxmlformats.org/officeDocument/2006/relationships/hyperlink" Target="../../../../../:f:/s/Operation/Eg2UI9dXrwBBo-k2Y1No4z4BF3sKavvccuvCD95NFB1rBw?e=qN70Sm" TargetMode="External"/><Relationship Id="rId23" Type="http://schemas.openxmlformats.org/officeDocument/2006/relationships/hyperlink" Target="../../../../../:f:/s/Operation/El0-MpkYX5tCoxt-_yPiliQBp0sjYWuDtJxZS91WFNj8Bg?e=5tjJa0" TargetMode="External"/><Relationship Id="rId28" Type="http://schemas.openxmlformats.org/officeDocument/2006/relationships/hyperlink" Target="../../../../../:f:/s/Operation/ElkN49MQvtlDnrXVCjKi6jABnWGLUkPSZV_L7AUuyIzr1w?e=q70bxd" TargetMode="External"/><Relationship Id="rId10" Type="http://schemas.openxmlformats.org/officeDocument/2006/relationships/hyperlink" Target="../../../../../:f:/s/Operation/EqbP9qtIiJdFkbzllRR-AsgBkjFlH6Tj1Sw9zJTokxomEA?e=hxCkPv" TargetMode="External"/><Relationship Id="rId19" Type="http://schemas.openxmlformats.org/officeDocument/2006/relationships/hyperlink" Target="../../../../../:f:/s/Operation/EsmBvHR9eVpDt6eF3VLqbmgBUzZIpFVftwzov8NhskLlVQ?e=7omeLE" TargetMode="External"/><Relationship Id="rId31" Type="http://schemas.openxmlformats.org/officeDocument/2006/relationships/comments" Target="../comments3.xml"/><Relationship Id="rId4" Type="http://schemas.openxmlformats.org/officeDocument/2006/relationships/hyperlink" Target="../../../../../:f:/s/Operation/Eigj9LTz-DdIloJb8S3MmEEBTkhIxLwMRBX9DpGWZv2u-g?e=IuTsKa" TargetMode="External"/><Relationship Id="rId9" Type="http://schemas.openxmlformats.org/officeDocument/2006/relationships/hyperlink" Target="../../../../../:f:/s/Operation/EqbP9qtIiJdFkbzllRR-AsgBkjFlH6Tj1Sw9zJTokxomEA?e=hxCkPv" TargetMode="External"/><Relationship Id="rId14" Type="http://schemas.openxmlformats.org/officeDocument/2006/relationships/hyperlink" Target="../../../../../:f:/s/Operation/Eg2UI9dXrwBBo-k2Y1No4z4BF3sKavvccuvCD95NFB1rBw?e=qN70Sm" TargetMode="External"/><Relationship Id="rId22" Type="http://schemas.openxmlformats.org/officeDocument/2006/relationships/hyperlink" Target="../../../../../:f:/s/Operation/El0-MpkYX5tCoxt-_yPiliQBp0sjYWuDtJxZS91WFNj8Bg?e=5tjJa0" TargetMode="External"/><Relationship Id="rId27" Type="http://schemas.openxmlformats.org/officeDocument/2006/relationships/hyperlink" Target="../../../../../:f:/s/Operation/EmyxCvlaGkRGqB_bJquqQfABj4TlrDnLs3hUAK30u0KJIw?e=cXPwed" TargetMode="External"/><Relationship Id="rId30"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6" Type="http://schemas.openxmlformats.org/officeDocument/2006/relationships/hyperlink" Target="../../../../../:x:/s/Operation/Eb9LSllSys5ArNMGkRYxzFsBtlQYjTvxGXSn-eArftKoTQ?e=qw08C4" TargetMode="External"/><Relationship Id="rId21" Type="http://schemas.openxmlformats.org/officeDocument/2006/relationships/hyperlink" Target="../../../../../:x:/s/Operation/ETvGFEcn7s9KiBadeJwg1VoB7oWpCitWoD9TrO6oJl44oA?e=3gg3Sr" TargetMode="External"/><Relationship Id="rId42" Type="http://schemas.openxmlformats.org/officeDocument/2006/relationships/hyperlink" Target="../../../../../:x:/s/Operation/EdkfAwZTBUBDodRwfcHNdIsB1ilhJY2OGiPNC1GW10Sx-A?e=HFItfU" TargetMode="External"/><Relationship Id="rId47" Type="http://schemas.openxmlformats.org/officeDocument/2006/relationships/hyperlink" Target="../../../../../:x:/s/Operation/ES_NG6y_4HFIkuO83vzgNGABqo0g4eDFVOIdeN0nloXzhw?e=ZduUMI" TargetMode="External"/><Relationship Id="rId63" Type="http://schemas.openxmlformats.org/officeDocument/2006/relationships/hyperlink" Target="../../../../../:x:/s/Operation/EQiYUTPxKLVEo7jGRIt-MMYBmhcoutrUFKbEfzIS2qZCJg?e=ocqI3J" TargetMode="External"/><Relationship Id="rId68" Type="http://schemas.openxmlformats.org/officeDocument/2006/relationships/hyperlink" Target="https://confluence.gdn-app.com/display/~erfandi.asra" TargetMode="External"/><Relationship Id="rId84" Type="http://schemas.openxmlformats.org/officeDocument/2006/relationships/hyperlink" Target="../../../../../:x:/s/Operation/Ee47lI0k2ltEvg4VnLoYQMYBzSytWGmVTQP0PYmERJ5s8w?e=RcbH49" TargetMode="External"/><Relationship Id="rId89" Type="http://schemas.openxmlformats.org/officeDocument/2006/relationships/hyperlink" Target="../../../../../:x:/s/Operation/EbJqX96nddlDvTBELH2qDngBuxbYlaKldYgBKrd-E_b12A?e=bPbzG4" TargetMode="External"/><Relationship Id="rId16" Type="http://schemas.openxmlformats.org/officeDocument/2006/relationships/hyperlink" Target="https://confluence.gdn-app.com/display/~dimy.cahya" TargetMode="External"/><Relationship Id="rId11" Type="http://schemas.openxmlformats.org/officeDocument/2006/relationships/hyperlink" Target="../../../../../:x:/s/Operation/EfOpOatsaiZLvo40HN3Bsi8B7a9h30ynLBIRYj3mlZIUlQ?e=HWeC08" TargetMode="External"/><Relationship Id="rId32" Type="http://schemas.openxmlformats.org/officeDocument/2006/relationships/hyperlink" Target="../../../../../:x:/s/Operation/Ef1wG_x8XfdNrc7Mh1UP7UIB90fZbcaV_J5aHc0_K9t3Eg?e=7s56Bq" TargetMode="External"/><Relationship Id="rId37" Type="http://schemas.openxmlformats.org/officeDocument/2006/relationships/hyperlink" Target="../../../../../:x:/s/Operation/EdJKM7hq_qpJuvkY1KJacsYByZK6VewwlYgoTIIRY6oEJA?e=JD3VBc" TargetMode="External"/><Relationship Id="rId53" Type="http://schemas.openxmlformats.org/officeDocument/2006/relationships/hyperlink" Target="../../../../../:x:/s/Operation/ET2I2y2wo7FGmuNmr5MJ4VYBkYPbJO__VCrFMvhTXQlh6A?e=f9GJMg" TargetMode="External"/><Relationship Id="rId58" Type="http://schemas.openxmlformats.org/officeDocument/2006/relationships/hyperlink" Target="https://confluence.gdn-app.com/display/~faisal.wibowo" TargetMode="External"/><Relationship Id="rId74" Type="http://schemas.openxmlformats.org/officeDocument/2006/relationships/hyperlink" Target="../../../../../:x:/s/Operation/EY6lPiqzGS1EgXsg2tjMaRABSqY-3o7Pjyg2LS3EaswUWw?e=fBCQLf" TargetMode="External"/><Relationship Id="rId79" Type="http://schemas.openxmlformats.org/officeDocument/2006/relationships/hyperlink" Target="../../../../../:x:/s/Operation/Ec97WTeKS4FMkWDC2D-g_QoBY6LIPdOR6V7icJWTeVnmcw?e=b6aMBl" TargetMode="External"/><Relationship Id="rId5" Type="http://schemas.openxmlformats.org/officeDocument/2006/relationships/hyperlink" Target="../../../../../:x:/s/Operation/EbU8PwbpFN5PulR1ODNQpScB9C6lcohWch9Df3NJQtUQeQ?e=dZAN07" TargetMode="External"/><Relationship Id="rId90" Type="http://schemas.openxmlformats.org/officeDocument/2006/relationships/hyperlink" Target="https://confluence.gdn-app.com/display/~agnes.putri" TargetMode="External"/><Relationship Id="rId95" Type="http://schemas.openxmlformats.org/officeDocument/2006/relationships/hyperlink" Target="../../../../../:x:/s/Operation/EaHEZK3IwJFMiHU-C2UsOWYBQc_2gL2MQAj9BNzUg0AjiA?e=HF4kve" TargetMode="External"/><Relationship Id="rId22" Type="http://schemas.openxmlformats.org/officeDocument/2006/relationships/hyperlink" Target="../../../../../:x:/s/Operation/EZblTHSiMI5NlP5pWPXUcxABrtk2rzjxfSpiv8nwCJkSIQ?e=GvbSXZ" TargetMode="External"/><Relationship Id="rId27" Type="http://schemas.openxmlformats.org/officeDocument/2006/relationships/hyperlink" Target="../../../../../:x:/s/Operation/EaSTwTiHN4tFq736ntCAPX0BFI-YSnNs4vuANqdppwCWLg?e=yOJCVo" TargetMode="External"/><Relationship Id="rId43" Type="http://schemas.openxmlformats.org/officeDocument/2006/relationships/hyperlink" Target="../../../../../:x:/s/Operation/EVC46RODqNpKkUw522E8TzIB2NQDBf1YWomNYTdl53PhtA?e=qpiUQ3" TargetMode="External"/><Relationship Id="rId48" Type="http://schemas.openxmlformats.org/officeDocument/2006/relationships/hyperlink" Target="https://confluence.gdn-app.com/display/~hayatunnisa" TargetMode="External"/><Relationship Id="rId64" Type="http://schemas.openxmlformats.org/officeDocument/2006/relationships/hyperlink" Target="../../../../../:x:/s/Operation/EW0oAtVXLCBBtegJkhbBeZQBegOJvEGHC958afIQjcLgGQ?e=7fWI5W" TargetMode="External"/><Relationship Id="rId69" Type="http://schemas.openxmlformats.org/officeDocument/2006/relationships/hyperlink" Target="../../../../../:x:/s/Operation/EVT9-NaE_zFGk47yjHfbe4gBKnLHsjD3XHDPYI7MxtRKRg?e=jqCzCh" TargetMode="External"/><Relationship Id="rId80" Type="http://schemas.openxmlformats.org/officeDocument/2006/relationships/hyperlink" Target="../../../../../:x:/s/Operation/EbVBc38cy5NFosufxl5TE4IBUbu2s5Bi5u9Szuwr_i4R-w?e=1djhh8" TargetMode="External"/><Relationship Id="rId85" Type="http://schemas.openxmlformats.org/officeDocument/2006/relationships/hyperlink" Target="https://confluence.gdn-app.com/display/~muhammad.raharjo" TargetMode="External"/><Relationship Id="rId3" Type="http://schemas.openxmlformats.org/officeDocument/2006/relationships/hyperlink" Target="../../../../../:x:/s/Operation/EYgHqcXzaClErH-T1uYx7HQBbYpXYZCjtQO8IMovrCsLqQ?e=5JF7CX" TargetMode="External"/><Relationship Id="rId12" Type="http://schemas.openxmlformats.org/officeDocument/2006/relationships/hyperlink" Target="../../../../../:x:/s/Operation/EbY1rAVbgVdKpyT3kjS3pD8BWub2HJgDi2pdFFPjM7Vffg?e=JdxUJI" TargetMode="External"/><Relationship Id="rId17" Type="http://schemas.openxmlformats.org/officeDocument/2006/relationships/hyperlink" Target="https://confluence.gdn-app.com/display/~novita.rahmawati" TargetMode="External"/><Relationship Id="rId25" Type="http://schemas.openxmlformats.org/officeDocument/2006/relationships/hyperlink" Target="../../../../../:x:/s/Operation/EfvGRI0oV55CmpRUp1k4FTEB-dvKAa2PGMcGZiN-nieFIw?e=FLnqMD" TargetMode="External"/><Relationship Id="rId33" Type="http://schemas.openxmlformats.org/officeDocument/2006/relationships/hyperlink" Target="../../../../../:x:/s/Operation/EYxxEyKLh55NoN5I3k92FHQB8DUyVD1Y7vNSZPMSUSLh1Q?e=shdjNb" TargetMode="External"/><Relationship Id="rId38" Type="http://schemas.openxmlformats.org/officeDocument/2006/relationships/hyperlink" Target="https://confluence.gdn-app.com/display/~annissa.m.k.daulay" TargetMode="External"/><Relationship Id="rId46" Type="http://schemas.openxmlformats.org/officeDocument/2006/relationships/hyperlink" Target="../../../../../:x:/s/Operation/EQ0ji2CA5yFFlhOr2lEAJDwBjro2mS5tARLlJhxAx0trGg?e=5XocBe" TargetMode="External"/><Relationship Id="rId59" Type="http://schemas.openxmlformats.org/officeDocument/2006/relationships/hyperlink" Target="../../../../../:x:/s/Operation/EUlHDDUtxyBFg66dqNw82mcBGnsUClEMIVrvkR3M3WmmhA?e=TCeOtX" TargetMode="External"/><Relationship Id="rId67" Type="http://schemas.openxmlformats.org/officeDocument/2006/relationships/hyperlink" Target="https://confluence.gdn-app.com/display/~adi.kharisma" TargetMode="External"/><Relationship Id="rId20" Type="http://schemas.openxmlformats.org/officeDocument/2006/relationships/hyperlink" Target="../../../../../:x:/s/Operation/Ec-xQec_gotAhxdZMzVa5coB92AO56y_co6-Mjsy2XEmrQ?e=hfV4ow" TargetMode="External"/><Relationship Id="rId41" Type="http://schemas.openxmlformats.org/officeDocument/2006/relationships/hyperlink" Target="https://confluence.gdn-app.com/display/~sumidayana" TargetMode="External"/><Relationship Id="rId54" Type="http://schemas.openxmlformats.org/officeDocument/2006/relationships/hyperlink" Target="../../../../../:x:/s/Operation/EYzD95OqEJNEoRoJL3t_Y6oBZAQAXM4poxqi_YVwre8oXA?e=IWjUTJ" TargetMode="External"/><Relationship Id="rId62" Type="http://schemas.openxmlformats.org/officeDocument/2006/relationships/hyperlink" Target="../../../../../:x:/s/Operation/ETavuu94Sp1Lp5P1pnP0LccBAMBP00EG2TyS1yJotZC3BQ?e=uOLUi0" TargetMode="External"/><Relationship Id="rId70" Type="http://schemas.openxmlformats.org/officeDocument/2006/relationships/hyperlink" Target="../../../../../:x:/s/Operation/EWaA_uK06mROr6RdBtbcsMUBQ-QiuSgZDOuZwp1H58lH-g?e=2lnW8C" TargetMode="External"/><Relationship Id="rId75" Type="http://schemas.openxmlformats.org/officeDocument/2006/relationships/hyperlink" Target="../../../../../:x:/s/Operation/EbXPAiHKCz5JkUpNMzl-FMwBLb015w_13vgb1_9XttAUgw?e=IDYS3O" TargetMode="External"/><Relationship Id="rId83" Type="http://schemas.openxmlformats.org/officeDocument/2006/relationships/hyperlink" Target="../../../../../:x:/s/Operation/EXNCjh9am1NMtRHfheqqvQkBYppzrRy7Yg9DKGs2ln09aA?e=71CnrR" TargetMode="External"/><Relationship Id="rId88" Type="http://schemas.openxmlformats.org/officeDocument/2006/relationships/hyperlink" Target="https://confluence.gdn-app.com/display/~gilang.giffary" TargetMode="External"/><Relationship Id="rId91" Type="http://schemas.openxmlformats.org/officeDocument/2006/relationships/hyperlink" Target="../../../../../:x:/s/Operation/EdhlH4aT4I9NobYctxCHmzgBtG0OKsgw9HtWLAsqMyNhmg?e=gdyVW5" TargetMode="External"/><Relationship Id="rId96" Type="http://schemas.openxmlformats.org/officeDocument/2006/relationships/vmlDrawing" Target="../drawings/vmlDrawing4.vml"/><Relationship Id="rId1" Type="http://schemas.openxmlformats.org/officeDocument/2006/relationships/hyperlink" Target="../../../../../:x:/s/Operation/EdDEH98TQQZEtzgJpqGuKHkBoZfRoMwKRDrJFlAiSeZUWw?e=3pOQbA" TargetMode="External"/><Relationship Id="rId6" Type="http://schemas.openxmlformats.org/officeDocument/2006/relationships/hyperlink" Target="../../../../../:x:/s/Operation/Eeh5O-A7mfFKqrzUb7zYm9cBGkzV7WiV3fayExVYjwI1mQ?e=k7Hihe" TargetMode="External"/><Relationship Id="rId15" Type="http://schemas.openxmlformats.org/officeDocument/2006/relationships/hyperlink" Target="https://confluence.gdn-app.com/display/~riska" TargetMode="External"/><Relationship Id="rId23" Type="http://schemas.openxmlformats.org/officeDocument/2006/relationships/hyperlink" Target="https://confluence.gdn-app.com/display/~riswanda.daniswara" TargetMode="External"/><Relationship Id="rId28" Type="http://schemas.openxmlformats.org/officeDocument/2006/relationships/hyperlink" Target="../../../../../:x:/s/Operation/EXxX8vSIC8hOsjx1A1Diza8Bt_ZmAud4cOMxnG32WDFNGQ?e=xm0hS6" TargetMode="External"/><Relationship Id="rId36" Type="http://schemas.openxmlformats.org/officeDocument/2006/relationships/hyperlink" Target="https://confluence.gdn-app.com/display/~hernawan" TargetMode="External"/><Relationship Id="rId49" Type="http://schemas.openxmlformats.org/officeDocument/2006/relationships/hyperlink" Target="https://confluence.gdn-app.com/display/~hernawan" TargetMode="External"/><Relationship Id="rId57" Type="http://schemas.openxmlformats.org/officeDocument/2006/relationships/hyperlink" Target="../../../../../:x:/s/Operation/EfsgVNDyvB9GvFfNrtHoL1sBChClRJMEgwXWpjC-EMZPcQ?e=KQ6dcv" TargetMode="External"/><Relationship Id="rId10" Type="http://schemas.openxmlformats.org/officeDocument/2006/relationships/hyperlink" Target="../../../../../:x:/s/Operation/EbIV2LIxQ3hLqgUUC_EXR28B-i0F10OwRK6T34lrYwWHIw?e=tjIADc" TargetMode="External"/><Relationship Id="rId31" Type="http://schemas.openxmlformats.org/officeDocument/2006/relationships/hyperlink" Target="../../../../../:x:/s/Operation/EdTW4ZuHu8hLvDIRZ2_i6nAB-wPK0Mb-Y8Ayv2olsE43UQ?e=GxMScd" TargetMode="External"/><Relationship Id="rId44" Type="http://schemas.openxmlformats.org/officeDocument/2006/relationships/hyperlink" Target="../../../../../:x:/s/Operation/ERamQvDAU0lCrG-rsZJhJJMB4MnS0tn2pKMEBa-nnoBu6Q?e=0lGQGC" TargetMode="External"/><Relationship Id="rId52" Type="http://schemas.openxmlformats.org/officeDocument/2006/relationships/hyperlink" Target="../../../../../:x:/s/Operation/EacJ108qF21Ko4xWNent_vkBbpdqQIe6rop_RkksJQQvnQ?e=jdAncB" TargetMode="External"/><Relationship Id="rId60" Type="http://schemas.openxmlformats.org/officeDocument/2006/relationships/hyperlink" Target="../../../../../:x:/s/Operation/EVOwE8_2QEdOoAts-w9RQtoBygBopnm0PnYYqSEN4IA4uA?e=uW9Ua5" TargetMode="External"/><Relationship Id="rId65" Type="http://schemas.openxmlformats.org/officeDocument/2006/relationships/hyperlink" Target="https://confluence.gdn-app.com/display/~seteven.chandra" TargetMode="External"/><Relationship Id="rId73" Type="http://schemas.openxmlformats.org/officeDocument/2006/relationships/hyperlink" Target="../../../../../:x:/s/Operation/EW8Zj9um2jNBrt-H24Z_f5QButOavx4B7oW3q526ElYOdg?e=Ag3kMH" TargetMode="External"/><Relationship Id="rId78" Type="http://schemas.openxmlformats.org/officeDocument/2006/relationships/hyperlink" Target="https://confluence.gdn-app.com/display/~rizki.ikhwan" TargetMode="External"/><Relationship Id="rId81" Type="http://schemas.openxmlformats.org/officeDocument/2006/relationships/hyperlink" Target="https://confluence.gdn-app.com/display/~faisal.wibowo" TargetMode="External"/><Relationship Id="rId86" Type="http://schemas.openxmlformats.org/officeDocument/2006/relationships/hyperlink" Target="../../../../../:x:/s/Operation/EQz5G2PPttdOkj-7PZnGf78BpJBmKdDRGHWKuf8yZNFxGw?e=ntYXdT" TargetMode="External"/><Relationship Id="rId94" Type="http://schemas.openxmlformats.org/officeDocument/2006/relationships/hyperlink" Target="../../../../../:f:/s/Operation/ElkN49MQvtlDnrXVCjKi6jABnWGLUkPSZV_L7AUuyIzr1w?e=q70bxd" TargetMode="External"/><Relationship Id="rId4" Type="http://schemas.openxmlformats.org/officeDocument/2006/relationships/hyperlink" Target="../../../../../:x:/s/Operation/EVwiCQdPSVNPoLew-_QLyO4BKxTS3GSAWQ6dOffPsOiMVA?e=ecwva0" TargetMode="External"/><Relationship Id="rId9" Type="http://schemas.openxmlformats.org/officeDocument/2006/relationships/hyperlink" Target="https://confluence.gdn-app.com/display/~al.lubis" TargetMode="External"/><Relationship Id="rId13" Type="http://schemas.openxmlformats.org/officeDocument/2006/relationships/hyperlink" Target="../../../../../:p:/s/Operation/ES-2436mrKdNoGXegzdmb4kBtPlhKxfrMv1F7ODCOPwfwg?e=NmBlji" TargetMode="External"/><Relationship Id="rId18" Type="http://schemas.openxmlformats.org/officeDocument/2006/relationships/hyperlink" Target="../../../../../:x:/s/Operation/Ea3rB8EFpUFOtiEgebVKu00Bs4A56wPK6aZctyGyDrQCAQ?e=GyAq4h" TargetMode="External"/><Relationship Id="rId39" Type="http://schemas.openxmlformats.org/officeDocument/2006/relationships/hyperlink" Target="https://confluence.gdn-app.com/display/~clarissa.lie" TargetMode="External"/><Relationship Id="rId34" Type="http://schemas.openxmlformats.org/officeDocument/2006/relationships/hyperlink" Target="https://confluence.gdn-app.com/display/~febrina.larasati" TargetMode="External"/><Relationship Id="rId50" Type="http://schemas.openxmlformats.org/officeDocument/2006/relationships/hyperlink" Target="https://confluence.gdn-app.com/display/~irfan.wahyudin" TargetMode="External"/><Relationship Id="rId55" Type="http://schemas.openxmlformats.org/officeDocument/2006/relationships/hyperlink" Target="../../../../../:x:/s/Operation/Ed4aWPX6kftElYDnyk-IFQQBMxnw0yJmJQPFBFWDlsj19A?e=EwLRl4" TargetMode="External"/><Relationship Id="rId76" Type="http://schemas.openxmlformats.org/officeDocument/2006/relationships/hyperlink" Target="https://confluence.gdn-app.com/display/~raimund.gunawan" TargetMode="External"/><Relationship Id="rId97" Type="http://schemas.openxmlformats.org/officeDocument/2006/relationships/comments" Target="../comments4.xml"/><Relationship Id="rId7" Type="http://schemas.openxmlformats.org/officeDocument/2006/relationships/hyperlink" Target="../../../../../:x:/s/Operation/EWKcbgJNg5BJulFKKK62LkYBDO98DDhPHCKv2rodveRVjQ?e=YdXqm8" TargetMode="External"/><Relationship Id="rId71" Type="http://schemas.openxmlformats.org/officeDocument/2006/relationships/hyperlink" Target="../../../../../:x:/s/Operation/Ee9rC2eVE7ZPp7XtqsDJ0YYBFw35ZXsISOs8KXlezUKClQ?e=drRa2V" TargetMode="External"/><Relationship Id="rId92" Type="http://schemas.openxmlformats.org/officeDocument/2006/relationships/hyperlink" Target="../../../../../:x:/s/Operation/EQ3pSueDMIRLkZTwywGHCfMB7mx7dc1vaAAsjsbGwtAcYg?e=Ex7pjR" TargetMode="External"/><Relationship Id="rId2" Type="http://schemas.openxmlformats.org/officeDocument/2006/relationships/hyperlink" Target="../../../../../:x:/s/Operation/EVfUd_QTpFZEighgxPCquxkBvqW9MimQPuuFFcL5z5nsiA?e=bRfshT" TargetMode="External"/><Relationship Id="rId29" Type="http://schemas.openxmlformats.org/officeDocument/2006/relationships/hyperlink" Target="../../../../../:x:/s/Operation/EeVKQIX_RE9Is4a6iSp_zDEBvB06AAXgDL3qHfDpxEAzgQ?e=2C3Gfm" TargetMode="External"/><Relationship Id="rId24" Type="http://schemas.openxmlformats.org/officeDocument/2006/relationships/hyperlink" Target="../../../../../:x:/s/Operation/Ee2CE2PHLu9MlP5dy0ZEQnoBt6bmux5ST_i4w8B-fDPyfQ?e=VCJi8x" TargetMode="External"/><Relationship Id="rId40" Type="http://schemas.openxmlformats.org/officeDocument/2006/relationships/hyperlink" Target="https://confluence.gdn-app.com/display/~piping.christiawan" TargetMode="External"/><Relationship Id="rId45" Type="http://schemas.openxmlformats.org/officeDocument/2006/relationships/hyperlink" Target="../../../../../:x:/s/Operation/EWesmSuH0YZEpxBkF2HFTvgBunU1ghpfqEiHqO_CPhqEkw?e=fxmGxB" TargetMode="External"/><Relationship Id="rId66" Type="http://schemas.openxmlformats.org/officeDocument/2006/relationships/hyperlink" Target="../../../../../:x:/s/Operation/EVbOMkrcupBEosIbX6mM2FYByGYzAcelXo8jL1Ooxwx6BA?e=00BrDq" TargetMode="External"/><Relationship Id="rId87" Type="http://schemas.openxmlformats.org/officeDocument/2006/relationships/hyperlink" Target="../../../../../:x:/s/Operation/ERhnnWHXyahNgx0YaUp67DMBF_GtAxSY32u6-MDVGTj-yA?e=m4g03p" TargetMode="External"/><Relationship Id="rId61" Type="http://schemas.openxmlformats.org/officeDocument/2006/relationships/hyperlink" Target="https://confluence.gdn-app.com/display/~erfandi.asra" TargetMode="External"/><Relationship Id="rId82" Type="http://schemas.openxmlformats.org/officeDocument/2006/relationships/hyperlink" Target="../../../../../:x:/s/Operation/EZrueiXCC05DpD9Jwv43IWYBzFtJKXeke8QF1TsY3zUygw?e=tphylO" TargetMode="External"/><Relationship Id="rId19" Type="http://schemas.openxmlformats.org/officeDocument/2006/relationships/hyperlink" Target="../../../../../:x:/s/Operation/EdLy2q9ceBROiLYF5hneNZMBXnZiyG29qCAN-mQZ0NW22A?e=YlUMcq" TargetMode="External"/><Relationship Id="rId14" Type="http://schemas.openxmlformats.org/officeDocument/2006/relationships/hyperlink" Target="https://confluence.gdn-app.com/display/~arifah.manishati" TargetMode="External"/><Relationship Id="rId30" Type="http://schemas.openxmlformats.org/officeDocument/2006/relationships/hyperlink" Target="../../../../../:x:/s/Operation/Ebx6YQqMxDtEiAov77nmGigBOfjvw3nxNrd2VPvN07pmnA?e=Ej7dfO" TargetMode="External"/><Relationship Id="rId35" Type="http://schemas.openxmlformats.org/officeDocument/2006/relationships/hyperlink" Target="../../../../../:x:/s/Operation/EYqXB_Q1LOZFjls6-gEfCOcB6qPTU4u68-L2a1DQLCfkDQ?e=Q5FZBH" TargetMode="External"/><Relationship Id="rId56" Type="http://schemas.openxmlformats.org/officeDocument/2006/relationships/hyperlink" Target="../../../../../:x:/s/Operation/ETpF4C3P5IRBkjXWI1ZbPHQBiJkCM7GcBfmCLtCtaY0nTw?e=7eEb1x" TargetMode="External"/><Relationship Id="rId77" Type="http://schemas.openxmlformats.org/officeDocument/2006/relationships/hyperlink" Target="../../../../../:x:/s/Operation/EfjTwXz2AehHm7MhJZBCgCYBKEgKjL-UIvYTIRFsBC0REQ?e=y7QhuM" TargetMode="External"/><Relationship Id="rId8" Type="http://schemas.openxmlformats.org/officeDocument/2006/relationships/hyperlink" Target="../../../../../:x:/s/Operation/EfjwHJRN1sVPkUxoaZpYEI8BnB8TH6Aigpm2Xl8jFpih9A?e=yftTHD" TargetMode="External"/><Relationship Id="rId51" Type="http://schemas.openxmlformats.org/officeDocument/2006/relationships/hyperlink" Target="../../../../../:x:/s/Operation/EQmd2SqpPiBFgaDNBWE7swoB36J-zZgyw2m-C7RtyOscyA?e=JzK5Zt" TargetMode="External"/><Relationship Id="rId72" Type="http://schemas.openxmlformats.org/officeDocument/2006/relationships/hyperlink" Target="https://confluence.gdn-app.com/display/~piping.christiawan" TargetMode="External"/><Relationship Id="rId93" Type="http://schemas.openxmlformats.org/officeDocument/2006/relationships/hyperlink" Target="../../../../../:x:/s/Operation/EeVvuq4cBopPlwQn9K7k1mwBHAOggH9ZK7P5JJK-gkt8CQ?e=Cbyshf" TargetMode="External"/><Relationship Id="rId98"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26" Type="http://schemas.openxmlformats.org/officeDocument/2006/relationships/hyperlink" Target="../../../../../:x:/s/Operation/EZr5m5Oc_9pNpeH_fNGYP2EBRUQXpan9yS6RcoMWY9IMdA?e=W2kc9u" TargetMode="External"/><Relationship Id="rId21" Type="http://schemas.openxmlformats.org/officeDocument/2006/relationships/hyperlink" Target="../../../../../:x:/s/Operation/EYwlkM9YyNlBptFt6jMnbEwBbNx2UO-KYtN6UYrz_9ENFw?e=cYFLkb" TargetMode="External"/><Relationship Id="rId42" Type="http://schemas.openxmlformats.org/officeDocument/2006/relationships/hyperlink" Target="../../../../../:x:/s/Operation/ESMDtAspdy5CreSXFNq4ApABkbtGK50JFBAiJaqk3CO3oQ?e=blHILk" TargetMode="External"/><Relationship Id="rId47" Type="http://schemas.openxmlformats.org/officeDocument/2006/relationships/hyperlink" Target="../../../../../:x:/s/Operation/ESbQaKn36FpNntErlH5PWH0BwiR_DS5XR59fK17pJW0_eA?e=xG5ijL" TargetMode="External"/><Relationship Id="rId63" Type="http://schemas.openxmlformats.org/officeDocument/2006/relationships/hyperlink" Target="../../../../../:p:/s/Operation/EYW57MulPmJIr1oFSPCEtMMBYSX1pPmSSeLaflo1cQDvaQ?e=GM5VY5" TargetMode="External"/><Relationship Id="rId68" Type="http://schemas.openxmlformats.org/officeDocument/2006/relationships/hyperlink" Target="../../../../../:x:/s/Operation/EbmInxjVhzFEtDJklO7Nn7EBzaFxcdAMLvS0ep2UNLl8Lw?e=SbJZDM" TargetMode="External"/><Relationship Id="rId84" Type="http://schemas.openxmlformats.org/officeDocument/2006/relationships/hyperlink" Target="../../../../../:f:/s/Operation/ElkN49MQvtlDnrXVCjKi6jABnWGLUkPSZV_L7AUuyIzr1w?e=q70bxd" TargetMode="External"/><Relationship Id="rId89" Type="http://schemas.openxmlformats.org/officeDocument/2006/relationships/hyperlink" Target="../../../../../:x:/s/Operation/EUXuuYoc0ClMt_uZVezBM-YBhHHBKFOJrDzANAlI6F1OVQ?e=q0NfJU" TargetMode="External"/><Relationship Id="rId16" Type="http://schemas.openxmlformats.org/officeDocument/2006/relationships/hyperlink" Target="../../../../../:x:/s/Operation/ESaGLJw56DNFlVETK22xm6sBw4TBUM8ezk9xV6nNcTxNIg?e=ZUJ0jl" TargetMode="External"/><Relationship Id="rId11" Type="http://schemas.openxmlformats.org/officeDocument/2006/relationships/hyperlink" Target="../../../../../:x:/s/Operation/Ecx-7xz3IUhBiz1kotQ18wYBdlLNCQSQXTAtc8TKIN_8FA?e=TblnJF" TargetMode="External"/><Relationship Id="rId32" Type="http://schemas.openxmlformats.org/officeDocument/2006/relationships/hyperlink" Target="mailto:Erick.dwicahya@gdn-commerce.com,%20Yossep%20Eriyanto%20Iman%20Iskandar" TargetMode="External"/><Relationship Id="rId37" Type="http://schemas.openxmlformats.org/officeDocument/2006/relationships/hyperlink" Target="../../../../../:x:/s/Operation/EZuw0-MMIIZGmqcAXxiS0EUBgi366H_9RFq8Py7zK_xTCg?e=KCB0YX" TargetMode="External"/><Relationship Id="rId53" Type="http://schemas.openxmlformats.org/officeDocument/2006/relationships/hyperlink" Target="../../../../../:x:/s/Operation/EUluHMdE639OqgghKUTNDVUBgKeMX7hJZekMNt6aGjLRww?e=dxOznq" TargetMode="External"/><Relationship Id="rId58" Type="http://schemas.openxmlformats.org/officeDocument/2006/relationships/hyperlink" Target="../../../../../:x:/s/Operation/EfQiBvjHLjNLvWN1UjLmTnkBQqExmpPvWNu26slm_12y5w?e=VGI3bJ" TargetMode="External"/><Relationship Id="rId74" Type="http://schemas.openxmlformats.org/officeDocument/2006/relationships/hyperlink" Target="../../../../../:x:/s/Operation/Ed7fZRDLVZdLgA7oN86I9REBHXODIGTVUdDFzBaeJRIQew?e=gXk7r5" TargetMode="External"/><Relationship Id="rId79" Type="http://schemas.openxmlformats.org/officeDocument/2006/relationships/hyperlink" Target="../../../../../:x:/s/Operation/EVizoveXRghAgJIRPGGfJvsB6gdNHtrwUVflfHehsT7R6Q?e=ybFHPT" TargetMode="External"/><Relationship Id="rId5" Type="http://schemas.openxmlformats.org/officeDocument/2006/relationships/hyperlink" Target="../../../../../:p:/s/Operation/EQm4K4vDbqNBiYGwhWa6VQoB0rwxv4FCgNR8mrv2f9UenQ?e=jvd33o" TargetMode="External"/><Relationship Id="rId90" Type="http://schemas.openxmlformats.org/officeDocument/2006/relationships/hyperlink" Target="../../../../../:x:/s/Operation/EfJoiklCYx1GmBNbAlMmOlEBGSBMB4alwwEoAoQXV5Ej7Q?e=AH4NSg" TargetMode="External"/><Relationship Id="rId95" Type="http://schemas.openxmlformats.org/officeDocument/2006/relationships/hyperlink" Target="../../../../../:x:/s/Operation/EcO0quUlsWhImb9s3PxJdB4BNheKPg2A5YzYLDs3KY0SSQ?e=betmi7" TargetMode="External"/><Relationship Id="rId22" Type="http://schemas.openxmlformats.org/officeDocument/2006/relationships/hyperlink" Target="../../../../../:x:/s/Operation/EX0F2Gyf-S9Bj4DU5H60k5QBUXowkL_ZwrUFCy0k6AvM1A?e=tw0aGo" TargetMode="External"/><Relationship Id="rId27" Type="http://schemas.openxmlformats.org/officeDocument/2006/relationships/hyperlink" Target="../../../../../:x:/s/Operation/EXuy3XhJXp5Fi5mDW3_PO-YBphJvFOvUE32mRVjE7OumHg?e=BJAOqE" TargetMode="External"/><Relationship Id="rId43" Type="http://schemas.openxmlformats.org/officeDocument/2006/relationships/hyperlink" Target="../../../../../:x:/s/Operation/EQ-fJdZsLHZEhsfCjMpvhHIB6pN-XTvWQJp40sBCp-_-WQ?e=V3yT4J" TargetMode="External"/><Relationship Id="rId48" Type="http://schemas.openxmlformats.org/officeDocument/2006/relationships/hyperlink" Target="../../../../../:x:/s/Operation/EacMs1bAWBVDh_UP3YiRw-cBZQKAcaP5_kUQudO2gpBvqA?e=nMecuA" TargetMode="External"/><Relationship Id="rId64" Type="http://schemas.openxmlformats.org/officeDocument/2006/relationships/hyperlink" Target="../../../../../:x:/s/Operation/EQ_MDTGJSOFNgJpQfpF242wBXibijY-2xLlyFhM8TfdFLw?e=x1qnlh" TargetMode="External"/><Relationship Id="rId69" Type="http://schemas.openxmlformats.org/officeDocument/2006/relationships/hyperlink" Target="../../../../../:p:/s/Operation/EW2OFLDtJj9Nq3-XeHqvKhEBb69bm0PpSkLlGvm0Yystgw?e=Z9oVVg" TargetMode="External"/><Relationship Id="rId80" Type="http://schemas.openxmlformats.org/officeDocument/2006/relationships/hyperlink" Target="../../../../../:x:/s/Operation/EXqJtkAbVPRNmEJxUNs8sBkBosQ6vVwc939w-8iqoLNk7Q?e=6gCVkQ" TargetMode="External"/><Relationship Id="rId85" Type="http://schemas.openxmlformats.org/officeDocument/2006/relationships/hyperlink" Target="../../../../../:x:/s/Operation/EQ1VMhqHS4xEsUgerqpKrUsBEEDY2bBOgnQMH130WcKbyg?e=eY2JWu" TargetMode="External"/><Relationship Id="rId3" Type="http://schemas.openxmlformats.org/officeDocument/2006/relationships/hyperlink" Target="../../../../../:x:/s/Operation/EfAcUN3XnTRKvRo5IMf5pDMBGaLRlo85uJPy8avFQNoiUQ?e=uUbdZz" TargetMode="External"/><Relationship Id="rId12" Type="http://schemas.openxmlformats.org/officeDocument/2006/relationships/hyperlink" Target="../../../../../:x:/s/Operation/EZ0aHTQ1BBNBmWQsLE8eq6EBbxKjt26RnGinmbxciBw2Aw?e=nSrrbH" TargetMode="External"/><Relationship Id="rId17" Type="http://schemas.openxmlformats.org/officeDocument/2006/relationships/hyperlink" Target="../../../../../:x:/s/Operation/EUM3aCWIcqtBoo6xzdbzzRwB3CA00lNg4x34aViKuensew?e=wGdMD7" TargetMode="External"/><Relationship Id="rId25" Type="http://schemas.openxmlformats.org/officeDocument/2006/relationships/hyperlink" Target="../../../../../:x:/s/Operation/EZkYcpOUNUBGndLLqJKFKzEB78JatSEiV-XhhGRfEEOtUg?e=yhJ7Eo" TargetMode="External"/><Relationship Id="rId33" Type="http://schemas.openxmlformats.org/officeDocument/2006/relationships/hyperlink" Target="https://confluence.gdn-app.com/display/~satya.putra" TargetMode="External"/><Relationship Id="rId38" Type="http://schemas.openxmlformats.org/officeDocument/2006/relationships/hyperlink" Target="../../../../../:x:/s/Operation/EdEfxX9eUBBJuiKHpamgAuEB06QZmsMeDNpdohUs9kDvQQ?e=v6p0GE" TargetMode="External"/><Relationship Id="rId46" Type="http://schemas.openxmlformats.org/officeDocument/2006/relationships/hyperlink" Target="../../../../../:x:/s/Operation/EZuV2Kv12KxNnbsk7Rv-MLQBvuRKOzWG4BeYgxA9d_swNg?e=E0xXF3" TargetMode="External"/><Relationship Id="rId59" Type="http://schemas.openxmlformats.org/officeDocument/2006/relationships/hyperlink" Target="../../../../../:x:/s/Operation/EZTwb03gkGVNozSZoug4uyYBVnCc8ZT_zwZ4m_4BdihrUw?e=oqb1uU" TargetMode="External"/><Relationship Id="rId67" Type="http://schemas.openxmlformats.org/officeDocument/2006/relationships/hyperlink" Target="../../../../../:x:/s/Operation/EbtmrAv-1iFCn7VsKJDVxSgB0BwUm8hPV8zP4t6U8MYm2A?e=yRR9Cj" TargetMode="External"/><Relationship Id="rId20" Type="http://schemas.openxmlformats.org/officeDocument/2006/relationships/hyperlink" Target="../../../../../:x:/s/Operation/Ef7t3uybeTFBrZu4fRu143YBmGu9c6pMUP1JF_DZVHkFOQ?e=edXeQC" TargetMode="External"/><Relationship Id="rId41" Type="http://schemas.openxmlformats.org/officeDocument/2006/relationships/hyperlink" Target="../../../../../:x:/s/Operation/EV40nsT7f3BPhdAZQ921QzsBTuvmwAZKI5dVw_6kI5zjMg?e=7bgqUl" TargetMode="External"/><Relationship Id="rId54" Type="http://schemas.openxmlformats.org/officeDocument/2006/relationships/hyperlink" Target="../../../../../:x:/s/Operation/EbeBF354cORLnVr5CR5r7RkBzJgkj1muyeh8WjPTtsYcpw?e=JsklCG" TargetMode="External"/><Relationship Id="rId62" Type="http://schemas.openxmlformats.org/officeDocument/2006/relationships/hyperlink" Target="../../../../../:x:/s/Operation/Ed_JCJVgJZ1AoUgq37QkfVIBjChWEjUD4mKHFhKvplCxbw?e=go3rbm" TargetMode="External"/><Relationship Id="rId70" Type="http://schemas.openxmlformats.org/officeDocument/2006/relationships/hyperlink" Target="../../../../../:x:/s/Operation/EQgQ-QIGe5dMmF7B1cKLyRAB7hq6yr-ZeddKyVPLEoUxdA?e=1eRUKZ" TargetMode="External"/><Relationship Id="rId75" Type="http://schemas.openxmlformats.org/officeDocument/2006/relationships/hyperlink" Target="../../../../../:x:/s/Operation/EQBJODLy0ARChlmgXGhTRioBpp_wALkYqvUv5LELsHJ4tg?e=pi0p3m" TargetMode="External"/><Relationship Id="rId83" Type="http://schemas.openxmlformats.org/officeDocument/2006/relationships/hyperlink" Target="../../../../../:x:/s/Operation/ETw993Z0_fpFrkX8B_7na4UB0euTbM5TfXPr0Vc1jRqUsA?e=IZviFo" TargetMode="External"/><Relationship Id="rId88" Type="http://schemas.openxmlformats.org/officeDocument/2006/relationships/hyperlink" Target="../../../../../:x:/s/Operation/ETYyoD5MGHFOlFBG4Hz3Bq8BRYEPwfJIagNEIplzNgPD1Q?e=xqcDNi" TargetMode="External"/><Relationship Id="rId91" Type="http://schemas.openxmlformats.org/officeDocument/2006/relationships/hyperlink" Target="../../../../../:x:/s/Operation/EXCvVhE4Af5Jhzl-r8mbtRMBAMXETPX9C3qCBv3j54O4yQ?e=oj3gkt" TargetMode="External"/><Relationship Id="rId96" Type="http://schemas.openxmlformats.org/officeDocument/2006/relationships/hyperlink" Target="https://confluence.gdn-app.com/display/~zahra.addini" TargetMode="External"/><Relationship Id="rId1" Type="http://schemas.openxmlformats.org/officeDocument/2006/relationships/hyperlink" Target="../../../../../:x:/s/Operation/EVdIiSrn0bVAmq7t1GbWxXsBBNgog4_HGn-HFm0TSbJ7NQ?e=Ghvf5b" TargetMode="External"/><Relationship Id="rId6" Type="http://schemas.openxmlformats.org/officeDocument/2006/relationships/hyperlink" Target="../../../../../:x:/s/Operation/EXi4s12LCIVHtQhZzft2ckwBR7_zFRWZ-JoxRSvxc-QMPg?e=6fc5ff" TargetMode="External"/><Relationship Id="rId15" Type="http://schemas.openxmlformats.org/officeDocument/2006/relationships/hyperlink" Target="../../../../../:x:/s/Operation/ER-yJYW9QgBNmFWQtyactewBx5eJLGsyDUFTMnQTUKHOFA?e=MQgZMo" TargetMode="External"/><Relationship Id="rId23" Type="http://schemas.openxmlformats.org/officeDocument/2006/relationships/hyperlink" Target="../../../../../:x:/s/Operation/EaFIZd9V6ZRMm_g46KK4qPEB7p2F6SqHF8-Gj8BX8DMbbQ?e=x7Up7u" TargetMode="External"/><Relationship Id="rId28" Type="http://schemas.openxmlformats.org/officeDocument/2006/relationships/hyperlink" Target="../../../../../:x:/s/Operation/EfP2DLla9elAqfytk73T80kBZ3b0b6vC89EQ76WawNvwCQ?e=PBY4mO" TargetMode="External"/><Relationship Id="rId36" Type="http://schemas.openxmlformats.org/officeDocument/2006/relationships/hyperlink" Target="../../../../../:x:/s/Operation/EYLg6trZf7lKnd2-DzwkuG8BshAk0T8_GxF2MS7-2X0JXA?e=N5unzv" TargetMode="External"/><Relationship Id="rId49" Type="http://schemas.openxmlformats.org/officeDocument/2006/relationships/hyperlink" Target="../../../../../:x:/s/Operation/EZcHAuoxc8RLhmWwvzkc3q8BSICAtyV4jg1nNpKYYprn8A?e=z57Xqe" TargetMode="External"/><Relationship Id="rId57" Type="http://schemas.openxmlformats.org/officeDocument/2006/relationships/hyperlink" Target="../../../../../:x:/s/Operation/EcHvn6vPnL9Ah_fgePwCBZABMRIw4Fa8cafRKN2PAwG66Q?e=mb3fdf" TargetMode="External"/><Relationship Id="rId10" Type="http://schemas.openxmlformats.org/officeDocument/2006/relationships/hyperlink" Target="../../../../../:x:/s/Operation/Ea_xX098_WJBlzPmswceRIAB2ZnoqJx0qg4Y7zflz-JN6Q?e=cx2bkc" TargetMode="External"/><Relationship Id="rId31" Type="http://schemas.openxmlformats.org/officeDocument/2006/relationships/hyperlink" Target="https://confluence.gdn-app.com/display/~vionita.salim" TargetMode="External"/><Relationship Id="rId44" Type="http://schemas.openxmlformats.org/officeDocument/2006/relationships/hyperlink" Target="../../../../../:x:/s/Operation/Ebv-bohcC4FBl_n7b7KwvKMBwyjuvXvTGBaPlA8s7ukVUA?e=GWFGfb" TargetMode="External"/><Relationship Id="rId52" Type="http://schemas.openxmlformats.org/officeDocument/2006/relationships/hyperlink" Target="../../../../../:x:/s/Operation/EQHfbo0QusVKvwX04rSYPOUBtGdBrw20WglTYlxrMzidUw?e=9sAp5I" TargetMode="External"/><Relationship Id="rId60" Type="http://schemas.openxmlformats.org/officeDocument/2006/relationships/hyperlink" Target="../../../../../:x:/s/Operation/ESB5TWTeOXhMmUyU9AURlEcBXc7-XtsoR2HPdKbBKEsDkA?e=VChnDf" TargetMode="External"/><Relationship Id="rId65" Type="http://schemas.openxmlformats.org/officeDocument/2006/relationships/hyperlink" Target="../../../../../:x:/s/Operation/EdV6nbS0-9pGnd02SvpvNs4B1AGWnWRJLM3QRNJwK3im2g?e=huSzb0" TargetMode="External"/><Relationship Id="rId73" Type="http://schemas.openxmlformats.org/officeDocument/2006/relationships/hyperlink" Target="../../../../../:x:/s/Operation/EdS_hfT5kplFmfMze8latZQBJ263_EPk5U9Pr41_JnG_ug?e=YdNWqr" TargetMode="External"/><Relationship Id="rId78" Type="http://schemas.openxmlformats.org/officeDocument/2006/relationships/hyperlink" Target="../../../../../:x:/s/Operation/EZBVqHwofIpPnlvXPZRoKosBea323cAW44FCJ8i4xis9Wg?e=XEibLQ" TargetMode="External"/><Relationship Id="rId81" Type="http://schemas.openxmlformats.org/officeDocument/2006/relationships/hyperlink" Target="../../../../../:x:/s/Operation/EUFwz0OI1uxMu0wv38VDey4ByAm65l_CAD_Ot5s-cFnXYw?e=cBqaAD" TargetMode="External"/><Relationship Id="rId86" Type="http://schemas.openxmlformats.org/officeDocument/2006/relationships/hyperlink" Target="../../../../../:x:/s/Operation/EWzNRFQgxkNHgZpPu2xorxABqg0yQOhLc51CMumDBMulgQ?e=Wbo5iQ" TargetMode="External"/><Relationship Id="rId94" Type="http://schemas.openxmlformats.org/officeDocument/2006/relationships/hyperlink" Target="https://confluence.gdn-app.com/display/~zahra.addini" TargetMode="External"/><Relationship Id="rId99" Type="http://schemas.openxmlformats.org/officeDocument/2006/relationships/comments" Target="../comments5.xml"/><Relationship Id="rId4" Type="http://schemas.openxmlformats.org/officeDocument/2006/relationships/hyperlink" Target="../../../../../:x:/s/Operation/EQHGtEkaECFNs7uOEo7bE8wBJHfupGuTaxNNZDmKH8lzLA?e=Ju5czX" TargetMode="External"/><Relationship Id="rId9" Type="http://schemas.openxmlformats.org/officeDocument/2006/relationships/hyperlink" Target="../../../../../:x:/s/Operation/EVe9bd80kmxCrOD3-X3L7fgBUK8Th_tyeEdPN1jusX2-vw?e=GtTiY5" TargetMode="External"/><Relationship Id="rId13" Type="http://schemas.openxmlformats.org/officeDocument/2006/relationships/hyperlink" Target="../../../../../:x:/s/Operation/EWgGp34ObQxMhNqoHnZCnAYBMePMJ-XJKp3VguGqZEgjUA?e=vwbVCx" TargetMode="External"/><Relationship Id="rId18" Type="http://schemas.openxmlformats.org/officeDocument/2006/relationships/hyperlink" Target="../../../../../:x:/s/Operation/EX3QyCKPsPpPgBFcytJGR9sBAeUI-DXORwmsICBqUP1tBw?e=x4weiV" TargetMode="External"/><Relationship Id="rId39" Type="http://schemas.openxmlformats.org/officeDocument/2006/relationships/hyperlink" Target="../../../../../:x:/s/Operation/EcDlHVON-SNNrfh4JLnb5_0B09SSUqApTv4-gZKSgEmHpQ?e=GtV6ev" TargetMode="External"/><Relationship Id="rId34" Type="http://schemas.openxmlformats.org/officeDocument/2006/relationships/hyperlink" Target="https://confluence.gdn-app.com/display/~raimund.gunawan" TargetMode="External"/><Relationship Id="rId50" Type="http://schemas.openxmlformats.org/officeDocument/2006/relationships/hyperlink" Target="../../../../../:x:/s/Operation/EZTovgdyPG9PuEnBDMDA3b8BmMIxDTfvq7hP_EthOILoMQ?e=HBkqqo" TargetMode="External"/><Relationship Id="rId55" Type="http://schemas.openxmlformats.org/officeDocument/2006/relationships/hyperlink" Target="../../../../../:x:/s/Operation/ES1iArbjC4NNs7Ip_gNDnEIB3I_WG54yqEE3Oi-awiF1cw?e=oAo1YE" TargetMode="External"/><Relationship Id="rId76" Type="http://schemas.openxmlformats.org/officeDocument/2006/relationships/hyperlink" Target="../../../../../:x:/s/Operation/ERGtb05UCPhEu_auqBlpursBBeE_Dktfjw8QAGsu1jdUhg?e=WJCpRx" TargetMode="External"/><Relationship Id="rId97" Type="http://schemas.openxmlformats.org/officeDocument/2006/relationships/hyperlink" Target="../../../../../:x:/s/Operation/EdbukzNb6bJAiS85E6KGO6kBYXIPQMSDlx4oBNwPEGVXBA?e=STq4bH" TargetMode="External"/><Relationship Id="rId7" Type="http://schemas.openxmlformats.org/officeDocument/2006/relationships/hyperlink" Target="../../../../../:x:/s/Operation/ETKSRm1BPOZHnZR6hECmXqwB28GHh-fidAADQxtmDHOBwg?e=hdqS6U" TargetMode="External"/><Relationship Id="rId71" Type="http://schemas.openxmlformats.org/officeDocument/2006/relationships/hyperlink" Target="../../../../../:x:/s/Operation/EasWbtLx_WhAtqagr3CfKzcBniHxGd7HbkiD-Na4Ym3eig?e=FJXrb4" TargetMode="External"/><Relationship Id="rId92" Type="http://schemas.openxmlformats.org/officeDocument/2006/relationships/hyperlink" Target="../../../../../:x:/s/Operation/Ee6E4Kw-JPNDotps1W__HlwBExSmS05oQ9MAUaaHoB9CnA?e=DoOktE" TargetMode="External"/><Relationship Id="rId2" Type="http://schemas.openxmlformats.org/officeDocument/2006/relationships/hyperlink" Target="../../../../../:x:/s/Operation/EadNM9CHU9lDoTlImN5jVBYB9-L4xBi5EK0MTgHdse7WAQ?e=fzA2zZ" TargetMode="External"/><Relationship Id="rId29" Type="http://schemas.openxmlformats.org/officeDocument/2006/relationships/hyperlink" Target="../../../../../:x:/s/Operation/Ed1WNVPRU3hOjvITdaYket8BJ_IHuEDUhx2hEAOtdEeZNQ?e=UD2qkw" TargetMode="External"/><Relationship Id="rId24" Type="http://schemas.openxmlformats.org/officeDocument/2006/relationships/hyperlink" Target="../../../../../:x:/s/Operation/ET7DFFbJgJRLjuDyAL-y2aEBuz5_HS-uU9_QntYVE3T-EQ?e=nqM1bt" TargetMode="External"/><Relationship Id="rId40" Type="http://schemas.openxmlformats.org/officeDocument/2006/relationships/hyperlink" Target="../../../../../:x:/s/Operation/EeqY8cOMEwtPtaVLF2XWvzcBESPPTWZwOOMFJ9kSpbc8gw?e=DtUk4I" TargetMode="External"/><Relationship Id="rId45" Type="http://schemas.openxmlformats.org/officeDocument/2006/relationships/hyperlink" Target="../../../../../:x:/s/Operation/EU8CvGZBGiBFstA3FvjJKpgB-jbqfHaUZLckket_AgndXA?e=fEnJiC" TargetMode="External"/><Relationship Id="rId66" Type="http://schemas.openxmlformats.org/officeDocument/2006/relationships/hyperlink" Target="../../../../../:x:/s/Operation/Eej7JxGRt3NKm_vMivvVUygBiAWBUcT-WPhZ8wDEs3oy9A?e=hDrz14" TargetMode="External"/><Relationship Id="rId87" Type="http://schemas.openxmlformats.org/officeDocument/2006/relationships/hyperlink" Target="../../../../../:x:/s/Operation/EbnoGi5j88JCt7BddZdRm74B2P51hURN5-S9a14m4O8agQ?e=ShiyL4" TargetMode="External"/><Relationship Id="rId61" Type="http://schemas.openxmlformats.org/officeDocument/2006/relationships/hyperlink" Target="../../../../../:x:/s/Operation/EfDtpqR2UohClDl4FpnZXzEB3dmspu01jdbRDyutOSy4Zg?e=gb0RYQ" TargetMode="External"/><Relationship Id="rId82" Type="http://schemas.openxmlformats.org/officeDocument/2006/relationships/hyperlink" Target="../../../../../:x:/s/Operation/ESXhuyjRDjdHmDPdH03_kdoBu3cmOTeal8BP40xHkhnXbg?e=KFvfvQ" TargetMode="External"/><Relationship Id="rId19" Type="http://schemas.openxmlformats.org/officeDocument/2006/relationships/hyperlink" Target="../../../../../:x:/s/Operation/EdL8Tl2csE1Pj-TW7ibfE2kB5PHXmvBBZwFHoN7gDS53mg?e=ooQrMh" TargetMode="External"/><Relationship Id="rId14" Type="http://schemas.openxmlformats.org/officeDocument/2006/relationships/hyperlink" Target="../../../../../:x:/s/Operation/EeMScdmLQb1ErekHJHcsV1ABdZjHxi3QXkNxO3y8eydZVQ?e=R3a6bD" TargetMode="External"/><Relationship Id="rId30" Type="http://schemas.openxmlformats.org/officeDocument/2006/relationships/hyperlink" Target="https://confluence.gdn-app.com/display/~muhammad.sofri" TargetMode="External"/><Relationship Id="rId35" Type="http://schemas.openxmlformats.org/officeDocument/2006/relationships/hyperlink" Target="../../../../../:x:/s/Operation/EdpaDi6BSCJCumRLhmpqNEUBQXxxUd7j28GtLOs68JFm2Q?e=tN4Les" TargetMode="External"/><Relationship Id="rId56" Type="http://schemas.openxmlformats.org/officeDocument/2006/relationships/hyperlink" Target="../../../../../:x:/s/Operation/EZFJDYk5b5ZJlZYv2kz1X9gBARJvo1m8anaAfg5kAqEB7A?e=ROk8OX" TargetMode="External"/><Relationship Id="rId77" Type="http://schemas.openxmlformats.org/officeDocument/2006/relationships/hyperlink" Target="../../../../../:x:/s/Operation/ERPZCr6AJv9DpjKPzj5O6nIB1Y6tE603zeosDRnvIBnEHQ?e=cHmCgF" TargetMode="External"/><Relationship Id="rId100" Type="http://schemas.microsoft.com/office/2017/10/relationships/threadedComment" Target="../threadedComments/threadedComment5.xml"/><Relationship Id="rId8" Type="http://schemas.openxmlformats.org/officeDocument/2006/relationships/hyperlink" Target="../../../../../:x:/s/Operation/EWd7IsrK4T1ChnvTJibuRTEBvhp4f0s3YAJYdXXxnOtIKA?e=em9EEA" TargetMode="External"/><Relationship Id="rId51" Type="http://schemas.openxmlformats.org/officeDocument/2006/relationships/hyperlink" Target="../../../../../:x:/s/Operation/EbmvQa5psnRNiLoHmTtxZwABMmbOw6ysNSbd9vFxG4t1Zw?e=klSM63" TargetMode="External"/><Relationship Id="rId72" Type="http://schemas.openxmlformats.org/officeDocument/2006/relationships/hyperlink" Target="../../../../../:x:/s/Operation/ETPEYWu76mhIh-dnbfxVHd0BN8TMvYXoQSSfA8yR7veIoQ?e=Zeftnl" TargetMode="External"/><Relationship Id="rId93" Type="http://schemas.openxmlformats.org/officeDocument/2006/relationships/hyperlink" Target="../../../../../:x:/s/Operation/Ebt8WKnXh3JKgop-RJXW5WUB6oREeK25_o9DUxe56bAomA?e=RvRqa3" TargetMode="External"/><Relationship Id="rId98"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D2FA0-E75A-4537-B7BD-9321E4ADF82F}">
  <dimension ref="B2:AA572"/>
  <sheetViews>
    <sheetView zoomScale="55" zoomScaleNormal="55" workbookViewId="0"/>
  </sheetViews>
  <sheetFormatPr defaultColWidth="20.42578125" defaultRowHeight="15"/>
  <cols>
    <col min="3" max="3" width="19.42578125" bestFit="1" customWidth="1"/>
    <col min="4" max="4" width="19.5703125" customWidth="1"/>
    <col min="5" max="6" width="9.140625"/>
    <col min="7" max="7" width="25.42578125" bestFit="1" customWidth="1"/>
    <col min="8" max="8" width="9.140625"/>
    <col min="9" max="9" width="20.42578125" bestFit="1" customWidth="1"/>
  </cols>
  <sheetData>
    <row r="2" spans="2:27">
      <c r="C2" s="356"/>
      <c r="D2" s="356"/>
      <c r="E2" s="356"/>
      <c r="F2" s="356"/>
      <c r="G2" s="356"/>
      <c r="H2" s="356"/>
      <c r="I2" s="356"/>
      <c r="J2" s="356"/>
      <c r="K2" s="356"/>
      <c r="L2" s="356"/>
      <c r="M2" s="356"/>
      <c r="N2" s="356"/>
    </row>
    <row r="4" spans="2:27" ht="15.75">
      <c r="C4" s="357" t="s">
        <v>0</v>
      </c>
      <c r="D4" s="358" t="s">
        <v>1</v>
      </c>
      <c r="E4" s="358" t="s">
        <v>2</v>
      </c>
      <c r="F4" s="359" t="s">
        <v>3</v>
      </c>
      <c r="G4" s="360"/>
      <c r="H4" s="360"/>
      <c r="I4" s="361"/>
      <c r="J4" s="362" t="s">
        <v>4</v>
      </c>
      <c r="U4" s="362" t="s">
        <v>5</v>
      </c>
      <c r="Z4" s="362" t="s">
        <v>6</v>
      </c>
    </row>
    <row r="5" spans="2:27">
      <c r="C5" s="363"/>
      <c r="D5" s="364"/>
      <c r="E5" s="364"/>
      <c r="F5" s="365"/>
      <c r="G5" s="366"/>
      <c r="H5" s="366"/>
      <c r="I5" s="367"/>
      <c r="J5" s="368"/>
      <c r="U5" s="368"/>
      <c r="Z5" s="369"/>
    </row>
    <row r="6" spans="2:27" ht="15.75">
      <c r="C6" s="363"/>
      <c r="D6" s="370" t="s">
        <v>7</v>
      </c>
      <c r="E6" s="370" t="s">
        <v>8</v>
      </c>
      <c r="F6" s="371" t="s">
        <v>9</v>
      </c>
      <c r="G6" s="371" t="s">
        <v>10</v>
      </c>
      <c r="H6" s="371" t="s">
        <v>11</v>
      </c>
      <c r="I6" s="371" t="s">
        <v>12</v>
      </c>
      <c r="J6" s="372" t="s">
        <v>13</v>
      </c>
      <c r="U6" s="371" t="s">
        <v>10</v>
      </c>
      <c r="Z6" s="369"/>
    </row>
    <row r="7" spans="2:27">
      <c r="C7" s="363"/>
      <c r="D7" s="364"/>
      <c r="E7" s="364"/>
      <c r="F7" s="364"/>
      <c r="G7" s="364"/>
      <c r="H7" s="364"/>
      <c r="I7" s="364"/>
      <c r="J7" s="373"/>
      <c r="U7" s="364"/>
      <c r="Z7" s="369"/>
    </row>
    <row r="8" spans="2:27" ht="15.75">
      <c r="B8" t="s">
        <v>14</v>
      </c>
      <c r="C8" s="374"/>
      <c r="D8" s="375"/>
      <c r="E8" s="375"/>
      <c r="F8" s="376" t="s">
        <v>15</v>
      </c>
      <c r="G8" s="376" t="s">
        <v>16</v>
      </c>
      <c r="H8" s="376" t="s">
        <v>15</v>
      </c>
      <c r="I8" s="376" t="s">
        <v>17</v>
      </c>
      <c r="J8" s="377"/>
      <c r="U8" s="376" t="s">
        <v>18</v>
      </c>
      <c r="Z8" s="368"/>
      <c r="AA8" t="s">
        <v>19</v>
      </c>
    </row>
    <row r="9" spans="2:27" ht="15.75">
      <c r="B9">
        <v>1</v>
      </c>
      <c r="C9" s="357" t="s">
        <v>20</v>
      </c>
      <c r="D9" s="357" t="s">
        <v>21</v>
      </c>
      <c r="E9" s="357" t="s">
        <v>22</v>
      </c>
      <c r="F9" s="378" t="s">
        <v>23</v>
      </c>
      <c r="G9" s="379" t="s">
        <v>24</v>
      </c>
      <c r="H9" s="379" t="s">
        <v>25</v>
      </c>
      <c r="I9" s="379" t="s">
        <v>26</v>
      </c>
      <c r="J9" s="379" t="s">
        <v>27</v>
      </c>
      <c r="U9" s="357" t="s">
        <v>28</v>
      </c>
      <c r="Z9" s="378" t="s">
        <v>29</v>
      </c>
    </row>
    <row r="10" spans="2:27" ht="15.75">
      <c r="B10">
        <v>1</v>
      </c>
      <c r="C10" s="363"/>
      <c r="D10" s="363"/>
      <c r="E10" s="363"/>
      <c r="F10" s="380"/>
      <c r="G10" s="379" t="s">
        <v>30</v>
      </c>
      <c r="H10" s="379" t="s">
        <v>31</v>
      </c>
      <c r="I10" s="379" t="s">
        <v>32</v>
      </c>
      <c r="J10" s="379" t="s">
        <v>33</v>
      </c>
      <c r="U10" s="363"/>
      <c r="Z10" s="380"/>
    </row>
    <row r="11" spans="2:27" ht="15.75">
      <c r="B11">
        <v>1</v>
      </c>
      <c r="C11" s="363"/>
      <c r="D11" s="363"/>
      <c r="E11" s="363"/>
      <c r="F11" s="380"/>
      <c r="G11" s="379" t="s">
        <v>34</v>
      </c>
      <c r="H11" s="379" t="s">
        <v>35</v>
      </c>
      <c r="I11" s="379" t="s">
        <v>36</v>
      </c>
      <c r="J11" s="379" t="s">
        <v>37</v>
      </c>
      <c r="U11" s="363"/>
      <c r="Z11" s="380"/>
    </row>
    <row r="12" spans="2:27" ht="15.75">
      <c r="B12">
        <v>1</v>
      </c>
      <c r="C12" s="363"/>
      <c r="D12" s="363"/>
      <c r="E12" s="363"/>
      <c r="F12" s="380"/>
      <c r="G12" s="364"/>
      <c r="H12" s="364"/>
      <c r="I12" s="379" t="s">
        <v>38</v>
      </c>
      <c r="J12" s="379" t="s">
        <v>39</v>
      </c>
      <c r="U12" s="363"/>
      <c r="Z12" s="380"/>
    </row>
    <row r="13" spans="2:27" ht="15.75">
      <c r="B13">
        <v>1</v>
      </c>
      <c r="C13" s="363"/>
      <c r="D13" s="363"/>
      <c r="E13" s="363"/>
      <c r="F13" s="380"/>
      <c r="G13" s="364"/>
      <c r="H13" s="364"/>
      <c r="I13" s="379" t="s">
        <v>40</v>
      </c>
      <c r="J13" s="364"/>
      <c r="U13" s="363"/>
      <c r="Z13" s="380"/>
    </row>
    <row r="14" spans="2:27" ht="15.75">
      <c r="B14">
        <v>1</v>
      </c>
      <c r="C14" s="374"/>
      <c r="D14" s="374"/>
      <c r="E14" s="374"/>
      <c r="F14" s="381"/>
      <c r="G14" s="375"/>
      <c r="H14" s="375"/>
      <c r="I14" s="382" t="s">
        <v>41</v>
      </c>
      <c r="J14" s="375"/>
      <c r="U14" s="374"/>
      <c r="Z14" s="381"/>
    </row>
    <row r="15" spans="2:27" ht="15.75">
      <c r="B15">
        <v>1</v>
      </c>
      <c r="C15" s="357" t="s">
        <v>20</v>
      </c>
      <c r="D15" s="357" t="s">
        <v>42</v>
      </c>
      <c r="E15" s="357" t="s">
        <v>43</v>
      </c>
      <c r="F15" s="379" t="s">
        <v>44</v>
      </c>
      <c r="G15" s="379" t="s">
        <v>45</v>
      </c>
      <c r="H15" s="379" t="s">
        <v>46</v>
      </c>
      <c r="I15" s="379" t="s">
        <v>47</v>
      </c>
      <c r="J15" s="379" t="s">
        <v>48</v>
      </c>
      <c r="U15" s="379" t="s">
        <v>49</v>
      </c>
      <c r="Z15" s="379" t="s">
        <v>50</v>
      </c>
    </row>
    <row r="16" spans="2:27" ht="15.75">
      <c r="B16">
        <v>1</v>
      </c>
      <c r="C16" s="363"/>
      <c r="D16" s="363"/>
      <c r="E16" s="363"/>
      <c r="F16" s="383"/>
      <c r="G16" s="383"/>
      <c r="H16" s="364"/>
      <c r="I16" s="379" t="s">
        <v>51</v>
      </c>
      <c r="J16" s="364"/>
      <c r="U16" s="364"/>
      <c r="Z16" s="379" t="s">
        <v>52</v>
      </c>
    </row>
    <row r="17" spans="2:26" ht="15.75">
      <c r="B17">
        <v>1</v>
      </c>
      <c r="C17" s="363"/>
      <c r="D17" s="363"/>
      <c r="E17" s="363"/>
      <c r="F17" s="379" t="s">
        <v>53</v>
      </c>
      <c r="G17" s="383"/>
      <c r="H17" s="384"/>
      <c r="I17" s="364"/>
      <c r="J17" s="384"/>
      <c r="U17" s="384"/>
      <c r="Z17" s="379" t="s">
        <v>54</v>
      </c>
    </row>
    <row r="18" spans="2:26" ht="15.75">
      <c r="B18">
        <v>1</v>
      </c>
      <c r="C18" s="363"/>
      <c r="D18" s="363"/>
      <c r="E18" s="363"/>
      <c r="F18" s="384"/>
      <c r="G18" s="379" t="s">
        <v>55</v>
      </c>
      <c r="H18" s="383"/>
      <c r="I18" s="384"/>
      <c r="J18" s="383"/>
      <c r="U18" s="383"/>
      <c r="Z18" s="364"/>
    </row>
    <row r="19" spans="2:26" ht="15.75">
      <c r="B19">
        <v>1</v>
      </c>
      <c r="C19" s="363"/>
      <c r="D19" s="363"/>
      <c r="E19" s="363"/>
      <c r="F19" s="384"/>
      <c r="G19" s="364"/>
      <c r="H19" s="379" t="s">
        <v>56</v>
      </c>
      <c r="I19" s="364"/>
      <c r="J19" s="379" t="s">
        <v>57</v>
      </c>
      <c r="U19" s="379" t="s">
        <v>58</v>
      </c>
      <c r="Z19" s="364"/>
    </row>
    <row r="20" spans="2:26" ht="15.75">
      <c r="B20">
        <v>1</v>
      </c>
      <c r="C20" s="363"/>
      <c r="D20" s="363"/>
      <c r="E20" s="363"/>
      <c r="F20" s="384"/>
      <c r="G20" s="364"/>
      <c r="H20" s="364"/>
      <c r="I20" s="364"/>
      <c r="J20" s="364"/>
      <c r="U20" s="364"/>
      <c r="Z20" s="364"/>
    </row>
    <row r="21" spans="2:26" ht="15.75">
      <c r="B21">
        <v>1</v>
      </c>
      <c r="C21" s="374"/>
      <c r="D21" s="374"/>
      <c r="E21" s="374"/>
      <c r="F21" s="385"/>
      <c r="G21" s="375"/>
      <c r="H21" s="385"/>
      <c r="I21" s="375"/>
      <c r="J21" s="375"/>
      <c r="U21" s="385"/>
      <c r="Z21" s="375"/>
    </row>
    <row r="22" spans="2:26" ht="15.75">
      <c r="B22">
        <v>1</v>
      </c>
      <c r="C22" s="357" t="s">
        <v>59</v>
      </c>
      <c r="D22" s="357" t="s">
        <v>60</v>
      </c>
      <c r="E22" s="357" t="s">
        <v>61</v>
      </c>
      <c r="F22" s="357" t="s">
        <v>62</v>
      </c>
      <c r="G22" s="357" t="s">
        <v>63</v>
      </c>
      <c r="H22" s="378" t="s">
        <v>64</v>
      </c>
      <c r="I22" s="357" t="s">
        <v>65</v>
      </c>
      <c r="J22" s="379" t="s">
        <v>66</v>
      </c>
      <c r="U22" s="357" t="s">
        <v>67</v>
      </c>
      <c r="Z22" s="379" t="s">
        <v>68</v>
      </c>
    </row>
    <row r="23" spans="2:26" ht="15.75">
      <c r="B23">
        <v>1</v>
      </c>
      <c r="C23" s="363"/>
      <c r="D23" s="363"/>
      <c r="E23" s="363"/>
      <c r="F23" s="363"/>
      <c r="G23" s="363"/>
      <c r="H23" s="380"/>
      <c r="I23" s="363"/>
      <c r="J23" s="379" t="s">
        <v>69</v>
      </c>
      <c r="U23" s="363"/>
      <c r="Z23" s="379" t="s">
        <v>70</v>
      </c>
    </row>
    <row r="24" spans="2:26" ht="15.75">
      <c r="B24">
        <v>1</v>
      </c>
      <c r="C24" s="363"/>
      <c r="D24" s="363"/>
      <c r="E24" s="363"/>
      <c r="F24" s="363"/>
      <c r="G24" s="363"/>
      <c r="H24" s="380"/>
      <c r="I24" s="363"/>
      <c r="J24" s="379" t="s">
        <v>71</v>
      </c>
      <c r="U24" s="363"/>
      <c r="Z24" s="379" t="s">
        <v>72</v>
      </c>
    </row>
    <row r="25" spans="2:26" ht="15.75">
      <c r="B25">
        <v>1</v>
      </c>
      <c r="C25" s="363"/>
      <c r="D25" s="363"/>
      <c r="E25" s="363"/>
      <c r="F25" s="363"/>
      <c r="G25" s="363"/>
      <c r="H25" s="380"/>
      <c r="I25" s="363"/>
      <c r="J25" s="379" t="s">
        <v>73</v>
      </c>
      <c r="U25" s="363"/>
      <c r="Z25" s="379" t="s">
        <v>74</v>
      </c>
    </row>
    <row r="26" spans="2:26" ht="15.75">
      <c r="B26">
        <v>1</v>
      </c>
      <c r="C26" s="363"/>
      <c r="D26" s="363"/>
      <c r="E26" s="363"/>
      <c r="F26" s="363"/>
      <c r="G26" s="363"/>
      <c r="H26" s="380"/>
      <c r="I26" s="363"/>
      <c r="J26" s="379" t="s">
        <v>75</v>
      </c>
      <c r="U26" s="363"/>
      <c r="Z26" s="379" t="s">
        <v>76</v>
      </c>
    </row>
    <row r="27" spans="2:26" ht="15.75">
      <c r="B27">
        <v>1</v>
      </c>
      <c r="C27" s="374"/>
      <c r="D27" s="374"/>
      <c r="E27" s="374"/>
      <c r="F27" s="374"/>
      <c r="G27" s="374"/>
      <c r="H27" s="381"/>
      <c r="I27" s="374"/>
      <c r="J27" s="382" t="s">
        <v>77</v>
      </c>
      <c r="U27" s="374"/>
      <c r="Z27" s="375"/>
    </row>
    <row r="28" spans="2:26" ht="15.75">
      <c r="B28">
        <v>1</v>
      </c>
      <c r="C28" s="357" t="s">
        <v>78</v>
      </c>
      <c r="D28" s="357" t="s">
        <v>79</v>
      </c>
      <c r="E28" s="357" t="s">
        <v>80</v>
      </c>
      <c r="F28" s="357" t="s">
        <v>81</v>
      </c>
      <c r="G28" s="379" t="s">
        <v>82</v>
      </c>
      <c r="H28" s="357" t="s">
        <v>83</v>
      </c>
      <c r="I28" s="379" t="s">
        <v>84</v>
      </c>
      <c r="J28" s="384" t="s">
        <v>85</v>
      </c>
      <c r="U28" s="378" t="s">
        <v>86</v>
      </c>
      <c r="Z28" s="379" t="s">
        <v>87</v>
      </c>
    </row>
    <row r="29" spans="2:26" ht="15.75">
      <c r="B29">
        <v>1</v>
      </c>
      <c r="C29" s="363"/>
      <c r="D29" s="363"/>
      <c r="E29" s="363"/>
      <c r="F29" s="363"/>
      <c r="G29" s="379" t="s">
        <v>88</v>
      </c>
      <c r="H29" s="363"/>
      <c r="I29" s="379" t="s">
        <v>89</v>
      </c>
      <c r="J29" s="383"/>
      <c r="U29" s="380"/>
      <c r="Z29" s="379" t="s">
        <v>90</v>
      </c>
    </row>
    <row r="30" spans="2:26" ht="15.75">
      <c r="B30">
        <v>1</v>
      </c>
      <c r="C30" s="363"/>
      <c r="D30" s="363"/>
      <c r="E30" s="363"/>
      <c r="F30" s="363"/>
      <c r="G30" s="364"/>
      <c r="H30" s="363"/>
      <c r="I30" s="364"/>
      <c r="J30" s="379" t="s">
        <v>91</v>
      </c>
      <c r="U30" s="380"/>
      <c r="Z30" s="364"/>
    </row>
    <row r="31" spans="2:26" ht="15.75">
      <c r="B31">
        <v>1</v>
      </c>
      <c r="C31" s="363"/>
      <c r="D31" s="363"/>
      <c r="E31" s="363"/>
      <c r="F31" s="363"/>
      <c r="G31" s="364"/>
      <c r="H31" s="363"/>
      <c r="I31" s="364"/>
      <c r="J31" s="379" t="s">
        <v>92</v>
      </c>
      <c r="U31" s="380"/>
      <c r="Z31" s="364"/>
    </row>
    <row r="32" spans="2:26">
      <c r="B32">
        <v>1</v>
      </c>
      <c r="C32" s="374"/>
      <c r="D32" s="374"/>
      <c r="E32" s="374"/>
      <c r="F32" s="374"/>
      <c r="G32" s="375"/>
      <c r="H32" s="374"/>
      <c r="I32" s="375"/>
      <c r="J32" s="386" t="s">
        <v>93</v>
      </c>
      <c r="U32" s="381"/>
      <c r="Z32" s="375"/>
    </row>
    <row r="33" spans="2:26" ht="15.75">
      <c r="B33">
        <v>1</v>
      </c>
      <c r="C33" s="357" t="s">
        <v>94</v>
      </c>
      <c r="D33" s="357" t="s">
        <v>95</v>
      </c>
      <c r="E33" s="357" t="s">
        <v>96</v>
      </c>
      <c r="F33" s="357" t="s">
        <v>97</v>
      </c>
      <c r="G33" s="357" t="s">
        <v>98</v>
      </c>
      <c r="H33" s="384" t="s">
        <v>99</v>
      </c>
      <c r="I33" s="384" t="s">
        <v>100</v>
      </c>
      <c r="J33" s="357" t="s">
        <v>101</v>
      </c>
      <c r="U33" s="357" t="s">
        <v>102</v>
      </c>
      <c r="Z33" s="357" t="s">
        <v>103</v>
      </c>
    </row>
    <row r="34" spans="2:26">
      <c r="B34">
        <v>1</v>
      </c>
      <c r="C34" s="363"/>
      <c r="D34" s="363"/>
      <c r="E34" s="363"/>
      <c r="F34" s="363"/>
      <c r="G34" s="363"/>
      <c r="H34" s="364"/>
      <c r="I34" s="364"/>
      <c r="J34" s="363"/>
      <c r="U34" s="363"/>
      <c r="Z34" s="363"/>
    </row>
    <row r="35" spans="2:26" ht="15.75">
      <c r="B35">
        <v>1</v>
      </c>
      <c r="C35" s="374"/>
      <c r="D35" s="374"/>
      <c r="E35" s="374"/>
      <c r="F35" s="374"/>
      <c r="G35" s="374"/>
      <c r="H35" s="385" t="s">
        <v>104</v>
      </c>
      <c r="I35" s="385" t="s">
        <v>105</v>
      </c>
      <c r="J35" s="374"/>
      <c r="U35" s="374"/>
      <c r="Z35" s="374"/>
    </row>
    <row r="36" spans="2:26" ht="15.75">
      <c r="B36">
        <v>1</v>
      </c>
      <c r="C36" s="357" t="s">
        <v>106</v>
      </c>
      <c r="D36" s="357" t="s">
        <v>107</v>
      </c>
      <c r="E36" s="384" t="s">
        <v>108</v>
      </c>
      <c r="F36" s="379" t="s">
        <v>109</v>
      </c>
      <c r="G36" s="379" t="s">
        <v>110</v>
      </c>
      <c r="H36" s="379" t="s">
        <v>111</v>
      </c>
      <c r="I36" s="379" t="s">
        <v>112</v>
      </c>
      <c r="J36" s="379" t="s">
        <v>113</v>
      </c>
      <c r="U36" s="384" t="s">
        <v>114</v>
      </c>
      <c r="Z36" s="357" t="s">
        <v>115</v>
      </c>
    </row>
    <row r="37" spans="2:26" ht="15.75">
      <c r="B37">
        <v>1</v>
      </c>
      <c r="C37" s="363"/>
      <c r="D37" s="363"/>
      <c r="E37" s="364"/>
      <c r="F37" s="379" t="s">
        <v>116</v>
      </c>
      <c r="G37" s="383"/>
      <c r="H37" s="379" t="s">
        <v>117</v>
      </c>
      <c r="I37" s="379" t="s">
        <v>118</v>
      </c>
      <c r="J37" s="379" t="s">
        <v>119</v>
      </c>
      <c r="U37" s="364"/>
      <c r="Z37" s="363"/>
    </row>
    <row r="38" spans="2:26" ht="15.75">
      <c r="B38">
        <v>1</v>
      </c>
      <c r="C38" s="363"/>
      <c r="D38" s="363"/>
      <c r="E38" s="384" t="s">
        <v>120</v>
      </c>
      <c r="F38" s="379" t="s">
        <v>121</v>
      </c>
      <c r="G38" s="379" t="s">
        <v>122</v>
      </c>
      <c r="H38" s="379" t="s">
        <v>123</v>
      </c>
      <c r="I38" s="379" t="s">
        <v>124</v>
      </c>
      <c r="J38" s="379" t="s">
        <v>125</v>
      </c>
      <c r="U38" s="384"/>
      <c r="Z38" s="363"/>
    </row>
    <row r="39" spans="2:26">
      <c r="B39">
        <v>1</v>
      </c>
      <c r="C39" s="363"/>
      <c r="D39" s="363"/>
      <c r="E39" s="364"/>
      <c r="F39" s="364"/>
      <c r="G39" s="364"/>
      <c r="H39" s="364"/>
      <c r="I39" s="364"/>
      <c r="J39" s="364"/>
      <c r="U39" s="383"/>
      <c r="Z39" s="363"/>
    </row>
    <row r="40" spans="2:26" ht="15.75">
      <c r="B40">
        <v>1</v>
      </c>
      <c r="C40" s="363"/>
      <c r="D40" s="363"/>
      <c r="E40" s="364"/>
      <c r="F40" s="364"/>
      <c r="G40" s="384" t="s">
        <v>126</v>
      </c>
      <c r="H40" s="364"/>
      <c r="I40" s="364"/>
      <c r="J40" s="364"/>
      <c r="U40" s="379" t="s">
        <v>127</v>
      </c>
      <c r="Z40" s="363"/>
    </row>
    <row r="41" spans="2:26">
      <c r="B41">
        <v>1</v>
      </c>
      <c r="C41" s="363"/>
      <c r="D41" s="363"/>
      <c r="E41" s="364"/>
      <c r="F41" s="364"/>
      <c r="G41" s="383"/>
      <c r="H41" s="364"/>
      <c r="I41" s="364"/>
      <c r="J41" s="364"/>
      <c r="U41" s="383"/>
      <c r="Z41" s="363"/>
    </row>
    <row r="42" spans="2:26" ht="15.75">
      <c r="B42">
        <v>1</v>
      </c>
      <c r="C42" s="363"/>
      <c r="D42" s="363"/>
      <c r="E42" s="364"/>
      <c r="F42" s="364"/>
      <c r="G42" s="379" t="s">
        <v>128</v>
      </c>
      <c r="H42" s="364"/>
      <c r="I42" s="364"/>
      <c r="J42" s="364"/>
      <c r="U42" s="379" t="s">
        <v>129</v>
      </c>
      <c r="Z42" s="363"/>
    </row>
    <row r="43" spans="2:26" ht="15.75">
      <c r="B43">
        <v>1</v>
      </c>
      <c r="C43" s="363"/>
      <c r="D43" s="363"/>
      <c r="E43" s="364"/>
      <c r="F43" s="364"/>
      <c r="G43" s="379" t="s">
        <v>130</v>
      </c>
      <c r="H43" s="364"/>
      <c r="I43" s="364"/>
      <c r="J43" s="364"/>
      <c r="U43" s="364"/>
      <c r="Z43" s="363"/>
    </row>
    <row r="44" spans="2:26" ht="15.75">
      <c r="B44">
        <v>1</v>
      </c>
      <c r="C44" s="363"/>
      <c r="D44" s="363"/>
      <c r="E44" s="364"/>
      <c r="F44" s="364"/>
      <c r="G44" s="379" t="s">
        <v>131</v>
      </c>
      <c r="H44" s="364"/>
      <c r="I44" s="364"/>
      <c r="J44" s="364"/>
      <c r="U44" s="364"/>
      <c r="Z44" s="363"/>
    </row>
    <row r="45" spans="2:26">
      <c r="B45">
        <v>1</v>
      </c>
      <c r="C45" s="363"/>
      <c r="D45" s="363"/>
      <c r="E45" s="364"/>
      <c r="F45" s="364"/>
      <c r="G45" s="364"/>
      <c r="H45" s="364"/>
      <c r="I45" s="364"/>
      <c r="J45" s="364"/>
      <c r="U45" s="364"/>
      <c r="Z45" s="363"/>
    </row>
    <row r="46" spans="2:26" ht="15.75">
      <c r="B46">
        <v>1</v>
      </c>
      <c r="C46" s="363"/>
      <c r="D46" s="363"/>
      <c r="E46" s="364"/>
      <c r="F46" s="364"/>
      <c r="G46" s="384" t="s">
        <v>132</v>
      </c>
      <c r="H46" s="364"/>
      <c r="I46" s="364"/>
      <c r="J46" s="364"/>
      <c r="U46" s="364"/>
      <c r="Z46" s="363"/>
    </row>
    <row r="47" spans="2:26">
      <c r="B47">
        <v>1</v>
      </c>
      <c r="C47" s="363"/>
      <c r="D47" s="363"/>
      <c r="E47" s="364"/>
      <c r="F47" s="364"/>
      <c r="G47" s="383"/>
      <c r="H47" s="364"/>
      <c r="I47" s="364"/>
      <c r="J47" s="364"/>
      <c r="U47" s="364"/>
      <c r="Z47" s="363"/>
    </row>
    <row r="48" spans="2:26" ht="15.75">
      <c r="B48">
        <v>1</v>
      </c>
      <c r="C48" s="363"/>
      <c r="D48" s="363"/>
      <c r="E48" s="364"/>
      <c r="F48" s="364"/>
      <c r="G48" s="379" t="s">
        <v>133</v>
      </c>
      <c r="H48" s="364"/>
      <c r="I48" s="364"/>
      <c r="J48" s="364"/>
      <c r="U48" s="364"/>
      <c r="Z48" s="363"/>
    </row>
    <row r="49" spans="2:26" ht="15.75">
      <c r="B49">
        <v>1</v>
      </c>
      <c r="C49" s="363"/>
      <c r="D49" s="363"/>
      <c r="E49" s="364"/>
      <c r="F49" s="364"/>
      <c r="G49" s="379" t="s">
        <v>134</v>
      </c>
      <c r="H49" s="364"/>
      <c r="I49" s="364"/>
      <c r="J49" s="364"/>
      <c r="U49" s="364"/>
      <c r="Z49" s="363"/>
    </row>
    <row r="50" spans="2:26" ht="15.75">
      <c r="B50">
        <v>1</v>
      </c>
      <c r="C50" s="363"/>
      <c r="D50" s="363"/>
      <c r="E50" s="364"/>
      <c r="F50" s="364"/>
      <c r="G50" s="379" t="s">
        <v>135</v>
      </c>
      <c r="H50" s="364"/>
      <c r="I50" s="364"/>
      <c r="J50" s="364"/>
      <c r="U50" s="364"/>
      <c r="Z50" s="363"/>
    </row>
    <row r="51" spans="2:26">
      <c r="B51">
        <v>1</v>
      </c>
      <c r="C51" s="363"/>
      <c r="D51" s="363"/>
      <c r="E51" s="364"/>
      <c r="F51" s="364"/>
      <c r="G51" s="364"/>
      <c r="H51" s="364"/>
      <c r="I51" s="364"/>
      <c r="J51" s="364"/>
      <c r="U51" s="364"/>
      <c r="Z51" s="363"/>
    </row>
    <row r="52" spans="2:26" ht="15.75">
      <c r="B52">
        <v>1</v>
      </c>
      <c r="C52" s="374"/>
      <c r="D52" s="374"/>
      <c r="E52" s="375"/>
      <c r="F52" s="375"/>
      <c r="G52" s="385"/>
      <c r="H52" s="375"/>
      <c r="I52" s="375"/>
      <c r="J52" s="375"/>
      <c r="U52" s="375"/>
      <c r="Z52" s="374"/>
    </row>
    <row r="53" spans="2:26" ht="15.75">
      <c r="B53">
        <v>1</v>
      </c>
      <c r="C53" s="357" t="s">
        <v>106</v>
      </c>
      <c r="D53" s="357" t="s">
        <v>136</v>
      </c>
      <c r="E53" s="357" t="s">
        <v>137</v>
      </c>
      <c r="F53" s="379" t="s">
        <v>138</v>
      </c>
      <c r="G53" s="379" t="s">
        <v>139</v>
      </c>
      <c r="H53" s="379" t="s">
        <v>140</v>
      </c>
      <c r="I53" s="379" t="s">
        <v>141</v>
      </c>
      <c r="J53" s="379" t="s">
        <v>142</v>
      </c>
      <c r="U53" s="378" t="s">
        <v>143</v>
      </c>
      <c r="Z53" s="357" t="s">
        <v>144</v>
      </c>
    </row>
    <row r="54" spans="2:26" ht="15.75">
      <c r="B54">
        <v>1</v>
      </c>
      <c r="C54" s="363"/>
      <c r="D54" s="363"/>
      <c r="E54" s="363"/>
      <c r="F54" s="379" t="s">
        <v>145</v>
      </c>
      <c r="G54" s="379" t="s">
        <v>146</v>
      </c>
      <c r="H54" s="379" t="s">
        <v>147</v>
      </c>
      <c r="I54" s="379" t="s">
        <v>148</v>
      </c>
      <c r="J54" s="379" t="s">
        <v>149</v>
      </c>
      <c r="U54" s="380"/>
      <c r="Z54" s="363"/>
    </row>
    <row r="55" spans="2:26" ht="15.75">
      <c r="B55">
        <v>1</v>
      </c>
      <c r="C55" s="363"/>
      <c r="D55" s="363"/>
      <c r="E55" s="363"/>
      <c r="F55" s="379" t="s">
        <v>150</v>
      </c>
      <c r="G55" s="379" t="s">
        <v>151</v>
      </c>
      <c r="H55" s="379" t="s">
        <v>152</v>
      </c>
      <c r="I55" s="379" t="s">
        <v>153</v>
      </c>
      <c r="J55" s="379" t="s">
        <v>154</v>
      </c>
      <c r="U55" s="380"/>
      <c r="Z55" s="363"/>
    </row>
    <row r="56" spans="2:26" ht="15.75">
      <c r="B56">
        <v>1</v>
      </c>
      <c r="C56" s="374"/>
      <c r="D56" s="374"/>
      <c r="E56" s="374"/>
      <c r="F56" s="375"/>
      <c r="G56" s="375"/>
      <c r="H56" s="375"/>
      <c r="I56" s="382" t="s">
        <v>155</v>
      </c>
      <c r="J56" s="382" t="s">
        <v>156</v>
      </c>
      <c r="U56" s="381"/>
      <c r="Z56" s="374"/>
    </row>
    <row r="57" spans="2:26" ht="15.75">
      <c r="B57">
        <v>1</v>
      </c>
      <c r="C57" s="357" t="s">
        <v>106</v>
      </c>
      <c r="D57" s="384" t="s">
        <v>157</v>
      </c>
      <c r="E57" s="357" t="s">
        <v>158</v>
      </c>
      <c r="F57" s="379" t="s">
        <v>159</v>
      </c>
      <c r="G57" s="379" t="s">
        <v>160</v>
      </c>
      <c r="H57" s="379" t="s">
        <v>161</v>
      </c>
      <c r="I57" s="379" t="s">
        <v>162</v>
      </c>
      <c r="J57" s="379" t="s">
        <v>163</v>
      </c>
      <c r="U57" s="379" t="s">
        <v>164</v>
      </c>
      <c r="Z57" s="379" t="s">
        <v>165</v>
      </c>
    </row>
    <row r="58" spans="2:26" ht="15.75">
      <c r="B58">
        <v>1</v>
      </c>
      <c r="C58" s="363"/>
      <c r="D58" s="364"/>
      <c r="E58" s="363"/>
      <c r="F58" s="379" t="s">
        <v>166</v>
      </c>
      <c r="G58" s="379" t="s">
        <v>167</v>
      </c>
      <c r="H58" s="379" t="s">
        <v>168</v>
      </c>
      <c r="I58" s="379" t="s">
        <v>169</v>
      </c>
      <c r="J58" s="379" t="s">
        <v>170</v>
      </c>
      <c r="U58" s="379" t="s">
        <v>171</v>
      </c>
      <c r="Z58" s="379" t="s">
        <v>172</v>
      </c>
    </row>
    <row r="59" spans="2:26" ht="15.75">
      <c r="B59">
        <v>1</v>
      </c>
      <c r="C59" s="363"/>
      <c r="D59" s="384" t="s">
        <v>173</v>
      </c>
      <c r="E59" s="363"/>
      <c r="F59" s="379" t="s">
        <v>174</v>
      </c>
      <c r="G59" s="379" t="s">
        <v>175</v>
      </c>
      <c r="H59" s="379" t="s">
        <v>176</v>
      </c>
      <c r="I59" s="364"/>
      <c r="J59" s="364"/>
      <c r="U59" s="379" t="s">
        <v>177</v>
      </c>
      <c r="Z59" s="364"/>
    </row>
    <row r="60" spans="2:26" ht="15.75">
      <c r="B60">
        <v>1</v>
      </c>
      <c r="C60" s="374"/>
      <c r="D60" s="375"/>
      <c r="E60" s="374"/>
      <c r="F60" s="375"/>
      <c r="G60" s="382" t="s">
        <v>178</v>
      </c>
      <c r="H60" s="375"/>
      <c r="I60" s="375"/>
      <c r="J60" s="375"/>
      <c r="U60" s="382" t="s">
        <v>179</v>
      </c>
      <c r="Z60" s="375"/>
    </row>
    <row r="61" spans="2:26" ht="15.75">
      <c r="B61">
        <v>1</v>
      </c>
      <c r="C61" s="357" t="s">
        <v>180</v>
      </c>
      <c r="D61" s="357" t="s">
        <v>181</v>
      </c>
      <c r="E61" s="357" t="s">
        <v>182</v>
      </c>
      <c r="F61" s="379" t="s">
        <v>183</v>
      </c>
      <c r="G61" s="379" t="s">
        <v>184</v>
      </c>
      <c r="H61" s="379" t="s">
        <v>185</v>
      </c>
      <c r="I61" s="379" t="s">
        <v>186</v>
      </c>
      <c r="J61" s="379" t="s">
        <v>187</v>
      </c>
      <c r="U61" s="378" t="s">
        <v>188</v>
      </c>
      <c r="Z61" s="378" t="s">
        <v>189</v>
      </c>
    </row>
    <row r="62" spans="2:26" ht="15.75">
      <c r="B62">
        <v>1</v>
      </c>
      <c r="C62" s="374"/>
      <c r="D62" s="374"/>
      <c r="E62" s="374"/>
      <c r="F62" s="382" t="s">
        <v>190</v>
      </c>
      <c r="G62" s="382" t="s">
        <v>191</v>
      </c>
      <c r="H62" s="382" t="s">
        <v>192</v>
      </c>
      <c r="I62" s="382" t="s">
        <v>193</v>
      </c>
      <c r="J62" s="382" t="s">
        <v>194</v>
      </c>
      <c r="U62" s="381"/>
      <c r="Z62" s="381"/>
    </row>
    <row r="63" spans="2:26" ht="15.75">
      <c r="B63">
        <v>1</v>
      </c>
      <c r="C63" s="357" t="s">
        <v>195</v>
      </c>
      <c r="D63" s="357" t="s">
        <v>196</v>
      </c>
      <c r="E63" s="378" t="s">
        <v>197</v>
      </c>
      <c r="F63" s="379" t="s">
        <v>198</v>
      </c>
      <c r="G63" s="379" t="s">
        <v>199</v>
      </c>
      <c r="H63" s="379" t="s">
        <v>200</v>
      </c>
      <c r="I63" s="379" t="s">
        <v>201</v>
      </c>
      <c r="J63" s="379" t="s">
        <v>202</v>
      </c>
      <c r="U63" s="379" t="s">
        <v>203</v>
      </c>
      <c r="Z63" s="379" t="s">
        <v>204</v>
      </c>
    </row>
    <row r="64" spans="2:26" ht="15.75">
      <c r="B64">
        <v>1</v>
      </c>
      <c r="C64" s="363"/>
      <c r="D64" s="363"/>
      <c r="E64" s="380"/>
      <c r="F64" s="379" t="s">
        <v>205</v>
      </c>
      <c r="G64" s="379" t="s">
        <v>206</v>
      </c>
      <c r="H64" s="379" t="s">
        <v>207</v>
      </c>
      <c r="I64" s="379" t="s">
        <v>208</v>
      </c>
      <c r="J64" s="379" t="s">
        <v>209</v>
      </c>
      <c r="U64" s="379" t="s">
        <v>210</v>
      </c>
      <c r="Z64" s="379" t="s">
        <v>211</v>
      </c>
    </row>
    <row r="65" spans="2:26" ht="15.75">
      <c r="B65">
        <v>1</v>
      </c>
      <c r="C65" s="363"/>
      <c r="D65" s="363"/>
      <c r="E65" s="380"/>
      <c r="F65" s="379" t="s">
        <v>212</v>
      </c>
      <c r="G65" s="364"/>
      <c r="H65" s="364"/>
      <c r="I65" s="379" t="s">
        <v>213</v>
      </c>
      <c r="J65" s="379" t="s">
        <v>214</v>
      </c>
      <c r="U65" s="364"/>
      <c r="Z65" s="379" t="s">
        <v>215</v>
      </c>
    </row>
    <row r="66" spans="2:26" ht="15.75">
      <c r="B66">
        <v>1</v>
      </c>
      <c r="C66" s="363"/>
      <c r="D66" s="363"/>
      <c r="E66" s="380"/>
      <c r="F66" s="364"/>
      <c r="G66" s="364"/>
      <c r="H66" s="364"/>
      <c r="I66" s="364"/>
      <c r="J66" s="364"/>
      <c r="U66" s="364"/>
      <c r="Z66" s="379" t="s">
        <v>216</v>
      </c>
    </row>
    <row r="67" spans="2:26" ht="15.75">
      <c r="B67">
        <v>1</v>
      </c>
      <c r="C67" s="374"/>
      <c r="D67" s="374"/>
      <c r="E67" s="381"/>
      <c r="F67" s="375"/>
      <c r="G67" s="375"/>
      <c r="H67" s="375"/>
      <c r="I67" s="375"/>
      <c r="J67" s="375"/>
      <c r="U67" s="375"/>
      <c r="Z67" s="382" t="s">
        <v>217</v>
      </c>
    </row>
    <row r="68" spans="2:26" ht="15.75">
      <c r="B68">
        <v>1</v>
      </c>
      <c r="C68" s="357" t="s">
        <v>195</v>
      </c>
      <c r="D68" s="387" t="s">
        <v>218</v>
      </c>
      <c r="E68" s="357" t="s">
        <v>219</v>
      </c>
      <c r="F68" s="357" t="s">
        <v>220</v>
      </c>
      <c r="G68" s="378" t="s">
        <v>221</v>
      </c>
      <c r="H68" s="378" t="s">
        <v>222</v>
      </c>
      <c r="I68" s="379" t="s">
        <v>223</v>
      </c>
      <c r="J68" s="357" t="s">
        <v>224</v>
      </c>
      <c r="U68" s="357" t="s">
        <v>225</v>
      </c>
      <c r="Z68" s="379" t="s">
        <v>226</v>
      </c>
    </row>
    <row r="69" spans="2:26" ht="15.75">
      <c r="B69">
        <v>1</v>
      </c>
      <c r="C69" s="363"/>
      <c r="D69" s="364"/>
      <c r="E69" s="363"/>
      <c r="F69" s="363"/>
      <c r="G69" s="380"/>
      <c r="H69" s="380"/>
      <c r="I69" s="379" t="s">
        <v>227</v>
      </c>
      <c r="J69" s="363"/>
      <c r="U69" s="363"/>
      <c r="Z69" s="379" t="s">
        <v>228</v>
      </c>
    </row>
    <row r="70" spans="2:26" ht="15.75">
      <c r="B70">
        <v>1</v>
      </c>
      <c r="C70" s="363"/>
      <c r="D70" s="387" t="s">
        <v>229</v>
      </c>
      <c r="E70" s="363"/>
      <c r="F70" s="363"/>
      <c r="G70" s="380"/>
      <c r="H70" s="380"/>
      <c r="I70" s="379" t="s">
        <v>230</v>
      </c>
      <c r="J70" s="363"/>
      <c r="U70" s="363"/>
      <c r="Z70" s="379" t="s">
        <v>231</v>
      </c>
    </row>
    <row r="71" spans="2:26" ht="15.75">
      <c r="B71">
        <v>1</v>
      </c>
      <c r="C71" s="363"/>
      <c r="D71" s="364"/>
      <c r="E71" s="363"/>
      <c r="F71" s="363"/>
      <c r="G71" s="380"/>
      <c r="H71" s="380"/>
      <c r="I71" s="379" t="s">
        <v>232</v>
      </c>
      <c r="J71" s="363"/>
      <c r="U71" s="363"/>
      <c r="Z71" s="379" t="s">
        <v>233</v>
      </c>
    </row>
    <row r="72" spans="2:26" ht="15.75">
      <c r="B72">
        <v>1</v>
      </c>
      <c r="C72" s="363"/>
      <c r="D72" s="387" t="s">
        <v>234</v>
      </c>
      <c r="E72" s="363"/>
      <c r="F72" s="363"/>
      <c r="G72" s="380"/>
      <c r="H72" s="380"/>
      <c r="I72" s="364"/>
      <c r="J72" s="363"/>
      <c r="U72" s="363"/>
      <c r="Z72" s="379" t="s">
        <v>235</v>
      </c>
    </row>
    <row r="73" spans="2:26" ht="15.75">
      <c r="B73">
        <v>1</v>
      </c>
      <c r="C73" s="363"/>
      <c r="D73" s="364"/>
      <c r="E73" s="363"/>
      <c r="F73" s="363"/>
      <c r="G73" s="380"/>
      <c r="H73" s="380"/>
      <c r="I73" s="364"/>
      <c r="J73" s="363"/>
      <c r="U73" s="363"/>
      <c r="Z73" s="379" t="s">
        <v>236</v>
      </c>
    </row>
    <row r="74" spans="2:26">
      <c r="B74">
        <v>1</v>
      </c>
      <c r="C74" s="374"/>
      <c r="D74" s="388" t="s">
        <v>237</v>
      </c>
      <c r="E74" s="374"/>
      <c r="F74" s="374"/>
      <c r="G74" s="381"/>
      <c r="H74" s="381"/>
      <c r="I74" s="375"/>
      <c r="J74" s="374"/>
      <c r="U74" s="374"/>
      <c r="Z74" s="375"/>
    </row>
    <row r="75" spans="2:26" ht="15.75">
      <c r="B75">
        <v>1</v>
      </c>
      <c r="C75" s="357" t="s">
        <v>238</v>
      </c>
      <c r="D75" s="387" t="s">
        <v>239</v>
      </c>
      <c r="E75" s="357" t="s">
        <v>240</v>
      </c>
      <c r="F75" s="379" t="s">
        <v>241</v>
      </c>
      <c r="G75" s="379" t="s">
        <v>242</v>
      </c>
      <c r="H75" s="357" t="s">
        <v>243</v>
      </c>
      <c r="I75" s="379" t="s">
        <v>244</v>
      </c>
      <c r="J75" s="379" t="s">
        <v>245</v>
      </c>
      <c r="U75" s="379" t="s">
        <v>246</v>
      </c>
      <c r="Z75" s="379" t="s">
        <v>247</v>
      </c>
    </row>
    <row r="76" spans="2:26" ht="15.75">
      <c r="B76">
        <v>1</v>
      </c>
      <c r="C76" s="363"/>
      <c r="D76" s="364"/>
      <c r="E76" s="363"/>
      <c r="F76" s="379" t="s">
        <v>248</v>
      </c>
      <c r="G76" s="379" t="s">
        <v>249</v>
      </c>
      <c r="H76" s="363"/>
      <c r="I76" s="379" t="s">
        <v>250</v>
      </c>
      <c r="J76" s="379" t="s">
        <v>251</v>
      </c>
      <c r="U76" s="379" t="s">
        <v>252</v>
      </c>
      <c r="Z76" s="379" t="s">
        <v>253</v>
      </c>
    </row>
    <row r="77" spans="2:26" ht="15.75">
      <c r="B77">
        <v>1</v>
      </c>
      <c r="C77" s="363"/>
      <c r="D77" s="387" t="s">
        <v>254</v>
      </c>
      <c r="E77" s="363"/>
      <c r="F77" s="364"/>
      <c r="G77" s="364"/>
      <c r="H77" s="363"/>
      <c r="I77" s="379" t="s">
        <v>255</v>
      </c>
      <c r="J77" s="364"/>
      <c r="U77" s="379" t="s">
        <v>256</v>
      </c>
      <c r="Z77" s="364"/>
    </row>
    <row r="78" spans="2:26">
      <c r="B78">
        <v>1</v>
      </c>
      <c r="C78" s="363"/>
      <c r="D78" s="364"/>
      <c r="E78" s="363"/>
      <c r="F78" s="364"/>
      <c r="G78" s="364"/>
      <c r="H78" s="363"/>
      <c r="I78" s="364"/>
      <c r="J78" s="364"/>
      <c r="U78" s="364"/>
      <c r="Z78" s="364"/>
    </row>
    <row r="79" spans="2:26">
      <c r="B79">
        <v>1</v>
      </c>
      <c r="C79" s="363"/>
      <c r="D79" s="387" t="s">
        <v>257</v>
      </c>
      <c r="E79" s="363"/>
      <c r="F79" s="364"/>
      <c r="G79" s="364"/>
      <c r="H79" s="363"/>
      <c r="I79" s="364"/>
      <c r="J79" s="364"/>
      <c r="U79" s="364"/>
      <c r="Z79" s="364"/>
    </row>
    <row r="80" spans="2:26">
      <c r="B80">
        <v>1</v>
      </c>
      <c r="C80" s="363"/>
      <c r="D80" s="364"/>
      <c r="E80" s="363"/>
      <c r="F80" s="364"/>
      <c r="G80" s="364"/>
      <c r="H80" s="363"/>
      <c r="I80" s="364"/>
      <c r="J80" s="364"/>
      <c r="U80" s="364"/>
      <c r="Z80" s="364"/>
    </row>
    <row r="81" spans="2:26">
      <c r="B81">
        <v>1</v>
      </c>
      <c r="C81" s="374"/>
      <c r="D81" s="388" t="s">
        <v>258</v>
      </c>
      <c r="E81" s="374"/>
      <c r="F81" s="375"/>
      <c r="G81" s="375"/>
      <c r="H81" s="374"/>
      <c r="I81" s="375"/>
      <c r="J81" s="375"/>
      <c r="U81" s="375"/>
      <c r="Z81" s="375"/>
    </row>
    <row r="82" spans="2:26" ht="15.75">
      <c r="B82">
        <v>1</v>
      </c>
      <c r="C82" s="357" t="s">
        <v>259</v>
      </c>
      <c r="D82" s="387" t="s">
        <v>260</v>
      </c>
      <c r="E82" s="357" t="s">
        <v>261</v>
      </c>
      <c r="F82" s="379" t="s">
        <v>262</v>
      </c>
      <c r="G82" s="379" t="s">
        <v>263</v>
      </c>
      <c r="H82" s="379" t="s">
        <v>264</v>
      </c>
      <c r="I82" s="379" t="s">
        <v>265</v>
      </c>
      <c r="J82" s="379" t="s">
        <v>266</v>
      </c>
      <c r="U82" s="379" t="s">
        <v>267</v>
      </c>
      <c r="Z82" s="379" t="s">
        <v>268</v>
      </c>
    </row>
    <row r="83" spans="2:26" ht="15.75">
      <c r="B83">
        <v>1</v>
      </c>
      <c r="C83" s="363"/>
      <c r="D83" s="364"/>
      <c r="E83" s="363"/>
      <c r="F83" s="379" t="s">
        <v>269</v>
      </c>
      <c r="G83" s="379" t="s">
        <v>270</v>
      </c>
      <c r="H83" s="379" t="s">
        <v>271</v>
      </c>
      <c r="I83" s="383"/>
      <c r="J83" s="379" t="s">
        <v>272</v>
      </c>
      <c r="U83" s="379" t="s">
        <v>273</v>
      </c>
      <c r="Z83" s="379" t="s">
        <v>274</v>
      </c>
    </row>
    <row r="84" spans="2:26" ht="15.75">
      <c r="B84">
        <v>1</v>
      </c>
      <c r="C84" s="363"/>
      <c r="D84" s="387" t="s">
        <v>275</v>
      </c>
      <c r="E84" s="363"/>
      <c r="F84" s="379" t="s">
        <v>276</v>
      </c>
      <c r="G84" s="379" t="s">
        <v>277</v>
      </c>
      <c r="H84" s="379" t="s">
        <v>278</v>
      </c>
      <c r="I84" s="379" t="s">
        <v>279</v>
      </c>
      <c r="J84" s="364"/>
      <c r="U84" s="364"/>
      <c r="Z84" s="364"/>
    </row>
    <row r="85" spans="2:26" ht="15.75">
      <c r="B85">
        <v>1</v>
      </c>
      <c r="C85" s="363"/>
      <c r="D85" s="364"/>
      <c r="E85" s="363"/>
      <c r="F85" s="364"/>
      <c r="G85" s="364"/>
      <c r="H85" s="364"/>
      <c r="I85" s="379" t="s">
        <v>276</v>
      </c>
      <c r="J85" s="364"/>
      <c r="U85" s="379" t="s">
        <v>280</v>
      </c>
      <c r="Z85" s="364"/>
    </row>
    <row r="86" spans="2:26">
      <c r="B86">
        <v>1</v>
      </c>
      <c r="C86" s="374"/>
      <c r="D86" s="388" t="s">
        <v>281</v>
      </c>
      <c r="E86" s="374"/>
      <c r="F86" s="375"/>
      <c r="G86" s="375"/>
      <c r="H86" s="375"/>
      <c r="I86" s="375"/>
      <c r="J86" s="375"/>
      <c r="U86" s="375"/>
      <c r="Z86" s="375"/>
    </row>
    <row r="87" spans="2:26" ht="15.75">
      <c r="B87">
        <v>1</v>
      </c>
      <c r="C87" s="357" t="s">
        <v>282</v>
      </c>
      <c r="D87" s="387" t="s">
        <v>283</v>
      </c>
      <c r="E87" s="357" t="s">
        <v>284</v>
      </c>
      <c r="F87" s="379" t="s">
        <v>285</v>
      </c>
      <c r="G87" s="379" t="s">
        <v>286</v>
      </c>
      <c r="H87" s="379" t="s">
        <v>287</v>
      </c>
      <c r="I87" s="384" t="s">
        <v>288</v>
      </c>
      <c r="J87" s="384" t="s">
        <v>289</v>
      </c>
      <c r="U87" s="379" t="s">
        <v>290</v>
      </c>
      <c r="Z87" s="384" t="s">
        <v>291</v>
      </c>
    </row>
    <row r="88" spans="2:26" ht="15.75">
      <c r="B88">
        <v>1</v>
      </c>
      <c r="C88" s="363"/>
      <c r="D88" s="364"/>
      <c r="E88" s="363"/>
      <c r="F88" s="379" t="s">
        <v>292</v>
      </c>
      <c r="G88" s="379" t="s">
        <v>293</v>
      </c>
      <c r="H88" s="379" t="s">
        <v>294</v>
      </c>
      <c r="I88" s="364"/>
      <c r="J88" s="364"/>
      <c r="U88" s="364"/>
      <c r="Z88" s="364"/>
    </row>
    <row r="89" spans="2:26" ht="15.75">
      <c r="B89">
        <v>1</v>
      </c>
      <c r="C89" s="363"/>
      <c r="D89" s="387" t="s">
        <v>295</v>
      </c>
      <c r="E89" s="363"/>
      <c r="F89" s="379" t="s">
        <v>296</v>
      </c>
      <c r="G89" s="379" t="s">
        <v>297</v>
      </c>
      <c r="H89" s="379" t="s">
        <v>298</v>
      </c>
      <c r="I89" s="384"/>
      <c r="J89" s="384" t="s">
        <v>299</v>
      </c>
      <c r="U89" s="384" t="s">
        <v>300</v>
      </c>
      <c r="Z89" s="384" t="s">
        <v>301</v>
      </c>
    </row>
    <row r="90" spans="2:26">
      <c r="B90">
        <v>1</v>
      </c>
      <c r="C90" s="363"/>
      <c r="D90" s="364"/>
      <c r="E90" s="363"/>
      <c r="F90" s="364"/>
      <c r="G90" s="364"/>
      <c r="H90" s="364"/>
      <c r="I90" s="364"/>
      <c r="J90" s="364"/>
      <c r="U90" s="364"/>
      <c r="Z90" s="364"/>
    </row>
    <row r="91" spans="2:26" ht="15.75">
      <c r="B91">
        <v>1</v>
      </c>
      <c r="C91" s="363"/>
      <c r="D91" s="387" t="s">
        <v>302</v>
      </c>
      <c r="E91" s="363"/>
      <c r="F91" s="364"/>
      <c r="G91" s="364"/>
      <c r="H91" s="364"/>
      <c r="I91" s="384" t="s">
        <v>303</v>
      </c>
      <c r="J91" s="384" t="s">
        <v>304</v>
      </c>
      <c r="U91" s="384"/>
      <c r="Z91" s="384" t="s">
        <v>305</v>
      </c>
    </row>
    <row r="92" spans="2:26">
      <c r="B92">
        <v>1</v>
      </c>
      <c r="C92" s="363"/>
      <c r="D92" s="364"/>
      <c r="E92" s="363"/>
      <c r="F92" s="364"/>
      <c r="G92" s="364"/>
      <c r="H92" s="364"/>
      <c r="I92" s="364"/>
      <c r="J92" s="364"/>
      <c r="U92" s="364"/>
      <c r="Z92" s="364"/>
    </row>
    <row r="93" spans="2:26" ht="15.75">
      <c r="B93">
        <v>1</v>
      </c>
      <c r="C93" s="363"/>
      <c r="D93" s="387" t="s">
        <v>306</v>
      </c>
      <c r="E93" s="363"/>
      <c r="F93" s="364"/>
      <c r="G93" s="364"/>
      <c r="H93" s="364"/>
      <c r="I93" s="384"/>
      <c r="J93" s="364"/>
      <c r="U93" s="384" t="s">
        <v>307</v>
      </c>
      <c r="Z93" s="384" t="s">
        <v>308</v>
      </c>
    </row>
    <row r="94" spans="2:26">
      <c r="B94">
        <v>1</v>
      </c>
      <c r="C94" s="363"/>
      <c r="D94" s="364"/>
      <c r="E94" s="363"/>
      <c r="F94" s="364"/>
      <c r="G94" s="364"/>
      <c r="H94" s="364"/>
      <c r="I94" s="364"/>
      <c r="J94" s="364"/>
      <c r="U94" s="364"/>
      <c r="Z94" s="364"/>
    </row>
    <row r="95" spans="2:26" ht="15.75">
      <c r="B95">
        <v>1</v>
      </c>
      <c r="C95" s="363"/>
      <c r="D95" s="364"/>
      <c r="E95" s="363"/>
      <c r="F95" s="364"/>
      <c r="G95" s="364"/>
      <c r="H95" s="364"/>
      <c r="I95" s="384" t="s">
        <v>309</v>
      </c>
      <c r="J95" s="364"/>
      <c r="U95" s="384"/>
      <c r="Z95" s="384" t="s">
        <v>310</v>
      </c>
    </row>
    <row r="96" spans="2:26">
      <c r="B96">
        <v>1</v>
      </c>
      <c r="C96" s="363"/>
      <c r="D96" s="364"/>
      <c r="E96" s="363"/>
      <c r="F96" s="364"/>
      <c r="G96" s="364"/>
      <c r="H96" s="364"/>
      <c r="I96" s="364"/>
      <c r="J96" s="364"/>
      <c r="U96" s="364"/>
      <c r="Z96" s="364"/>
    </row>
    <row r="97" spans="2:26" ht="15.75">
      <c r="B97">
        <v>1</v>
      </c>
      <c r="C97" s="363"/>
      <c r="D97" s="364"/>
      <c r="E97" s="363"/>
      <c r="F97" s="364"/>
      <c r="G97" s="364"/>
      <c r="H97" s="364"/>
      <c r="I97" s="364"/>
      <c r="J97" s="364"/>
      <c r="U97" s="384"/>
      <c r="Z97" s="384" t="s">
        <v>311</v>
      </c>
    </row>
    <row r="98" spans="2:26">
      <c r="B98">
        <v>1</v>
      </c>
      <c r="C98" s="363"/>
      <c r="D98" s="364"/>
      <c r="E98" s="363"/>
      <c r="F98" s="364"/>
      <c r="G98" s="364"/>
      <c r="H98" s="364"/>
      <c r="I98" s="364"/>
      <c r="J98" s="364"/>
      <c r="U98" s="364"/>
      <c r="Z98" s="364"/>
    </row>
    <row r="99" spans="2:26" ht="15.75">
      <c r="B99">
        <v>1</v>
      </c>
      <c r="C99" s="363"/>
      <c r="D99" s="364"/>
      <c r="E99" s="363"/>
      <c r="F99" s="364"/>
      <c r="G99" s="364"/>
      <c r="H99" s="364"/>
      <c r="I99" s="364"/>
      <c r="J99" s="364"/>
      <c r="U99" s="364"/>
      <c r="Z99" s="384"/>
    </row>
    <row r="100" spans="2:26">
      <c r="B100">
        <v>1</v>
      </c>
      <c r="C100" s="363"/>
      <c r="D100" s="364"/>
      <c r="E100" s="363"/>
      <c r="F100" s="364"/>
      <c r="G100" s="364"/>
      <c r="H100" s="364"/>
      <c r="I100" s="364"/>
      <c r="J100" s="364"/>
      <c r="U100" s="364"/>
      <c r="Z100" s="364"/>
    </row>
    <row r="101" spans="2:26" ht="15.75">
      <c r="B101">
        <v>1</v>
      </c>
      <c r="C101" s="363"/>
      <c r="D101" s="364"/>
      <c r="E101" s="363"/>
      <c r="F101" s="364"/>
      <c r="G101" s="364"/>
      <c r="H101" s="364"/>
      <c r="I101" s="364"/>
      <c r="J101" s="364"/>
      <c r="U101" s="364"/>
      <c r="Z101" s="384" t="s">
        <v>312</v>
      </c>
    </row>
    <row r="102" spans="2:26">
      <c r="B102">
        <v>1</v>
      </c>
      <c r="C102" s="363"/>
      <c r="D102" s="364"/>
      <c r="E102" s="363"/>
      <c r="F102" s="364"/>
      <c r="G102" s="364"/>
      <c r="H102" s="364"/>
      <c r="I102" s="364"/>
      <c r="J102" s="364"/>
      <c r="U102" s="364"/>
      <c r="Z102" s="364"/>
    </row>
    <row r="103" spans="2:26" ht="15.75">
      <c r="B103">
        <v>1</v>
      </c>
      <c r="C103" s="363"/>
      <c r="D103" s="364"/>
      <c r="E103" s="363"/>
      <c r="F103" s="364"/>
      <c r="G103" s="364"/>
      <c r="H103" s="364"/>
      <c r="I103" s="364"/>
      <c r="J103" s="364"/>
      <c r="U103" s="364"/>
      <c r="Z103" s="384"/>
    </row>
    <row r="104" spans="2:26">
      <c r="B104">
        <v>1</v>
      </c>
      <c r="C104" s="363"/>
      <c r="D104" s="364"/>
      <c r="E104" s="363"/>
      <c r="F104" s="364"/>
      <c r="G104" s="364"/>
      <c r="H104" s="364"/>
      <c r="I104" s="364"/>
      <c r="J104" s="364"/>
      <c r="U104" s="364"/>
      <c r="Z104" s="364"/>
    </row>
    <row r="105" spans="2:26" ht="15.75">
      <c r="B105">
        <v>1</v>
      </c>
      <c r="C105" s="363"/>
      <c r="D105" s="364"/>
      <c r="E105" s="363"/>
      <c r="F105" s="364"/>
      <c r="G105" s="364"/>
      <c r="H105" s="364"/>
      <c r="I105" s="364"/>
      <c r="J105" s="364"/>
      <c r="U105" s="364"/>
      <c r="Z105" s="384"/>
    </row>
    <row r="106" spans="2:26">
      <c r="B106">
        <v>1</v>
      </c>
      <c r="C106" s="363"/>
      <c r="D106" s="364"/>
      <c r="E106" s="363"/>
      <c r="F106" s="364"/>
      <c r="G106" s="364"/>
      <c r="H106" s="364"/>
      <c r="I106" s="364"/>
      <c r="J106" s="364"/>
      <c r="U106" s="364"/>
      <c r="Z106" s="364"/>
    </row>
    <row r="107" spans="2:26" ht="15.75">
      <c r="B107">
        <v>1</v>
      </c>
      <c r="C107" s="374"/>
      <c r="D107" s="375"/>
      <c r="E107" s="374"/>
      <c r="F107" s="375"/>
      <c r="G107" s="375"/>
      <c r="H107" s="375"/>
      <c r="I107" s="375"/>
      <c r="J107" s="375"/>
      <c r="U107" s="375"/>
      <c r="Z107" s="385"/>
    </row>
    <row r="108" spans="2:26" ht="15.75">
      <c r="B108">
        <v>1</v>
      </c>
      <c r="C108" s="357" t="s">
        <v>313</v>
      </c>
      <c r="D108" s="384" t="s">
        <v>314</v>
      </c>
      <c r="E108" s="357" t="s">
        <v>315</v>
      </c>
      <c r="F108" s="379" t="s">
        <v>316</v>
      </c>
      <c r="G108" s="379" t="s">
        <v>317</v>
      </c>
      <c r="H108" s="379" t="s">
        <v>318</v>
      </c>
      <c r="I108" s="379" t="s">
        <v>319</v>
      </c>
      <c r="J108" s="379" t="s">
        <v>320</v>
      </c>
      <c r="U108" s="378" t="s">
        <v>321</v>
      </c>
      <c r="Z108" s="379" t="s">
        <v>322</v>
      </c>
    </row>
    <row r="109" spans="2:26" ht="15.75">
      <c r="B109">
        <v>1</v>
      </c>
      <c r="C109" s="363"/>
      <c r="D109" s="364"/>
      <c r="E109" s="363"/>
      <c r="F109" s="379" t="s">
        <v>323</v>
      </c>
      <c r="G109" s="379" t="s">
        <v>324</v>
      </c>
      <c r="H109" s="379" t="s">
        <v>325</v>
      </c>
      <c r="I109" s="379" t="s">
        <v>326</v>
      </c>
      <c r="J109" s="379" t="s">
        <v>327</v>
      </c>
      <c r="U109" s="380"/>
      <c r="Z109" s="379" t="s">
        <v>328</v>
      </c>
    </row>
    <row r="110" spans="2:26" ht="15.75">
      <c r="B110">
        <v>1</v>
      </c>
      <c r="C110" s="363"/>
      <c r="D110" s="384" t="s">
        <v>329</v>
      </c>
      <c r="E110" s="363"/>
      <c r="F110" s="379" t="s">
        <v>330</v>
      </c>
      <c r="G110" s="379" t="s">
        <v>331</v>
      </c>
      <c r="H110" s="379" t="s">
        <v>332</v>
      </c>
      <c r="I110" s="379" t="s">
        <v>333</v>
      </c>
      <c r="J110" s="383"/>
      <c r="U110" s="380"/>
      <c r="Z110" s="379" t="s">
        <v>334</v>
      </c>
    </row>
    <row r="111" spans="2:26" ht="15.75">
      <c r="B111">
        <v>1</v>
      </c>
      <c r="C111" s="363"/>
      <c r="D111" s="364"/>
      <c r="E111" s="363"/>
      <c r="F111" s="379" t="s">
        <v>335</v>
      </c>
      <c r="G111" s="379" t="s">
        <v>336</v>
      </c>
      <c r="H111" s="379" t="s">
        <v>337</v>
      </c>
      <c r="I111" s="379" t="s">
        <v>338</v>
      </c>
      <c r="J111" s="379" t="s">
        <v>339</v>
      </c>
      <c r="U111" s="380"/>
      <c r="Z111" s="379" t="s">
        <v>340</v>
      </c>
    </row>
    <row r="112" spans="2:26" ht="15.75">
      <c r="B112">
        <v>1</v>
      </c>
      <c r="C112" s="374"/>
      <c r="D112" s="375"/>
      <c r="E112" s="374"/>
      <c r="F112" s="375"/>
      <c r="G112" s="375"/>
      <c r="H112" s="375"/>
      <c r="I112" s="375"/>
      <c r="J112" s="382" t="s">
        <v>341</v>
      </c>
      <c r="U112" s="381"/>
      <c r="Z112" s="375"/>
    </row>
    <row r="113" spans="2:26" ht="15.75">
      <c r="B113">
        <v>1</v>
      </c>
      <c r="C113" s="357" t="s">
        <v>342</v>
      </c>
      <c r="D113" s="357" t="s">
        <v>343</v>
      </c>
      <c r="E113" s="384" t="s">
        <v>344</v>
      </c>
      <c r="F113" s="379" t="s">
        <v>345</v>
      </c>
      <c r="G113" s="384" t="s">
        <v>346</v>
      </c>
      <c r="H113" s="384" t="s">
        <v>347</v>
      </c>
      <c r="I113" s="379" t="s">
        <v>348</v>
      </c>
      <c r="J113" s="379" t="s">
        <v>349</v>
      </c>
      <c r="U113" s="379" t="s">
        <v>350</v>
      </c>
      <c r="Z113" s="384" t="s">
        <v>351</v>
      </c>
    </row>
    <row r="114" spans="2:26" ht="15.75">
      <c r="B114">
        <v>1</v>
      </c>
      <c r="C114" s="363"/>
      <c r="D114" s="363"/>
      <c r="E114" s="383"/>
      <c r="F114" s="379" t="s">
        <v>352</v>
      </c>
      <c r="G114" s="383"/>
      <c r="H114" s="383"/>
      <c r="I114" s="379" t="s">
        <v>353</v>
      </c>
      <c r="J114" s="379" t="s">
        <v>354</v>
      </c>
      <c r="U114" s="379" t="s">
        <v>355</v>
      </c>
      <c r="Z114" s="364"/>
    </row>
    <row r="115" spans="2:26" ht="15.75">
      <c r="B115">
        <v>1</v>
      </c>
      <c r="C115" s="363"/>
      <c r="D115" s="363"/>
      <c r="E115" s="379" t="s">
        <v>356</v>
      </c>
      <c r="F115" s="389" t="s">
        <v>357</v>
      </c>
      <c r="G115" s="379" t="s">
        <v>358</v>
      </c>
      <c r="H115" s="379" t="s">
        <v>359</v>
      </c>
      <c r="I115" s="379" t="s">
        <v>360</v>
      </c>
      <c r="J115" s="379" t="s">
        <v>361</v>
      </c>
      <c r="U115" s="364"/>
      <c r="Z115" s="384" t="s">
        <v>362</v>
      </c>
    </row>
    <row r="116" spans="2:26" ht="15.75">
      <c r="B116">
        <v>1</v>
      </c>
      <c r="C116" s="363"/>
      <c r="D116" s="363"/>
      <c r="E116" s="379" t="s">
        <v>363</v>
      </c>
      <c r="F116" s="383"/>
      <c r="G116" s="379" t="s">
        <v>364</v>
      </c>
      <c r="H116" s="379" t="s">
        <v>365</v>
      </c>
      <c r="I116" s="364"/>
      <c r="J116" s="379" t="s">
        <v>366</v>
      </c>
      <c r="U116" s="364"/>
      <c r="Z116" s="364"/>
    </row>
    <row r="117" spans="2:26" ht="15.75">
      <c r="B117">
        <v>1</v>
      </c>
      <c r="C117" s="363"/>
      <c r="D117" s="363"/>
      <c r="E117" s="379" t="s">
        <v>367</v>
      </c>
      <c r="F117" s="379" t="s">
        <v>368</v>
      </c>
      <c r="G117" s="379" t="s">
        <v>369</v>
      </c>
      <c r="H117" s="379" t="s">
        <v>370</v>
      </c>
      <c r="I117" s="384" t="s">
        <v>371</v>
      </c>
      <c r="J117" s="379" t="s">
        <v>372</v>
      </c>
      <c r="U117" s="364"/>
      <c r="Z117" s="384" t="s">
        <v>373</v>
      </c>
    </row>
    <row r="118" spans="2:26" ht="15.75">
      <c r="B118">
        <v>1</v>
      </c>
      <c r="C118" s="363"/>
      <c r="D118" s="363"/>
      <c r="E118" s="364"/>
      <c r="F118" s="379" t="s">
        <v>374</v>
      </c>
      <c r="G118" s="379" t="s">
        <v>375</v>
      </c>
      <c r="H118" s="364"/>
      <c r="I118" s="364"/>
      <c r="J118" s="379" t="s">
        <v>376</v>
      </c>
      <c r="U118" s="364"/>
      <c r="Z118" s="364"/>
    </row>
    <row r="119" spans="2:26" ht="15.75">
      <c r="B119">
        <v>1</v>
      </c>
      <c r="C119" s="363"/>
      <c r="D119" s="363"/>
      <c r="E119" s="364"/>
      <c r="F119" s="379" t="s">
        <v>377</v>
      </c>
      <c r="G119" s="379" t="s">
        <v>378</v>
      </c>
      <c r="H119" s="364"/>
      <c r="I119" s="384" t="s">
        <v>379</v>
      </c>
      <c r="J119" s="379" t="s">
        <v>380</v>
      </c>
      <c r="U119" s="364"/>
      <c r="Z119" s="384" t="s">
        <v>381</v>
      </c>
    </row>
    <row r="120" spans="2:26" ht="15.75">
      <c r="B120">
        <v>1</v>
      </c>
      <c r="C120" s="363"/>
      <c r="D120" s="363"/>
      <c r="E120" s="364"/>
      <c r="F120" s="364"/>
      <c r="G120" s="379" t="s">
        <v>382</v>
      </c>
      <c r="H120" s="364"/>
      <c r="I120" s="384" t="s">
        <v>383</v>
      </c>
      <c r="J120" s="379" t="s">
        <v>384</v>
      </c>
      <c r="U120" s="364"/>
      <c r="Z120" s="383"/>
    </row>
    <row r="121" spans="2:26" ht="15.75">
      <c r="B121">
        <v>1</v>
      </c>
      <c r="C121" s="363"/>
      <c r="D121" s="363"/>
      <c r="E121" s="364"/>
      <c r="F121" s="364"/>
      <c r="G121" s="379" t="s">
        <v>385</v>
      </c>
      <c r="H121" s="364"/>
      <c r="I121" s="384" t="s">
        <v>386</v>
      </c>
      <c r="J121" s="364"/>
      <c r="U121" s="364"/>
      <c r="Z121" s="379" t="s">
        <v>387</v>
      </c>
    </row>
    <row r="122" spans="2:26" ht="15.75">
      <c r="B122">
        <v>1</v>
      </c>
      <c r="C122" s="363"/>
      <c r="D122" s="363"/>
      <c r="E122" s="364"/>
      <c r="F122" s="364"/>
      <c r="G122" s="364"/>
      <c r="H122" s="364"/>
      <c r="I122" s="384" t="s">
        <v>388</v>
      </c>
      <c r="J122" s="384"/>
      <c r="U122" s="364"/>
      <c r="Z122" s="364"/>
    </row>
    <row r="123" spans="2:26" ht="15.75">
      <c r="B123">
        <v>1</v>
      </c>
      <c r="C123" s="363"/>
      <c r="D123" s="363"/>
      <c r="E123" s="364"/>
      <c r="F123" s="364"/>
      <c r="G123" s="364"/>
      <c r="H123" s="364"/>
      <c r="I123" s="384" t="s">
        <v>389</v>
      </c>
      <c r="J123" s="364"/>
      <c r="U123" s="364"/>
      <c r="Z123" s="364"/>
    </row>
    <row r="124" spans="2:26" ht="15.75">
      <c r="B124">
        <v>1</v>
      </c>
      <c r="C124" s="363"/>
      <c r="D124" s="363"/>
      <c r="E124" s="364"/>
      <c r="F124" s="364"/>
      <c r="G124" s="364"/>
      <c r="H124" s="364"/>
      <c r="I124" s="384" t="s">
        <v>390</v>
      </c>
      <c r="J124" s="364"/>
      <c r="U124" s="364"/>
      <c r="Z124" s="364"/>
    </row>
    <row r="125" spans="2:26" ht="15.75">
      <c r="B125">
        <v>1</v>
      </c>
      <c r="C125" s="363"/>
      <c r="D125" s="363"/>
      <c r="E125" s="364"/>
      <c r="F125" s="364"/>
      <c r="G125" s="364"/>
      <c r="H125" s="364"/>
      <c r="I125" s="384" t="s">
        <v>391</v>
      </c>
      <c r="J125" s="364"/>
      <c r="U125" s="364"/>
      <c r="Z125" s="364"/>
    </row>
    <row r="126" spans="2:26" ht="15.75">
      <c r="B126">
        <v>1</v>
      </c>
      <c r="C126" s="374"/>
      <c r="D126" s="374"/>
      <c r="E126" s="375"/>
      <c r="F126" s="375"/>
      <c r="G126" s="375"/>
      <c r="H126" s="375"/>
      <c r="I126" s="385" t="s">
        <v>392</v>
      </c>
      <c r="J126" s="375"/>
      <c r="U126" s="375"/>
      <c r="Z126" s="375"/>
    </row>
    <row r="127" spans="2:26" ht="15.75">
      <c r="B127">
        <v>1</v>
      </c>
      <c r="C127" s="357" t="s">
        <v>393</v>
      </c>
      <c r="D127" s="357" t="s">
        <v>394</v>
      </c>
      <c r="E127" s="357" t="s">
        <v>395</v>
      </c>
      <c r="F127" s="378" t="s">
        <v>396</v>
      </c>
      <c r="G127" s="357" t="s">
        <v>397</v>
      </c>
      <c r="H127" s="357" t="s">
        <v>398</v>
      </c>
      <c r="I127" s="379" t="s">
        <v>399</v>
      </c>
      <c r="J127" s="379" t="s">
        <v>400</v>
      </c>
      <c r="U127" s="357" t="s">
        <v>401</v>
      </c>
      <c r="Z127" s="357" t="s">
        <v>402</v>
      </c>
    </row>
    <row r="128" spans="2:26" ht="15.75">
      <c r="B128">
        <v>1</v>
      </c>
      <c r="C128" s="374"/>
      <c r="D128" s="374"/>
      <c r="E128" s="374"/>
      <c r="F128" s="381"/>
      <c r="G128" s="374"/>
      <c r="H128" s="374"/>
      <c r="I128" s="382" t="s">
        <v>403</v>
      </c>
      <c r="J128" s="382" t="s">
        <v>404</v>
      </c>
      <c r="U128" s="374"/>
      <c r="Z128" s="374"/>
    </row>
    <row r="129" spans="2:26" ht="15.75">
      <c r="B129">
        <v>1</v>
      </c>
      <c r="C129" s="357" t="s">
        <v>405</v>
      </c>
      <c r="D129" s="357" t="s">
        <v>406</v>
      </c>
      <c r="E129" s="357" t="s">
        <v>407</v>
      </c>
      <c r="F129" s="357" t="s">
        <v>408</v>
      </c>
      <c r="G129" s="379" t="s">
        <v>409</v>
      </c>
      <c r="H129" s="357" t="s">
        <v>410</v>
      </c>
      <c r="I129" s="357" t="s">
        <v>411</v>
      </c>
      <c r="J129" s="357" t="s">
        <v>412</v>
      </c>
      <c r="U129" s="357" t="s">
        <v>413</v>
      </c>
      <c r="Z129" s="357" t="s">
        <v>414</v>
      </c>
    </row>
    <row r="130" spans="2:26" ht="15.75">
      <c r="B130">
        <v>1</v>
      </c>
      <c r="C130" s="374"/>
      <c r="D130" s="374"/>
      <c r="E130" s="374"/>
      <c r="F130" s="374"/>
      <c r="G130" s="382" t="s">
        <v>415</v>
      </c>
      <c r="H130" s="374"/>
      <c r="I130" s="374"/>
      <c r="J130" s="374"/>
      <c r="U130" s="374"/>
      <c r="Z130" s="374"/>
    </row>
    <row r="131" spans="2:26" ht="15.75">
      <c r="B131">
        <v>1</v>
      </c>
      <c r="C131" s="357" t="s">
        <v>416</v>
      </c>
      <c r="D131" s="357" t="s">
        <v>417</v>
      </c>
      <c r="E131" s="357" t="s">
        <v>418</v>
      </c>
      <c r="F131" s="379" t="s">
        <v>419</v>
      </c>
      <c r="G131" s="379" t="s">
        <v>420</v>
      </c>
      <c r="H131" s="379" t="s">
        <v>421</v>
      </c>
      <c r="I131" s="379" t="s">
        <v>422</v>
      </c>
      <c r="J131" s="379" t="s">
        <v>423</v>
      </c>
      <c r="U131" s="379" t="s">
        <v>424</v>
      </c>
      <c r="Z131" s="379" t="s">
        <v>425</v>
      </c>
    </row>
    <row r="132" spans="2:26" ht="15.75">
      <c r="B132">
        <v>1</v>
      </c>
      <c r="C132" s="374"/>
      <c r="D132" s="374"/>
      <c r="E132" s="374"/>
      <c r="F132" s="382" t="s">
        <v>426</v>
      </c>
      <c r="G132" s="382" t="s">
        <v>427</v>
      </c>
      <c r="H132" s="382" t="s">
        <v>428</v>
      </c>
      <c r="I132" s="382" t="s">
        <v>429</v>
      </c>
      <c r="J132" s="382" t="s">
        <v>430</v>
      </c>
      <c r="U132" s="382" t="s">
        <v>431</v>
      </c>
      <c r="Z132" s="382" t="s">
        <v>432</v>
      </c>
    </row>
    <row r="133" spans="2:26" ht="15.75">
      <c r="B133">
        <v>2</v>
      </c>
      <c r="C133" s="372" t="s">
        <v>0</v>
      </c>
      <c r="D133" s="390" t="s">
        <v>1</v>
      </c>
      <c r="E133" s="390" t="s">
        <v>2</v>
      </c>
      <c r="F133" s="391" t="s">
        <v>3</v>
      </c>
      <c r="G133" s="392"/>
      <c r="H133" s="392"/>
      <c r="I133" s="393"/>
      <c r="J133" s="372" t="s">
        <v>4</v>
      </c>
      <c r="U133" s="391" t="s">
        <v>5</v>
      </c>
      <c r="V133" s="392"/>
      <c r="W133" s="392"/>
      <c r="X133" s="393"/>
      <c r="Z133" s="372" t="s">
        <v>6</v>
      </c>
    </row>
    <row r="134" spans="2:26">
      <c r="B134">
        <v>2</v>
      </c>
      <c r="C134" s="373"/>
      <c r="D134" s="364"/>
      <c r="E134" s="364"/>
      <c r="F134" s="394"/>
      <c r="G134" s="395"/>
      <c r="H134" s="395"/>
      <c r="I134" s="396"/>
      <c r="J134" s="377"/>
      <c r="U134" s="394"/>
      <c r="V134" s="395"/>
      <c r="W134" s="395"/>
      <c r="X134" s="396"/>
      <c r="Z134" s="373"/>
    </row>
    <row r="135" spans="2:26" ht="15.75">
      <c r="B135">
        <v>2</v>
      </c>
      <c r="C135" s="373"/>
      <c r="D135" s="371" t="s">
        <v>7</v>
      </c>
      <c r="E135" s="371" t="s">
        <v>8</v>
      </c>
      <c r="F135" s="371" t="s">
        <v>9</v>
      </c>
      <c r="G135" s="371" t="s">
        <v>10</v>
      </c>
      <c r="H135" s="371" t="s">
        <v>11</v>
      </c>
      <c r="I135" s="371" t="s">
        <v>12</v>
      </c>
      <c r="J135" s="372" t="s">
        <v>13</v>
      </c>
      <c r="U135" s="391" t="s">
        <v>10</v>
      </c>
      <c r="V135" s="392"/>
      <c r="W135" s="392"/>
      <c r="X135" s="393"/>
      <c r="Z135" s="373"/>
    </row>
    <row r="136" spans="2:26">
      <c r="B136">
        <v>2</v>
      </c>
      <c r="C136" s="373"/>
      <c r="D136" s="364"/>
      <c r="E136" s="364"/>
      <c r="F136" s="364"/>
      <c r="G136" s="364"/>
      <c r="H136" s="364"/>
      <c r="I136" s="364"/>
      <c r="J136" s="373"/>
      <c r="U136" s="397"/>
      <c r="V136" s="398"/>
      <c r="W136" s="398"/>
      <c r="X136" s="399"/>
      <c r="Z136" s="373"/>
    </row>
    <row r="137" spans="2:26" ht="15.75">
      <c r="B137">
        <v>2</v>
      </c>
      <c r="C137" s="377"/>
      <c r="D137" s="375"/>
      <c r="E137" s="375"/>
      <c r="F137" s="376" t="s">
        <v>15</v>
      </c>
      <c r="G137" s="376" t="s">
        <v>16</v>
      </c>
      <c r="H137" s="376" t="s">
        <v>15</v>
      </c>
      <c r="I137" s="376" t="s">
        <v>17</v>
      </c>
      <c r="J137" s="377"/>
      <c r="U137" s="394" t="s">
        <v>18</v>
      </c>
      <c r="V137" s="395"/>
      <c r="W137" s="395"/>
      <c r="X137" s="396"/>
      <c r="Z137" s="377"/>
    </row>
    <row r="138" spans="2:26" ht="15.75">
      <c r="B138">
        <v>2</v>
      </c>
      <c r="C138" s="357" t="s">
        <v>20</v>
      </c>
      <c r="D138" s="400" t="s">
        <v>433</v>
      </c>
      <c r="E138" s="357" t="s">
        <v>434</v>
      </c>
      <c r="F138" s="379" t="s">
        <v>435</v>
      </c>
      <c r="G138" s="378" t="s">
        <v>436</v>
      </c>
      <c r="H138" s="379" t="s">
        <v>437</v>
      </c>
      <c r="I138" s="379" t="s">
        <v>438</v>
      </c>
      <c r="J138" s="379" t="s">
        <v>439</v>
      </c>
      <c r="U138" s="401" t="s">
        <v>440</v>
      </c>
      <c r="V138" s="402"/>
      <c r="W138" s="402"/>
      <c r="X138" s="403"/>
      <c r="Z138" s="379" t="s">
        <v>441</v>
      </c>
    </row>
    <row r="139" spans="2:26" ht="15.75">
      <c r="B139">
        <v>2</v>
      </c>
      <c r="C139" s="363"/>
      <c r="D139" s="400" t="s">
        <v>442</v>
      </c>
      <c r="E139" s="363"/>
      <c r="F139" s="379" t="s">
        <v>443</v>
      </c>
      <c r="G139" s="380"/>
      <c r="H139" s="379" t="s">
        <v>444</v>
      </c>
      <c r="I139" s="379" t="s">
        <v>445</v>
      </c>
      <c r="J139" s="379" t="s">
        <v>446</v>
      </c>
      <c r="U139" s="404" t="s">
        <v>447</v>
      </c>
      <c r="V139" s="405"/>
      <c r="W139" s="405"/>
      <c r="X139" s="406"/>
      <c r="Z139" s="383"/>
    </row>
    <row r="140" spans="2:26" ht="15.75">
      <c r="B140">
        <v>2</v>
      </c>
      <c r="C140" s="363"/>
      <c r="D140" s="400" t="s">
        <v>448</v>
      </c>
      <c r="E140" s="363"/>
      <c r="F140" s="379"/>
      <c r="G140" s="380"/>
      <c r="H140" s="364"/>
      <c r="I140" s="383"/>
      <c r="J140" s="364"/>
      <c r="U140" s="404" t="s">
        <v>449</v>
      </c>
      <c r="V140" s="405"/>
      <c r="W140" s="405"/>
      <c r="X140" s="406"/>
      <c r="Z140" s="379" t="s">
        <v>450</v>
      </c>
    </row>
    <row r="141" spans="2:26" ht="15.75">
      <c r="B141">
        <v>2</v>
      </c>
      <c r="C141" s="363"/>
      <c r="D141" s="400" t="s">
        <v>451</v>
      </c>
      <c r="E141" s="363"/>
      <c r="F141" s="364"/>
      <c r="G141" s="380"/>
      <c r="H141" s="364"/>
      <c r="I141" s="379" t="s">
        <v>452</v>
      </c>
      <c r="J141" s="364"/>
      <c r="U141" s="397"/>
      <c r="V141" s="398"/>
      <c r="W141" s="398"/>
      <c r="X141" s="399"/>
      <c r="Z141" s="364"/>
    </row>
    <row r="142" spans="2:26" ht="15.75">
      <c r="B142">
        <v>2</v>
      </c>
      <c r="C142" s="363"/>
      <c r="D142" s="364"/>
      <c r="E142" s="363"/>
      <c r="F142" s="364"/>
      <c r="G142" s="380"/>
      <c r="H142" s="364"/>
      <c r="I142" s="364"/>
      <c r="J142" s="364"/>
      <c r="U142" s="407"/>
      <c r="V142" s="408"/>
      <c r="W142" s="408"/>
      <c r="X142" s="409"/>
      <c r="Z142" s="364"/>
    </row>
    <row r="143" spans="2:26">
      <c r="B143">
        <v>2</v>
      </c>
      <c r="C143" s="363"/>
      <c r="D143" s="387" t="s">
        <v>453</v>
      </c>
      <c r="E143" s="363"/>
      <c r="F143" s="364"/>
      <c r="G143" s="380"/>
      <c r="H143" s="364"/>
      <c r="I143" s="364"/>
      <c r="J143" s="364"/>
      <c r="U143" s="397"/>
      <c r="V143" s="398"/>
      <c r="W143" s="398"/>
      <c r="X143" s="399"/>
      <c r="Z143" s="364"/>
    </row>
    <row r="144" spans="2:26" ht="15.75">
      <c r="B144">
        <v>2</v>
      </c>
      <c r="C144" s="363"/>
      <c r="D144" s="364"/>
      <c r="E144" s="363"/>
      <c r="F144" s="364"/>
      <c r="G144" s="380"/>
      <c r="H144" s="364"/>
      <c r="I144" s="364"/>
      <c r="J144" s="364"/>
      <c r="U144" s="407"/>
      <c r="V144" s="408"/>
      <c r="W144" s="408"/>
      <c r="X144" s="409"/>
      <c r="Z144" s="364"/>
    </row>
    <row r="145" spans="2:26">
      <c r="B145">
        <v>2</v>
      </c>
      <c r="C145" s="363"/>
      <c r="D145" s="364"/>
      <c r="E145" s="363"/>
      <c r="F145" s="364"/>
      <c r="G145" s="380"/>
      <c r="H145" s="364"/>
      <c r="I145" s="364"/>
      <c r="J145" s="364"/>
      <c r="U145" s="397"/>
      <c r="V145" s="398"/>
      <c r="W145" s="398"/>
      <c r="X145" s="399"/>
      <c r="Z145" s="364"/>
    </row>
    <row r="146" spans="2:26" ht="15.75">
      <c r="B146">
        <v>2</v>
      </c>
      <c r="C146" s="363"/>
      <c r="D146" s="364"/>
      <c r="E146" s="363"/>
      <c r="F146" s="364"/>
      <c r="G146" s="380"/>
      <c r="H146" s="364"/>
      <c r="I146" s="364"/>
      <c r="J146" s="364"/>
      <c r="U146" s="407"/>
      <c r="V146" s="408"/>
      <c r="W146" s="408"/>
      <c r="X146" s="409"/>
      <c r="Z146" s="364"/>
    </row>
    <row r="147" spans="2:26">
      <c r="B147">
        <v>2</v>
      </c>
      <c r="C147" s="363"/>
      <c r="D147" s="364"/>
      <c r="E147" s="363"/>
      <c r="F147" s="364"/>
      <c r="G147" s="380"/>
      <c r="H147" s="364"/>
      <c r="I147" s="364"/>
      <c r="J147" s="364"/>
      <c r="U147" s="397"/>
      <c r="V147" s="398"/>
      <c r="W147" s="398"/>
      <c r="X147" s="399"/>
      <c r="Z147" s="364"/>
    </row>
    <row r="148" spans="2:26" ht="15.75">
      <c r="B148">
        <v>2</v>
      </c>
      <c r="C148" s="363"/>
      <c r="D148" s="364"/>
      <c r="E148" s="363"/>
      <c r="F148" s="364"/>
      <c r="G148" s="380"/>
      <c r="H148" s="364"/>
      <c r="I148" s="364"/>
      <c r="J148" s="364"/>
      <c r="U148" s="407"/>
      <c r="V148" s="408"/>
      <c r="W148" s="408"/>
      <c r="X148" s="409"/>
      <c r="Z148" s="364"/>
    </row>
    <row r="149" spans="2:26">
      <c r="B149">
        <v>2</v>
      </c>
      <c r="C149" s="363"/>
      <c r="D149" s="364"/>
      <c r="E149" s="363"/>
      <c r="F149" s="364"/>
      <c r="G149" s="380"/>
      <c r="H149" s="364"/>
      <c r="I149" s="364"/>
      <c r="J149" s="364"/>
      <c r="U149" s="397"/>
      <c r="V149" s="398"/>
      <c r="W149" s="398"/>
      <c r="X149" s="399"/>
      <c r="Z149" s="364"/>
    </row>
    <row r="150" spans="2:26" ht="15.75">
      <c r="B150">
        <v>2</v>
      </c>
      <c r="C150" s="363"/>
      <c r="D150" s="364"/>
      <c r="E150" s="363"/>
      <c r="F150" s="364"/>
      <c r="G150" s="380"/>
      <c r="H150" s="364"/>
      <c r="I150" s="364"/>
      <c r="J150" s="364"/>
      <c r="U150" s="407"/>
      <c r="V150" s="408"/>
      <c r="W150" s="408"/>
      <c r="X150" s="409"/>
      <c r="Z150" s="364"/>
    </row>
    <row r="151" spans="2:26">
      <c r="B151">
        <v>2</v>
      </c>
      <c r="C151" s="363"/>
      <c r="D151" s="364"/>
      <c r="E151" s="363"/>
      <c r="F151" s="364"/>
      <c r="G151" s="380"/>
      <c r="H151" s="364"/>
      <c r="I151" s="364"/>
      <c r="J151" s="364"/>
      <c r="U151" s="397"/>
      <c r="V151" s="398"/>
      <c r="W151" s="398"/>
      <c r="X151" s="399"/>
      <c r="Z151" s="364"/>
    </row>
    <row r="152" spans="2:26" ht="15.75">
      <c r="B152">
        <v>2</v>
      </c>
      <c r="C152" s="363"/>
      <c r="D152" s="364"/>
      <c r="E152" s="363"/>
      <c r="F152" s="364"/>
      <c r="G152" s="380"/>
      <c r="H152" s="364"/>
      <c r="I152" s="364"/>
      <c r="J152" s="364"/>
      <c r="U152" s="407" t="s">
        <v>454</v>
      </c>
      <c r="V152" s="408"/>
      <c r="W152" s="408"/>
      <c r="X152" s="409"/>
      <c r="Z152" s="364"/>
    </row>
    <row r="153" spans="2:26">
      <c r="B153">
        <v>2</v>
      </c>
      <c r="C153" s="363"/>
      <c r="D153" s="364"/>
      <c r="E153" s="363"/>
      <c r="F153" s="364"/>
      <c r="G153" s="380"/>
      <c r="H153" s="364"/>
      <c r="I153" s="364"/>
      <c r="J153" s="364"/>
      <c r="U153" s="397"/>
      <c r="V153" s="398"/>
      <c r="W153" s="398"/>
      <c r="X153" s="399"/>
      <c r="Z153" s="364"/>
    </row>
    <row r="154" spans="2:26">
      <c r="B154">
        <v>2</v>
      </c>
      <c r="C154" s="374"/>
      <c r="D154" s="375"/>
      <c r="E154" s="374"/>
      <c r="F154" s="375"/>
      <c r="G154" s="381"/>
      <c r="H154" s="375"/>
      <c r="I154" s="375"/>
      <c r="J154" s="375"/>
      <c r="U154" s="410" t="s">
        <v>455</v>
      </c>
      <c r="V154" s="411"/>
      <c r="W154" s="411"/>
      <c r="X154" s="412"/>
      <c r="Z154" s="375"/>
    </row>
    <row r="155" spans="2:26" ht="15.75">
      <c r="B155">
        <v>2</v>
      </c>
      <c r="C155" s="357" t="s">
        <v>456</v>
      </c>
      <c r="D155" s="384" t="s">
        <v>457</v>
      </c>
      <c r="E155" s="357" t="s">
        <v>458</v>
      </c>
      <c r="F155" s="378" t="s">
        <v>459</v>
      </c>
      <c r="G155" s="378" t="s">
        <v>460</v>
      </c>
      <c r="H155" s="378" t="s">
        <v>461</v>
      </c>
      <c r="I155" s="378" t="s">
        <v>462</v>
      </c>
      <c r="J155" s="413" t="s">
        <v>463</v>
      </c>
      <c r="U155" s="401" t="s">
        <v>464</v>
      </c>
      <c r="V155" s="402"/>
      <c r="W155" s="402"/>
      <c r="X155" s="403"/>
      <c r="Z155" s="379" t="s">
        <v>465</v>
      </c>
    </row>
    <row r="156" spans="2:26" ht="15.75">
      <c r="B156">
        <v>2</v>
      </c>
      <c r="C156" s="363"/>
      <c r="D156" s="364"/>
      <c r="E156" s="363"/>
      <c r="F156" s="380"/>
      <c r="G156" s="380"/>
      <c r="H156" s="380"/>
      <c r="I156" s="380"/>
      <c r="J156" s="364"/>
      <c r="U156" s="404" t="s">
        <v>466</v>
      </c>
      <c r="V156" s="405"/>
      <c r="W156" s="405"/>
      <c r="X156" s="406"/>
      <c r="Z156" s="379" t="s">
        <v>467</v>
      </c>
    </row>
    <row r="157" spans="2:26" ht="15.75">
      <c r="B157">
        <v>2</v>
      </c>
      <c r="C157" s="363"/>
      <c r="D157" s="384"/>
      <c r="E157" s="363"/>
      <c r="F157" s="380"/>
      <c r="G157" s="380"/>
      <c r="H157" s="380"/>
      <c r="I157" s="380"/>
      <c r="J157" s="379"/>
      <c r="U157" s="404" t="s">
        <v>468</v>
      </c>
      <c r="V157" s="405"/>
      <c r="W157" s="405"/>
      <c r="X157" s="406"/>
      <c r="Z157" s="379" t="s">
        <v>469</v>
      </c>
    </row>
    <row r="158" spans="2:26">
      <c r="B158">
        <v>2</v>
      </c>
      <c r="C158" s="363"/>
      <c r="D158" s="364"/>
      <c r="E158" s="363"/>
      <c r="F158" s="380"/>
      <c r="G158" s="380"/>
      <c r="H158" s="380"/>
      <c r="I158" s="380"/>
      <c r="J158" s="364"/>
      <c r="U158" s="397"/>
      <c r="V158" s="398"/>
      <c r="W158" s="398"/>
      <c r="X158" s="399"/>
      <c r="Z158" s="364"/>
    </row>
    <row r="159" spans="2:26" ht="15.75">
      <c r="B159">
        <v>2</v>
      </c>
      <c r="C159" s="363"/>
      <c r="D159" s="384" t="s">
        <v>470</v>
      </c>
      <c r="E159" s="363"/>
      <c r="F159" s="380"/>
      <c r="G159" s="380"/>
      <c r="H159" s="380"/>
      <c r="I159" s="380"/>
      <c r="J159" s="413" t="s">
        <v>471</v>
      </c>
      <c r="U159" s="407"/>
      <c r="V159" s="408"/>
      <c r="W159" s="408"/>
      <c r="X159" s="409"/>
      <c r="Z159" s="364"/>
    </row>
    <row r="160" spans="2:26">
      <c r="B160">
        <v>2</v>
      </c>
      <c r="C160" s="363"/>
      <c r="D160" s="387" t="s">
        <v>472</v>
      </c>
      <c r="E160" s="363"/>
      <c r="F160" s="380"/>
      <c r="G160" s="380"/>
      <c r="H160" s="380"/>
      <c r="I160" s="380"/>
      <c r="J160" s="364"/>
      <c r="U160" s="397"/>
      <c r="V160" s="398"/>
      <c r="W160" s="398"/>
      <c r="X160" s="399"/>
      <c r="Z160" s="364"/>
    </row>
    <row r="161" spans="2:26" ht="15.75">
      <c r="B161">
        <v>2</v>
      </c>
      <c r="C161" s="363"/>
      <c r="D161" s="364"/>
      <c r="E161" s="363"/>
      <c r="F161" s="380"/>
      <c r="G161" s="380"/>
      <c r="H161" s="380"/>
      <c r="I161" s="380"/>
      <c r="J161" s="413" t="s">
        <v>473</v>
      </c>
      <c r="U161" s="407" t="s">
        <v>474</v>
      </c>
      <c r="V161" s="408"/>
      <c r="W161" s="408"/>
      <c r="X161" s="409"/>
      <c r="Z161" s="364"/>
    </row>
    <row r="162" spans="2:26">
      <c r="B162">
        <v>2</v>
      </c>
      <c r="C162" s="363"/>
      <c r="D162" s="364"/>
      <c r="E162" s="363"/>
      <c r="F162" s="380"/>
      <c r="G162" s="380"/>
      <c r="H162" s="380"/>
      <c r="I162" s="380"/>
      <c r="J162" s="364"/>
      <c r="U162" s="397"/>
      <c r="V162" s="398"/>
      <c r="W162" s="398"/>
      <c r="X162" s="399"/>
      <c r="Z162" s="364"/>
    </row>
    <row r="163" spans="2:26" ht="15.75">
      <c r="B163">
        <v>2</v>
      </c>
      <c r="C163" s="363"/>
      <c r="D163" s="364"/>
      <c r="E163" s="363"/>
      <c r="F163" s="380"/>
      <c r="G163" s="380"/>
      <c r="H163" s="380"/>
      <c r="I163" s="380"/>
      <c r="J163" s="413" t="s">
        <v>475</v>
      </c>
      <c r="U163" s="414" t="s">
        <v>476</v>
      </c>
      <c r="V163" s="415"/>
      <c r="W163" s="415"/>
      <c r="X163" s="416"/>
      <c r="Z163" s="364"/>
    </row>
    <row r="164" spans="2:26">
      <c r="B164">
        <v>2</v>
      </c>
      <c r="C164" s="363"/>
      <c r="D164" s="364"/>
      <c r="E164" s="363"/>
      <c r="F164" s="380"/>
      <c r="G164" s="380"/>
      <c r="H164" s="380"/>
      <c r="I164" s="380"/>
      <c r="J164" s="364"/>
      <c r="U164" s="397"/>
      <c r="V164" s="398"/>
      <c r="W164" s="398"/>
      <c r="X164" s="399"/>
      <c r="Z164" s="364"/>
    </row>
    <row r="165" spans="2:26">
      <c r="B165">
        <v>2</v>
      </c>
      <c r="C165" s="363"/>
      <c r="D165" s="364"/>
      <c r="E165" s="363"/>
      <c r="F165" s="380"/>
      <c r="G165" s="380"/>
      <c r="H165" s="380"/>
      <c r="I165" s="380"/>
      <c r="J165" s="364"/>
      <c r="U165" s="397"/>
      <c r="V165" s="398"/>
      <c r="W165" s="398"/>
      <c r="X165" s="399"/>
      <c r="Z165" s="364"/>
    </row>
    <row r="166" spans="2:26">
      <c r="B166">
        <v>2</v>
      </c>
      <c r="C166" s="363"/>
      <c r="D166" s="364"/>
      <c r="E166" s="363"/>
      <c r="F166" s="380"/>
      <c r="G166" s="380"/>
      <c r="H166" s="380"/>
      <c r="I166" s="380"/>
      <c r="J166" s="364"/>
      <c r="U166" s="397"/>
      <c r="V166" s="398"/>
      <c r="W166" s="398"/>
      <c r="X166" s="399"/>
      <c r="Z166" s="364"/>
    </row>
    <row r="167" spans="2:26">
      <c r="B167">
        <v>2</v>
      </c>
      <c r="C167" s="374"/>
      <c r="D167" s="375"/>
      <c r="E167" s="374"/>
      <c r="F167" s="381"/>
      <c r="G167" s="381"/>
      <c r="H167" s="381"/>
      <c r="I167" s="381"/>
      <c r="J167" s="375"/>
      <c r="U167" s="417"/>
      <c r="V167" s="418"/>
      <c r="W167" s="418"/>
      <c r="X167" s="419"/>
      <c r="Z167" s="375"/>
    </row>
    <row r="168" spans="2:26" ht="15.75">
      <c r="B168">
        <v>2</v>
      </c>
      <c r="C168" s="357" t="s">
        <v>59</v>
      </c>
      <c r="D168" s="387" t="s">
        <v>477</v>
      </c>
      <c r="E168" s="357" t="s">
        <v>478</v>
      </c>
      <c r="F168" s="379" t="s">
        <v>479</v>
      </c>
      <c r="G168" s="379" t="s">
        <v>480</v>
      </c>
      <c r="H168" s="379" t="s">
        <v>481</v>
      </c>
      <c r="I168" s="379" t="s">
        <v>482</v>
      </c>
      <c r="J168" s="379" t="s">
        <v>483</v>
      </c>
      <c r="U168" s="401" t="s">
        <v>484</v>
      </c>
      <c r="V168" s="402"/>
      <c r="W168" s="402"/>
      <c r="X168" s="403"/>
      <c r="Z168" s="379" t="s">
        <v>485</v>
      </c>
    </row>
    <row r="169" spans="2:26" ht="15.75">
      <c r="B169">
        <v>2</v>
      </c>
      <c r="C169" s="363"/>
      <c r="D169" s="364"/>
      <c r="E169" s="363"/>
      <c r="F169" s="379" t="s">
        <v>486</v>
      </c>
      <c r="G169" s="400" t="s">
        <v>487</v>
      </c>
      <c r="H169" s="379" t="s">
        <v>488</v>
      </c>
      <c r="I169" s="379" t="s">
        <v>489</v>
      </c>
      <c r="J169" s="379" t="s">
        <v>490</v>
      </c>
      <c r="U169" s="404" t="s">
        <v>491</v>
      </c>
      <c r="V169" s="405"/>
      <c r="W169" s="405"/>
      <c r="X169" s="406"/>
      <c r="Z169" s="379" t="s">
        <v>492</v>
      </c>
    </row>
    <row r="170" spans="2:26" ht="15.75">
      <c r="B170">
        <v>2</v>
      </c>
      <c r="C170" s="363"/>
      <c r="D170" s="387" t="s">
        <v>493</v>
      </c>
      <c r="E170" s="363"/>
      <c r="F170" s="364"/>
      <c r="G170" s="364"/>
      <c r="H170" s="379" t="s">
        <v>494</v>
      </c>
      <c r="I170" s="379" t="s">
        <v>495</v>
      </c>
      <c r="J170" s="379" t="s">
        <v>496</v>
      </c>
      <c r="U170" s="420" t="s">
        <v>497</v>
      </c>
      <c r="V170" s="421"/>
      <c r="W170" s="421"/>
      <c r="X170" s="422"/>
      <c r="Z170" s="379" t="s">
        <v>498</v>
      </c>
    </row>
    <row r="171" spans="2:26" ht="15.75">
      <c r="B171">
        <v>2</v>
      </c>
      <c r="C171" s="363"/>
      <c r="D171" s="364"/>
      <c r="E171" s="363"/>
      <c r="F171" s="364"/>
      <c r="G171" s="364"/>
      <c r="H171" s="364"/>
      <c r="I171" s="364"/>
      <c r="J171" s="379" t="s">
        <v>499</v>
      </c>
      <c r="U171" s="397"/>
      <c r="V171" s="398"/>
      <c r="W171" s="398"/>
      <c r="X171" s="399"/>
      <c r="Z171" s="379" t="s">
        <v>500</v>
      </c>
    </row>
    <row r="172" spans="2:26">
      <c r="B172">
        <v>2</v>
      </c>
      <c r="C172" s="363"/>
      <c r="D172" s="387" t="s">
        <v>501</v>
      </c>
      <c r="E172" s="363"/>
      <c r="F172" s="364"/>
      <c r="G172" s="364"/>
      <c r="H172" s="364"/>
      <c r="I172" s="364"/>
      <c r="J172" s="364"/>
      <c r="U172" s="397"/>
      <c r="V172" s="398"/>
      <c r="W172" s="398"/>
      <c r="X172" s="399"/>
      <c r="Z172" s="364"/>
    </row>
    <row r="173" spans="2:26">
      <c r="B173">
        <v>2</v>
      </c>
      <c r="C173" s="363"/>
      <c r="D173" s="364"/>
      <c r="E173" s="363"/>
      <c r="F173" s="364"/>
      <c r="G173" s="364"/>
      <c r="H173" s="364"/>
      <c r="I173" s="364"/>
      <c r="J173" s="364"/>
      <c r="U173" s="397"/>
      <c r="V173" s="398"/>
      <c r="W173" s="398"/>
      <c r="X173" s="399"/>
      <c r="Z173" s="364"/>
    </row>
    <row r="174" spans="2:26">
      <c r="B174">
        <v>2</v>
      </c>
      <c r="C174" s="374"/>
      <c r="D174" s="388" t="s">
        <v>502</v>
      </c>
      <c r="E174" s="374"/>
      <c r="F174" s="375"/>
      <c r="G174" s="375"/>
      <c r="H174" s="375"/>
      <c r="I174" s="375"/>
      <c r="J174" s="375"/>
      <c r="U174" s="417"/>
      <c r="V174" s="418"/>
      <c r="W174" s="418"/>
      <c r="X174" s="419"/>
      <c r="Z174" s="375"/>
    </row>
    <row r="175" spans="2:26" ht="15.75">
      <c r="B175">
        <v>2</v>
      </c>
      <c r="C175" s="357" t="s">
        <v>503</v>
      </c>
      <c r="D175" s="387" t="s">
        <v>504</v>
      </c>
      <c r="E175" s="357" t="s">
        <v>505</v>
      </c>
      <c r="F175" s="379" t="s">
        <v>506</v>
      </c>
      <c r="G175" s="357" t="s">
        <v>507</v>
      </c>
      <c r="H175" s="357" t="s">
        <v>508</v>
      </c>
      <c r="I175" s="379" t="s">
        <v>509</v>
      </c>
      <c r="J175" s="379" t="s">
        <v>510</v>
      </c>
      <c r="U175" s="401" t="s">
        <v>511</v>
      </c>
      <c r="V175" s="402"/>
      <c r="W175" s="402"/>
      <c r="X175" s="403"/>
      <c r="Z175" s="378" t="s">
        <v>512</v>
      </c>
    </row>
    <row r="176" spans="2:26" ht="15.75">
      <c r="B176">
        <v>2</v>
      </c>
      <c r="C176" s="363"/>
      <c r="D176" s="364"/>
      <c r="E176" s="363"/>
      <c r="F176" s="379" t="s">
        <v>513</v>
      </c>
      <c r="G176" s="363"/>
      <c r="H176" s="363"/>
      <c r="I176" s="379" t="s">
        <v>514</v>
      </c>
      <c r="J176" s="379" t="s">
        <v>515</v>
      </c>
      <c r="U176" s="404" t="s">
        <v>516</v>
      </c>
      <c r="V176" s="405"/>
      <c r="W176" s="405"/>
      <c r="X176" s="406"/>
      <c r="Z176" s="380"/>
    </row>
    <row r="177" spans="2:26" ht="15.75">
      <c r="B177">
        <v>2</v>
      </c>
      <c r="C177" s="363"/>
      <c r="D177" s="387" t="s">
        <v>517</v>
      </c>
      <c r="E177" s="363"/>
      <c r="F177" s="364"/>
      <c r="G177" s="363"/>
      <c r="H177" s="363"/>
      <c r="I177" s="379" t="s">
        <v>518</v>
      </c>
      <c r="J177" s="364"/>
      <c r="U177" s="397"/>
      <c r="V177" s="398"/>
      <c r="W177" s="398"/>
      <c r="X177" s="399"/>
      <c r="Z177" s="380"/>
    </row>
    <row r="178" spans="2:26" ht="15.75">
      <c r="B178">
        <v>2</v>
      </c>
      <c r="C178" s="363"/>
      <c r="D178" s="364"/>
      <c r="E178" s="363"/>
      <c r="F178" s="364"/>
      <c r="G178" s="363"/>
      <c r="H178" s="363"/>
      <c r="I178" s="379" t="s">
        <v>519</v>
      </c>
      <c r="J178" s="364"/>
      <c r="U178" s="407"/>
      <c r="V178" s="408"/>
      <c r="W178" s="408"/>
      <c r="X178" s="409"/>
      <c r="Z178" s="380"/>
    </row>
    <row r="179" spans="2:26">
      <c r="B179">
        <v>2</v>
      </c>
      <c r="C179" s="363"/>
      <c r="D179" s="387" t="s">
        <v>520</v>
      </c>
      <c r="E179" s="363"/>
      <c r="F179" s="364"/>
      <c r="G179" s="363"/>
      <c r="H179" s="363"/>
      <c r="I179" s="364"/>
      <c r="J179" s="364"/>
      <c r="U179" s="397"/>
      <c r="V179" s="398"/>
      <c r="W179" s="398"/>
      <c r="X179" s="399"/>
      <c r="Z179" s="380"/>
    </row>
    <row r="180" spans="2:26">
      <c r="B180">
        <v>2</v>
      </c>
      <c r="C180" s="363"/>
      <c r="D180" s="364"/>
      <c r="E180" s="363"/>
      <c r="F180" s="364"/>
      <c r="G180" s="363"/>
      <c r="H180" s="363"/>
      <c r="I180" s="364"/>
      <c r="J180" s="364"/>
      <c r="U180" s="397"/>
      <c r="V180" s="398"/>
      <c r="W180" s="398"/>
      <c r="X180" s="399"/>
      <c r="Z180" s="380"/>
    </row>
    <row r="181" spans="2:26" ht="15.75">
      <c r="B181">
        <v>2</v>
      </c>
      <c r="C181" s="363"/>
      <c r="D181" s="384"/>
      <c r="E181" s="363"/>
      <c r="F181" s="364"/>
      <c r="G181" s="363"/>
      <c r="H181" s="363"/>
      <c r="I181" s="364"/>
      <c r="J181" s="364"/>
      <c r="U181" s="397"/>
      <c r="V181" s="398"/>
      <c r="W181" s="398"/>
      <c r="X181" s="399"/>
      <c r="Z181" s="380"/>
    </row>
    <row r="182" spans="2:26">
      <c r="B182">
        <v>2</v>
      </c>
      <c r="C182" s="363"/>
      <c r="D182" s="364"/>
      <c r="E182" s="363"/>
      <c r="F182" s="364"/>
      <c r="G182" s="363"/>
      <c r="H182" s="363"/>
      <c r="I182" s="364"/>
      <c r="J182" s="364"/>
      <c r="U182" s="397"/>
      <c r="V182" s="398"/>
      <c r="W182" s="398"/>
      <c r="X182" s="399"/>
      <c r="Z182" s="380"/>
    </row>
    <row r="183" spans="2:26" ht="15.75">
      <c r="B183">
        <v>2</v>
      </c>
      <c r="C183" s="363"/>
      <c r="D183" s="384" t="s">
        <v>470</v>
      </c>
      <c r="E183" s="363"/>
      <c r="F183" s="364"/>
      <c r="G183" s="363"/>
      <c r="H183" s="363"/>
      <c r="I183" s="364"/>
      <c r="J183" s="364"/>
      <c r="U183" s="397"/>
      <c r="V183" s="398"/>
      <c r="W183" s="398"/>
      <c r="X183" s="399"/>
      <c r="Z183" s="380"/>
    </row>
    <row r="184" spans="2:26">
      <c r="B184">
        <v>2</v>
      </c>
      <c r="C184" s="363"/>
      <c r="D184" s="364"/>
      <c r="E184" s="363"/>
      <c r="F184" s="364"/>
      <c r="G184" s="363"/>
      <c r="H184" s="363"/>
      <c r="I184" s="364"/>
      <c r="J184" s="364"/>
      <c r="U184" s="397"/>
      <c r="V184" s="398"/>
      <c r="W184" s="398"/>
      <c r="X184" s="399"/>
      <c r="Z184" s="380"/>
    </row>
    <row r="185" spans="2:26">
      <c r="B185">
        <v>2</v>
      </c>
      <c r="C185" s="363"/>
      <c r="D185" s="387" t="s">
        <v>521</v>
      </c>
      <c r="E185" s="363"/>
      <c r="F185" s="364"/>
      <c r="G185" s="363"/>
      <c r="H185" s="363"/>
      <c r="I185" s="364"/>
      <c r="J185" s="364"/>
      <c r="U185" s="397"/>
      <c r="V185" s="398"/>
      <c r="W185" s="398"/>
      <c r="X185" s="399"/>
      <c r="Z185" s="380"/>
    </row>
    <row r="186" spans="2:26">
      <c r="B186">
        <v>2</v>
      </c>
      <c r="C186" s="363"/>
      <c r="D186" s="364"/>
      <c r="E186" s="363"/>
      <c r="F186" s="364"/>
      <c r="G186" s="363"/>
      <c r="H186" s="363"/>
      <c r="I186" s="364"/>
      <c r="J186" s="364"/>
      <c r="U186" s="397"/>
      <c r="V186" s="398"/>
      <c r="W186" s="398"/>
      <c r="X186" s="399"/>
      <c r="Z186" s="380"/>
    </row>
    <row r="187" spans="2:26">
      <c r="B187">
        <v>2</v>
      </c>
      <c r="C187" s="363"/>
      <c r="D187" s="387" t="s">
        <v>522</v>
      </c>
      <c r="E187" s="363"/>
      <c r="F187" s="364"/>
      <c r="G187" s="363"/>
      <c r="H187" s="363"/>
      <c r="I187" s="364"/>
      <c r="J187" s="364"/>
      <c r="U187" s="397"/>
      <c r="V187" s="398"/>
      <c r="W187" s="398"/>
      <c r="X187" s="399"/>
      <c r="Z187" s="380"/>
    </row>
    <row r="188" spans="2:26">
      <c r="B188">
        <v>2</v>
      </c>
      <c r="C188" s="363"/>
      <c r="D188" s="364"/>
      <c r="E188" s="363"/>
      <c r="F188" s="364"/>
      <c r="G188" s="363"/>
      <c r="H188" s="363"/>
      <c r="I188" s="364"/>
      <c r="J188" s="364"/>
      <c r="U188" s="397"/>
      <c r="V188" s="398"/>
      <c r="W188" s="398"/>
      <c r="X188" s="399"/>
      <c r="Z188" s="380"/>
    </row>
    <row r="189" spans="2:26" ht="15.75">
      <c r="B189">
        <v>2</v>
      </c>
      <c r="C189" s="363"/>
      <c r="D189" s="384" t="s">
        <v>523</v>
      </c>
      <c r="E189" s="363"/>
      <c r="F189" s="364"/>
      <c r="G189" s="363"/>
      <c r="H189" s="363"/>
      <c r="I189" s="364"/>
      <c r="J189" s="364"/>
      <c r="U189" s="397"/>
      <c r="V189" s="398"/>
      <c r="W189" s="398"/>
      <c r="X189" s="399"/>
      <c r="Z189" s="380"/>
    </row>
    <row r="190" spans="2:26">
      <c r="B190">
        <v>2</v>
      </c>
      <c r="C190" s="363"/>
      <c r="D190" s="364"/>
      <c r="E190" s="363"/>
      <c r="F190" s="364"/>
      <c r="G190" s="363"/>
      <c r="H190" s="363"/>
      <c r="I190" s="364"/>
      <c r="J190" s="364"/>
      <c r="U190" s="397"/>
      <c r="V190" s="398"/>
      <c r="W190" s="398"/>
      <c r="X190" s="399"/>
      <c r="Z190" s="380"/>
    </row>
    <row r="191" spans="2:26">
      <c r="B191">
        <v>2</v>
      </c>
      <c r="C191" s="374"/>
      <c r="D191" s="388" t="s">
        <v>524</v>
      </c>
      <c r="E191" s="374"/>
      <c r="F191" s="375"/>
      <c r="G191" s="374"/>
      <c r="H191" s="374"/>
      <c r="I191" s="375"/>
      <c r="J191" s="375"/>
      <c r="U191" s="417"/>
      <c r="V191" s="418"/>
      <c r="W191" s="418"/>
      <c r="X191" s="419"/>
      <c r="Z191" s="381"/>
    </row>
    <row r="192" spans="2:26" ht="15.75">
      <c r="B192">
        <v>2</v>
      </c>
      <c r="C192" s="357" t="s">
        <v>94</v>
      </c>
      <c r="D192" s="387" t="s">
        <v>525</v>
      </c>
      <c r="E192" s="357" t="s">
        <v>526</v>
      </c>
      <c r="F192" s="378" t="s">
        <v>527</v>
      </c>
      <c r="G192" s="384" t="s">
        <v>528</v>
      </c>
      <c r="H192" s="357" t="s">
        <v>529</v>
      </c>
      <c r="I192" s="379" t="s">
        <v>530</v>
      </c>
      <c r="J192" s="379" t="s">
        <v>531</v>
      </c>
      <c r="U192" s="423" t="s">
        <v>532</v>
      </c>
      <c r="V192" s="424"/>
      <c r="W192" s="424"/>
      <c r="X192" s="425"/>
      <c r="Z192" s="379" t="s">
        <v>533</v>
      </c>
    </row>
    <row r="193" spans="2:26" ht="15.75">
      <c r="B193">
        <v>2</v>
      </c>
      <c r="C193" s="363"/>
      <c r="D193" s="364"/>
      <c r="E193" s="363"/>
      <c r="F193" s="380"/>
      <c r="G193" s="364"/>
      <c r="H193" s="363"/>
      <c r="I193" s="379" t="s">
        <v>534</v>
      </c>
      <c r="J193" s="364"/>
      <c r="U193" s="397"/>
      <c r="V193" s="398"/>
      <c r="W193" s="398"/>
      <c r="X193" s="399"/>
      <c r="Z193" s="379" t="s">
        <v>535</v>
      </c>
    </row>
    <row r="194" spans="2:26" ht="15.75">
      <c r="B194">
        <v>2</v>
      </c>
      <c r="C194" s="363"/>
      <c r="D194" s="387" t="s">
        <v>536</v>
      </c>
      <c r="E194" s="363"/>
      <c r="F194" s="380"/>
      <c r="G194" s="384" t="s">
        <v>537</v>
      </c>
      <c r="H194" s="363"/>
      <c r="I194" s="364"/>
      <c r="J194" s="384"/>
      <c r="U194" s="407" t="s">
        <v>538</v>
      </c>
      <c r="V194" s="408"/>
      <c r="W194" s="408"/>
      <c r="X194" s="409"/>
      <c r="Z194" s="364"/>
    </row>
    <row r="195" spans="2:26">
      <c r="B195">
        <v>2</v>
      </c>
      <c r="C195" s="363"/>
      <c r="D195" s="364"/>
      <c r="E195" s="363"/>
      <c r="F195" s="380"/>
      <c r="G195" s="364"/>
      <c r="H195" s="363"/>
      <c r="I195" s="364"/>
      <c r="J195" s="383"/>
      <c r="U195" s="397"/>
      <c r="V195" s="398"/>
      <c r="W195" s="398"/>
      <c r="X195" s="399"/>
      <c r="Z195" s="364"/>
    </row>
    <row r="196" spans="2:26" ht="15.75">
      <c r="B196">
        <v>2</v>
      </c>
      <c r="C196" s="363"/>
      <c r="D196" s="387" t="s">
        <v>539</v>
      </c>
      <c r="E196" s="363"/>
      <c r="F196" s="380"/>
      <c r="G196" s="384"/>
      <c r="H196" s="363"/>
      <c r="I196" s="364"/>
      <c r="J196" s="379" t="s">
        <v>540</v>
      </c>
      <c r="U196" s="407"/>
      <c r="V196" s="408"/>
      <c r="W196" s="408"/>
      <c r="X196" s="409"/>
      <c r="Z196" s="364"/>
    </row>
    <row r="197" spans="2:26" ht="15.75">
      <c r="B197">
        <v>2</v>
      </c>
      <c r="C197" s="363"/>
      <c r="D197" s="364"/>
      <c r="E197" s="363"/>
      <c r="F197" s="380"/>
      <c r="G197" s="384"/>
      <c r="H197" s="363"/>
      <c r="I197" s="364"/>
      <c r="J197" s="364"/>
      <c r="U197" s="397"/>
      <c r="V197" s="398"/>
      <c r="W197" s="398"/>
      <c r="X197" s="399"/>
      <c r="Z197" s="364"/>
    </row>
    <row r="198" spans="2:26" ht="15.75">
      <c r="B198">
        <v>2</v>
      </c>
      <c r="C198" s="363"/>
      <c r="D198" s="384"/>
      <c r="E198" s="363"/>
      <c r="F198" s="380"/>
      <c r="G198" s="384"/>
      <c r="H198" s="363"/>
      <c r="I198" s="364"/>
      <c r="J198" s="364"/>
      <c r="U198" s="414" t="s">
        <v>541</v>
      </c>
      <c r="V198" s="415"/>
      <c r="W198" s="415"/>
      <c r="X198" s="416"/>
      <c r="Z198" s="364"/>
    </row>
    <row r="199" spans="2:26" ht="15.75">
      <c r="B199">
        <v>2</v>
      </c>
      <c r="C199" s="363"/>
      <c r="D199" s="364"/>
      <c r="E199" s="363"/>
      <c r="F199" s="380"/>
      <c r="G199" s="384"/>
      <c r="H199" s="363"/>
      <c r="I199" s="364"/>
      <c r="J199" s="364"/>
      <c r="U199" s="397"/>
      <c r="V199" s="398"/>
      <c r="W199" s="398"/>
      <c r="X199" s="399"/>
      <c r="Z199" s="364"/>
    </row>
    <row r="200" spans="2:26" ht="15.75">
      <c r="B200">
        <v>2</v>
      </c>
      <c r="C200" s="363"/>
      <c r="D200" s="384" t="s">
        <v>542</v>
      </c>
      <c r="E200" s="363"/>
      <c r="F200" s="380"/>
      <c r="G200" s="384"/>
      <c r="H200" s="363"/>
      <c r="I200" s="364"/>
      <c r="J200" s="364"/>
      <c r="U200" s="407"/>
      <c r="V200" s="408"/>
      <c r="W200" s="408"/>
      <c r="X200" s="409"/>
      <c r="Z200" s="364"/>
    </row>
    <row r="201" spans="2:26" ht="15.75">
      <c r="B201">
        <v>2</v>
      </c>
      <c r="C201" s="363"/>
      <c r="D201" s="364"/>
      <c r="E201" s="363"/>
      <c r="F201" s="380"/>
      <c r="G201" s="384"/>
      <c r="H201" s="363"/>
      <c r="I201" s="364"/>
      <c r="J201" s="364"/>
      <c r="U201" s="397"/>
      <c r="V201" s="398"/>
      <c r="W201" s="398"/>
      <c r="X201" s="399"/>
      <c r="Z201" s="364"/>
    </row>
    <row r="202" spans="2:26" ht="15.75">
      <c r="B202">
        <v>2</v>
      </c>
      <c r="C202" s="363"/>
      <c r="D202" s="387" t="s">
        <v>543</v>
      </c>
      <c r="E202" s="363"/>
      <c r="F202" s="380"/>
      <c r="G202" s="384"/>
      <c r="H202" s="363"/>
      <c r="I202" s="364"/>
      <c r="J202" s="364"/>
      <c r="U202" s="397"/>
      <c r="V202" s="398"/>
      <c r="W202" s="398"/>
      <c r="X202" s="399"/>
      <c r="Z202" s="364"/>
    </row>
    <row r="203" spans="2:26" ht="15.75">
      <c r="B203">
        <v>2</v>
      </c>
      <c r="C203" s="363"/>
      <c r="D203" s="364"/>
      <c r="E203" s="363"/>
      <c r="F203" s="380"/>
      <c r="G203" s="384"/>
      <c r="H203" s="363"/>
      <c r="I203" s="364"/>
      <c r="J203" s="364"/>
      <c r="U203" s="397"/>
      <c r="V203" s="398"/>
      <c r="W203" s="398"/>
      <c r="X203" s="399"/>
      <c r="Z203" s="364"/>
    </row>
    <row r="204" spans="2:26" ht="15.75">
      <c r="B204">
        <v>2</v>
      </c>
      <c r="C204" s="374"/>
      <c r="D204" s="388" t="s">
        <v>544</v>
      </c>
      <c r="E204" s="374"/>
      <c r="F204" s="381"/>
      <c r="G204" s="385"/>
      <c r="H204" s="374"/>
      <c r="I204" s="375"/>
      <c r="J204" s="375"/>
      <c r="U204" s="417"/>
      <c r="V204" s="418"/>
      <c r="W204" s="418"/>
      <c r="X204" s="419"/>
      <c r="Z204" s="375"/>
    </row>
    <row r="205" spans="2:26" ht="15.75">
      <c r="B205">
        <v>2</v>
      </c>
      <c r="C205" s="357" t="s">
        <v>106</v>
      </c>
      <c r="D205" s="387" t="s">
        <v>545</v>
      </c>
      <c r="E205" s="357" t="s">
        <v>546</v>
      </c>
      <c r="F205" s="379" t="s">
        <v>547</v>
      </c>
      <c r="G205" s="379" t="s">
        <v>548</v>
      </c>
      <c r="H205" s="357" t="s">
        <v>549</v>
      </c>
      <c r="I205" s="379" t="s">
        <v>550</v>
      </c>
      <c r="J205" s="426" t="s">
        <v>551</v>
      </c>
      <c r="U205" s="427" t="s">
        <v>552</v>
      </c>
      <c r="V205" s="428"/>
      <c r="W205" s="428"/>
      <c r="X205" s="429"/>
      <c r="Z205" s="379" t="s">
        <v>553</v>
      </c>
    </row>
    <row r="206" spans="2:26" ht="15.75">
      <c r="B206">
        <v>2</v>
      </c>
      <c r="C206" s="363"/>
      <c r="D206" s="364"/>
      <c r="E206" s="363"/>
      <c r="F206" s="379" t="s">
        <v>554</v>
      </c>
      <c r="G206" s="379" t="s">
        <v>555</v>
      </c>
      <c r="H206" s="363"/>
      <c r="I206" s="379"/>
      <c r="J206" s="426" t="s">
        <v>556</v>
      </c>
      <c r="U206" s="430"/>
      <c r="V206" s="431"/>
      <c r="W206" s="431"/>
      <c r="X206" s="432"/>
      <c r="Z206" s="379" t="s">
        <v>557</v>
      </c>
    </row>
    <row r="207" spans="2:26" ht="15.75">
      <c r="B207">
        <v>2</v>
      </c>
      <c r="C207" s="363"/>
      <c r="D207" s="387" t="s">
        <v>558</v>
      </c>
      <c r="E207" s="363"/>
      <c r="F207" s="364"/>
      <c r="G207" s="379" t="s">
        <v>559</v>
      </c>
      <c r="H207" s="363"/>
      <c r="I207" s="364"/>
      <c r="J207" s="379" t="s">
        <v>560</v>
      </c>
      <c r="U207" s="430"/>
      <c r="V207" s="431"/>
      <c r="W207" s="431"/>
      <c r="X207" s="432"/>
      <c r="Z207" s="379" t="s">
        <v>561</v>
      </c>
    </row>
    <row r="208" spans="2:26" ht="15.75">
      <c r="B208">
        <v>2</v>
      </c>
      <c r="C208" s="363"/>
      <c r="D208" s="364"/>
      <c r="E208" s="363"/>
      <c r="F208" s="364"/>
      <c r="G208" s="379" t="s">
        <v>562</v>
      </c>
      <c r="H208" s="363"/>
      <c r="I208" s="379" t="s">
        <v>563</v>
      </c>
      <c r="J208" s="379" t="s">
        <v>564</v>
      </c>
      <c r="U208" s="430"/>
      <c r="V208" s="431"/>
      <c r="W208" s="431"/>
      <c r="X208" s="432"/>
      <c r="Z208" s="379" t="s">
        <v>565</v>
      </c>
    </row>
    <row r="209" spans="2:26" ht="15.75">
      <c r="B209">
        <v>2</v>
      </c>
      <c r="C209" s="363"/>
      <c r="D209" s="387" t="s">
        <v>566</v>
      </c>
      <c r="E209" s="363"/>
      <c r="F209" s="364"/>
      <c r="G209" s="379" t="s">
        <v>567</v>
      </c>
      <c r="H209" s="363"/>
      <c r="I209" s="364"/>
      <c r="J209" s="379" t="s">
        <v>568</v>
      </c>
      <c r="U209" s="430"/>
      <c r="V209" s="431"/>
      <c r="W209" s="431"/>
      <c r="X209" s="432"/>
      <c r="Z209" s="379" t="s">
        <v>569</v>
      </c>
    </row>
    <row r="210" spans="2:26" ht="15.75">
      <c r="B210">
        <v>2</v>
      </c>
      <c r="C210" s="363"/>
      <c r="D210" s="364"/>
      <c r="E210" s="363"/>
      <c r="F210" s="364"/>
      <c r="G210" s="379" t="s">
        <v>570</v>
      </c>
      <c r="H210" s="363"/>
      <c r="I210" s="379"/>
      <c r="J210" s="379" t="s">
        <v>571</v>
      </c>
      <c r="U210" s="430"/>
      <c r="V210" s="431"/>
      <c r="W210" s="431"/>
      <c r="X210" s="432"/>
      <c r="Z210" s="364"/>
    </row>
    <row r="211" spans="2:26" ht="15.75">
      <c r="B211">
        <v>2</v>
      </c>
      <c r="C211" s="363"/>
      <c r="D211" s="387" t="s">
        <v>572</v>
      </c>
      <c r="E211" s="363"/>
      <c r="F211" s="364"/>
      <c r="G211" s="379" t="s">
        <v>573</v>
      </c>
      <c r="H211" s="363"/>
      <c r="I211" s="364"/>
      <c r="J211" s="379" t="s">
        <v>574</v>
      </c>
      <c r="U211" s="430"/>
      <c r="V211" s="431"/>
      <c r="W211" s="431"/>
      <c r="X211" s="432"/>
      <c r="Z211" s="364"/>
    </row>
    <row r="212" spans="2:26" ht="15.75">
      <c r="B212">
        <v>2</v>
      </c>
      <c r="C212" s="363"/>
      <c r="D212" s="364"/>
      <c r="E212" s="363"/>
      <c r="F212" s="364"/>
      <c r="G212" s="364"/>
      <c r="H212" s="363"/>
      <c r="I212" s="379" t="s">
        <v>575</v>
      </c>
      <c r="J212" s="379" t="s">
        <v>576</v>
      </c>
      <c r="U212" s="430"/>
      <c r="V212" s="431"/>
      <c r="W212" s="431"/>
      <c r="X212" s="432"/>
      <c r="Z212" s="364"/>
    </row>
    <row r="213" spans="2:26" ht="15.75">
      <c r="B213">
        <v>2</v>
      </c>
      <c r="C213" s="363"/>
      <c r="D213" s="364"/>
      <c r="E213" s="363"/>
      <c r="F213" s="364"/>
      <c r="G213" s="364"/>
      <c r="H213" s="363"/>
      <c r="I213" s="364"/>
      <c r="J213" s="379" t="s">
        <v>577</v>
      </c>
      <c r="U213" s="430"/>
      <c r="V213" s="431"/>
      <c r="W213" s="431"/>
      <c r="X213" s="432"/>
      <c r="Z213" s="364"/>
    </row>
    <row r="214" spans="2:26" ht="15.75">
      <c r="B214">
        <v>2</v>
      </c>
      <c r="C214" s="363"/>
      <c r="D214" s="364"/>
      <c r="E214" s="363"/>
      <c r="F214" s="364"/>
      <c r="G214" s="364"/>
      <c r="H214" s="363"/>
      <c r="I214" s="379" t="s">
        <v>578</v>
      </c>
      <c r="J214" s="426" t="s">
        <v>579</v>
      </c>
      <c r="U214" s="430"/>
      <c r="V214" s="431"/>
      <c r="W214" s="431"/>
      <c r="X214" s="432"/>
      <c r="Z214" s="364"/>
    </row>
    <row r="215" spans="2:26" ht="15.75">
      <c r="B215">
        <v>2</v>
      </c>
      <c r="C215" s="374"/>
      <c r="D215" s="375"/>
      <c r="E215" s="374"/>
      <c r="F215" s="375"/>
      <c r="G215" s="375"/>
      <c r="H215" s="374"/>
      <c r="I215" s="382" t="s">
        <v>580</v>
      </c>
      <c r="J215" s="382" t="s">
        <v>581</v>
      </c>
      <c r="U215" s="433"/>
      <c r="V215" s="434"/>
      <c r="W215" s="434"/>
      <c r="X215" s="435"/>
      <c r="Z215" s="375"/>
    </row>
    <row r="216" spans="2:26" ht="15.75">
      <c r="B216">
        <v>2</v>
      </c>
      <c r="C216" s="357" t="s">
        <v>106</v>
      </c>
      <c r="D216" s="387" t="s">
        <v>582</v>
      </c>
      <c r="E216" s="357" t="s">
        <v>583</v>
      </c>
      <c r="F216" s="379" t="s">
        <v>584</v>
      </c>
      <c r="G216" s="379" t="s">
        <v>585</v>
      </c>
      <c r="H216" s="379" t="s">
        <v>586</v>
      </c>
      <c r="I216" s="379" t="s">
        <v>587</v>
      </c>
      <c r="J216" s="379" t="s">
        <v>588</v>
      </c>
      <c r="U216" s="423" t="s">
        <v>589</v>
      </c>
      <c r="V216" s="424"/>
      <c r="W216" s="424"/>
      <c r="X216" s="425"/>
      <c r="Z216" s="379" t="s">
        <v>590</v>
      </c>
    </row>
    <row r="217" spans="2:26" ht="15.75">
      <c r="B217">
        <v>2</v>
      </c>
      <c r="C217" s="363"/>
      <c r="D217" s="364"/>
      <c r="E217" s="363"/>
      <c r="F217" s="379" t="s">
        <v>591</v>
      </c>
      <c r="G217" s="379" t="s">
        <v>592</v>
      </c>
      <c r="H217" s="379" t="s">
        <v>593</v>
      </c>
      <c r="I217" s="379" t="s">
        <v>594</v>
      </c>
      <c r="J217" s="379" t="s">
        <v>595</v>
      </c>
      <c r="U217" s="417"/>
      <c r="V217" s="418"/>
      <c r="W217" s="418"/>
      <c r="X217" s="419"/>
      <c r="Z217" s="379" t="s">
        <v>596</v>
      </c>
    </row>
    <row r="218" spans="2:26" ht="15.75">
      <c r="B218">
        <v>2</v>
      </c>
      <c r="C218" s="363"/>
      <c r="D218" s="387" t="s">
        <v>597</v>
      </c>
      <c r="E218" s="363"/>
      <c r="F218" s="379" t="s">
        <v>598</v>
      </c>
      <c r="G218" s="379" t="s">
        <v>599</v>
      </c>
      <c r="H218" s="379" t="s">
        <v>600</v>
      </c>
      <c r="I218" s="379" t="s">
        <v>601</v>
      </c>
      <c r="J218" s="379" t="s">
        <v>602</v>
      </c>
      <c r="U218" s="436" t="s">
        <v>603</v>
      </c>
      <c r="V218" s="436" t="s">
        <v>604</v>
      </c>
      <c r="W218" s="436" t="s">
        <v>605</v>
      </c>
      <c r="X218" s="436" t="s">
        <v>606</v>
      </c>
      <c r="Z218" s="379" t="s">
        <v>607</v>
      </c>
    </row>
    <row r="219" spans="2:26" ht="15.75">
      <c r="B219">
        <v>2</v>
      </c>
      <c r="C219" s="363"/>
      <c r="D219" s="364"/>
      <c r="E219" s="363"/>
      <c r="F219" s="364"/>
      <c r="G219" s="364"/>
      <c r="H219" s="364"/>
      <c r="I219" s="379" t="s">
        <v>608</v>
      </c>
      <c r="J219" s="379" t="s">
        <v>609</v>
      </c>
      <c r="U219" s="385" t="s">
        <v>610</v>
      </c>
      <c r="V219" s="385">
        <v>26</v>
      </c>
      <c r="W219" s="385">
        <v>7</v>
      </c>
      <c r="X219" s="385">
        <v>19</v>
      </c>
      <c r="Z219" s="384"/>
    </row>
    <row r="220" spans="2:26" ht="15.75">
      <c r="B220">
        <v>2</v>
      </c>
      <c r="C220" s="363"/>
      <c r="D220" s="387" t="s">
        <v>611</v>
      </c>
      <c r="E220" s="363"/>
      <c r="F220" s="364"/>
      <c r="G220" s="364"/>
      <c r="H220" s="364"/>
      <c r="I220" s="364"/>
      <c r="J220" s="364"/>
      <c r="U220" s="385" t="s">
        <v>612</v>
      </c>
      <c r="V220" s="385">
        <v>21</v>
      </c>
      <c r="W220" s="385">
        <v>10</v>
      </c>
      <c r="X220" s="385">
        <v>11</v>
      </c>
      <c r="Z220" s="384"/>
    </row>
    <row r="221" spans="2:26" ht="15.75">
      <c r="B221">
        <v>2</v>
      </c>
      <c r="C221" s="363"/>
      <c r="D221" s="364"/>
      <c r="E221" s="363"/>
      <c r="F221" s="364"/>
      <c r="G221" s="364"/>
      <c r="H221" s="364"/>
      <c r="I221" s="364"/>
      <c r="J221" s="384"/>
      <c r="U221" s="385" t="s">
        <v>613</v>
      </c>
      <c r="V221" s="385">
        <v>2</v>
      </c>
      <c r="W221" s="385">
        <v>0</v>
      </c>
      <c r="X221" s="385">
        <v>2</v>
      </c>
      <c r="Z221" s="384"/>
    </row>
    <row r="222" spans="2:26" ht="15.75">
      <c r="B222">
        <v>2</v>
      </c>
      <c r="C222" s="374"/>
      <c r="D222" s="388" t="s">
        <v>614</v>
      </c>
      <c r="E222" s="374"/>
      <c r="F222" s="375"/>
      <c r="G222" s="375"/>
      <c r="H222" s="375"/>
      <c r="I222" s="375"/>
      <c r="J222" s="375"/>
      <c r="U222" s="437"/>
      <c r="V222" s="438"/>
      <c r="W222" s="438"/>
      <c r="X222" s="439"/>
      <c r="Z222" s="385"/>
    </row>
    <row r="223" spans="2:26" ht="15.75">
      <c r="B223">
        <v>2</v>
      </c>
      <c r="C223" s="357" t="s">
        <v>106</v>
      </c>
      <c r="D223" s="387" t="s">
        <v>615</v>
      </c>
      <c r="E223" s="357" t="s">
        <v>616</v>
      </c>
      <c r="F223" s="384" t="s">
        <v>617</v>
      </c>
      <c r="G223" s="384" t="s">
        <v>618</v>
      </c>
      <c r="H223" s="384" t="s">
        <v>619</v>
      </c>
      <c r="I223" s="384"/>
      <c r="J223" s="379" t="s">
        <v>620</v>
      </c>
      <c r="U223" s="401" t="s">
        <v>621</v>
      </c>
      <c r="V223" s="402"/>
      <c r="W223" s="402"/>
      <c r="X223" s="403"/>
      <c r="Z223" s="379" t="s">
        <v>622</v>
      </c>
    </row>
    <row r="224" spans="2:26" ht="15.75">
      <c r="B224">
        <v>2</v>
      </c>
      <c r="C224" s="363"/>
      <c r="D224" s="364"/>
      <c r="E224" s="363"/>
      <c r="F224" s="364"/>
      <c r="G224" s="364"/>
      <c r="H224" s="364"/>
      <c r="I224" s="383"/>
      <c r="J224" s="379" t="s">
        <v>623</v>
      </c>
      <c r="U224" s="404" t="s">
        <v>624</v>
      </c>
      <c r="V224" s="405"/>
      <c r="W224" s="405"/>
      <c r="X224" s="406"/>
      <c r="Z224" s="379" t="s">
        <v>625</v>
      </c>
    </row>
    <row r="225" spans="2:26" ht="15.75">
      <c r="B225">
        <v>2</v>
      </c>
      <c r="C225" s="363"/>
      <c r="D225" s="387" t="s">
        <v>626</v>
      </c>
      <c r="E225" s="363"/>
      <c r="F225" s="384" t="s">
        <v>627</v>
      </c>
      <c r="G225" s="384" t="s">
        <v>628</v>
      </c>
      <c r="H225" s="384" t="s">
        <v>629</v>
      </c>
      <c r="I225" s="379" t="s">
        <v>630</v>
      </c>
      <c r="J225" s="364"/>
      <c r="U225" s="397"/>
      <c r="V225" s="398"/>
      <c r="W225" s="398"/>
      <c r="X225" s="399"/>
      <c r="Z225" s="379" t="s">
        <v>631</v>
      </c>
    </row>
    <row r="226" spans="2:26" ht="15.75">
      <c r="B226">
        <v>2</v>
      </c>
      <c r="C226" s="363"/>
      <c r="D226" s="364"/>
      <c r="E226" s="363"/>
      <c r="F226" s="364"/>
      <c r="G226" s="364"/>
      <c r="H226" s="364"/>
      <c r="I226" s="379" t="s">
        <v>632</v>
      </c>
      <c r="J226" s="389" t="s">
        <v>633</v>
      </c>
      <c r="U226" s="407" t="s">
        <v>634</v>
      </c>
      <c r="V226" s="408"/>
      <c r="W226" s="408"/>
      <c r="X226" s="409"/>
      <c r="Z226" s="364"/>
    </row>
    <row r="227" spans="2:26" ht="15.75">
      <c r="B227">
        <v>2</v>
      </c>
      <c r="C227" s="363"/>
      <c r="D227" s="387" t="s">
        <v>635</v>
      </c>
      <c r="E227" s="363"/>
      <c r="F227" s="384" t="s">
        <v>636</v>
      </c>
      <c r="G227" s="384" t="s">
        <v>637</v>
      </c>
      <c r="H227" s="384" t="s">
        <v>638</v>
      </c>
      <c r="I227" s="364"/>
      <c r="J227" s="364"/>
      <c r="U227" s="397"/>
      <c r="V227" s="398"/>
      <c r="W227" s="398"/>
      <c r="X227" s="399"/>
      <c r="Z227" s="364"/>
    </row>
    <row r="228" spans="2:26" ht="15.75">
      <c r="B228">
        <v>2</v>
      </c>
      <c r="C228" s="363"/>
      <c r="D228" s="364"/>
      <c r="E228" s="363"/>
      <c r="F228" s="364"/>
      <c r="G228" s="364"/>
      <c r="H228" s="364"/>
      <c r="I228" s="364"/>
      <c r="J228" s="389" t="s">
        <v>639</v>
      </c>
      <c r="U228" s="414" t="s">
        <v>640</v>
      </c>
      <c r="V228" s="415"/>
      <c r="W228" s="415"/>
      <c r="X228" s="416"/>
      <c r="Z228" s="364"/>
    </row>
    <row r="229" spans="2:26" ht="15.75">
      <c r="B229">
        <v>2</v>
      </c>
      <c r="C229" s="363"/>
      <c r="D229" s="387" t="s">
        <v>641</v>
      </c>
      <c r="E229" s="363"/>
      <c r="F229" s="384" t="s">
        <v>642</v>
      </c>
      <c r="G229" s="384" t="s">
        <v>643</v>
      </c>
      <c r="H229" s="384" t="s">
        <v>644</v>
      </c>
      <c r="I229" s="364"/>
      <c r="J229" s="364"/>
      <c r="U229" s="397"/>
      <c r="V229" s="398"/>
      <c r="W229" s="398"/>
      <c r="X229" s="399"/>
      <c r="Z229" s="364"/>
    </row>
    <row r="230" spans="2:26" ht="15.75">
      <c r="B230">
        <v>2</v>
      </c>
      <c r="C230" s="363"/>
      <c r="D230" s="364"/>
      <c r="E230" s="363"/>
      <c r="F230" s="364"/>
      <c r="G230" s="364"/>
      <c r="H230" s="364"/>
      <c r="I230" s="364"/>
      <c r="J230" s="379"/>
      <c r="U230" s="397"/>
      <c r="V230" s="398"/>
      <c r="W230" s="398"/>
      <c r="X230" s="399"/>
      <c r="Z230" s="364"/>
    </row>
    <row r="231" spans="2:26" ht="15.75">
      <c r="B231">
        <v>2</v>
      </c>
      <c r="C231" s="363"/>
      <c r="D231" s="387" t="s">
        <v>645</v>
      </c>
      <c r="E231" s="363"/>
      <c r="F231" s="384" t="s">
        <v>646</v>
      </c>
      <c r="G231" s="384"/>
      <c r="H231" s="364"/>
      <c r="I231" s="364"/>
      <c r="J231" s="364"/>
      <c r="U231" s="397"/>
      <c r="V231" s="398"/>
      <c r="W231" s="398"/>
      <c r="X231" s="399"/>
      <c r="Z231" s="364"/>
    </row>
    <row r="232" spans="2:26">
      <c r="B232">
        <v>2</v>
      </c>
      <c r="C232" s="363"/>
      <c r="D232" s="364"/>
      <c r="E232" s="363"/>
      <c r="F232" s="364"/>
      <c r="G232" s="364"/>
      <c r="H232" s="364"/>
      <c r="I232" s="364"/>
      <c r="J232" s="364"/>
      <c r="U232" s="397"/>
      <c r="V232" s="398"/>
      <c r="W232" s="398"/>
      <c r="X232" s="399"/>
      <c r="Z232" s="364"/>
    </row>
    <row r="233" spans="2:26" ht="15.75">
      <c r="B233">
        <v>2</v>
      </c>
      <c r="C233" s="363"/>
      <c r="D233" s="387" t="s">
        <v>640</v>
      </c>
      <c r="E233" s="363"/>
      <c r="F233" s="384"/>
      <c r="G233" s="364"/>
      <c r="H233" s="364"/>
      <c r="I233" s="364"/>
      <c r="J233" s="364"/>
      <c r="U233" s="397"/>
      <c r="V233" s="398"/>
      <c r="W233" s="398"/>
      <c r="X233" s="399"/>
      <c r="Z233" s="364"/>
    </row>
    <row r="234" spans="2:26">
      <c r="B234">
        <v>2</v>
      </c>
      <c r="C234" s="363"/>
      <c r="D234" s="364"/>
      <c r="E234" s="363"/>
      <c r="F234" s="364"/>
      <c r="G234" s="364"/>
      <c r="H234" s="364"/>
      <c r="I234" s="364"/>
      <c r="J234" s="364"/>
      <c r="U234" s="397"/>
      <c r="V234" s="398"/>
      <c r="W234" s="398"/>
      <c r="X234" s="399"/>
      <c r="Z234" s="364"/>
    </row>
    <row r="235" spans="2:26" ht="15.75">
      <c r="B235">
        <v>2</v>
      </c>
      <c r="C235" s="374"/>
      <c r="D235" s="385"/>
      <c r="E235" s="374"/>
      <c r="F235" s="385"/>
      <c r="G235" s="375"/>
      <c r="H235" s="375"/>
      <c r="I235" s="375"/>
      <c r="J235" s="375"/>
      <c r="U235" s="417"/>
      <c r="V235" s="418"/>
      <c r="W235" s="418"/>
      <c r="X235" s="419"/>
      <c r="Z235" s="375"/>
    </row>
    <row r="236" spans="2:26" ht="15.75">
      <c r="B236">
        <v>2</v>
      </c>
      <c r="C236" s="357" t="s">
        <v>180</v>
      </c>
      <c r="D236" s="387" t="s">
        <v>647</v>
      </c>
      <c r="E236" s="357" t="s">
        <v>648</v>
      </c>
      <c r="F236" s="379" t="s">
        <v>649</v>
      </c>
      <c r="G236" s="378" t="s">
        <v>650</v>
      </c>
      <c r="H236" s="378" t="s">
        <v>651</v>
      </c>
      <c r="I236" s="379" t="s">
        <v>652</v>
      </c>
      <c r="J236" s="378" t="s">
        <v>653</v>
      </c>
      <c r="U236" s="401" t="s">
        <v>654</v>
      </c>
      <c r="V236" s="402"/>
      <c r="W236" s="402"/>
      <c r="X236" s="403"/>
      <c r="Z236" s="357" t="s">
        <v>655</v>
      </c>
    </row>
    <row r="237" spans="2:26" ht="15.75">
      <c r="B237">
        <v>2</v>
      </c>
      <c r="C237" s="363"/>
      <c r="D237" s="364"/>
      <c r="E237" s="363"/>
      <c r="F237" s="379" t="s">
        <v>656</v>
      </c>
      <c r="G237" s="380"/>
      <c r="H237" s="380"/>
      <c r="I237" s="379" t="s">
        <v>657</v>
      </c>
      <c r="J237" s="380"/>
      <c r="U237" s="404"/>
      <c r="V237" s="405"/>
      <c r="W237" s="405"/>
      <c r="X237" s="406"/>
      <c r="Z237" s="363"/>
    </row>
    <row r="238" spans="2:26">
      <c r="B238">
        <v>2</v>
      </c>
      <c r="C238" s="363"/>
      <c r="D238" s="387" t="s">
        <v>658</v>
      </c>
      <c r="E238" s="363"/>
      <c r="F238" s="364"/>
      <c r="G238" s="380"/>
      <c r="H238" s="380"/>
      <c r="I238" s="364"/>
      <c r="J238" s="380"/>
      <c r="U238" s="404"/>
      <c r="V238" s="405"/>
      <c r="W238" s="405"/>
      <c r="X238" s="406"/>
      <c r="Z238" s="363"/>
    </row>
    <row r="239" spans="2:26">
      <c r="B239">
        <v>2</v>
      </c>
      <c r="C239" s="363"/>
      <c r="D239" s="364"/>
      <c r="E239" s="363"/>
      <c r="F239" s="364"/>
      <c r="G239" s="380"/>
      <c r="H239" s="380"/>
      <c r="I239" s="364"/>
      <c r="J239" s="380"/>
      <c r="U239" s="404"/>
      <c r="V239" s="405"/>
      <c r="W239" s="405"/>
      <c r="X239" s="406"/>
      <c r="Z239" s="363"/>
    </row>
    <row r="240" spans="2:26">
      <c r="B240">
        <v>2</v>
      </c>
      <c r="C240" s="374"/>
      <c r="D240" s="388" t="s">
        <v>659</v>
      </c>
      <c r="E240" s="374"/>
      <c r="F240" s="375"/>
      <c r="G240" s="381"/>
      <c r="H240" s="381"/>
      <c r="I240" s="375"/>
      <c r="J240" s="381"/>
      <c r="U240" s="440"/>
      <c r="V240" s="441"/>
      <c r="W240" s="441"/>
      <c r="X240" s="442"/>
      <c r="Z240" s="374"/>
    </row>
    <row r="241" spans="2:26" ht="15.75">
      <c r="B241">
        <v>2</v>
      </c>
      <c r="C241" s="357" t="s">
        <v>195</v>
      </c>
      <c r="D241" s="384" t="s">
        <v>660</v>
      </c>
      <c r="E241" s="357" t="s">
        <v>661</v>
      </c>
      <c r="F241" s="379" t="s">
        <v>662</v>
      </c>
      <c r="G241" s="379" t="s">
        <v>663</v>
      </c>
      <c r="H241" s="379" t="s">
        <v>664</v>
      </c>
      <c r="I241" s="379" t="s">
        <v>665</v>
      </c>
      <c r="J241" s="379" t="s">
        <v>666</v>
      </c>
      <c r="U241" s="401" t="s">
        <v>667</v>
      </c>
      <c r="V241" s="402"/>
      <c r="W241" s="402"/>
      <c r="X241" s="403"/>
      <c r="Z241" s="379" t="s">
        <v>668</v>
      </c>
    </row>
    <row r="242" spans="2:26" ht="15.75">
      <c r="B242">
        <v>2</v>
      </c>
      <c r="C242" s="363"/>
      <c r="D242" s="364"/>
      <c r="E242" s="363"/>
      <c r="F242" s="379" t="s">
        <v>669</v>
      </c>
      <c r="G242" s="379" t="s">
        <v>670</v>
      </c>
      <c r="H242" s="379" t="s">
        <v>671</v>
      </c>
      <c r="I242" s="379" t="s">
        <v>672</v>
      </c>
      <c r="J242" s="379" t="s">
        <v>673</v>
      </c>
      <c r="U242" s="404" t="s">
        <v>674</v>
      </c>
      <c r="V242" s="405"/>
      <c r="W242" s="405"/>
      <c r="X242" s="406"/>
      <c r="Z242" s="379" t="s">
        <v>675</v>
      </c>
    </row>
    <row r="243" spans="2:26" ht="15.75">
      <c r="B243">
        <v>2</v>
      </c>
      <c r="C243" s="363"/>
      <c r="D243" s="384" t="s">
        <v>676</v>
      </c>
      <c r="E243" s="363"/>
      <c r="F243" s="364"/>
      <c r="G243" s="379" t="s">
        <v>677</v>
      </c>
      <c r="H243" s="364"/>
      <c r="I243" s="379" t="s">
        <v>678</v>
      </c>
      <c r="J243" s="379" t="s">
        <v>679</v>
      </c>
      <c r="U243" s="407"/>
      <c r="V243" s="408"/>
      <c r="W243" s="408"/>
      <c r="X243" s="409"/>
      <c r="Z243" s="379" t="s">
        <v>680</v>
      </c>
    </row>
    <row r="244" spans="2:26" ht="15.75">
      <c r="B244">
        <v>2</v>
      </c>
      <c r="C244" s="363"/>
      <c r="D244" s="364"/>
      <c r="E244" s="363"/>
      <c r="F244" s="364"/>
      <c r="G244" s="364"/>
      <c r="H244" s="364"/>
      <c r="I244" s="379" t="s">
        <v>681</v>
      </c>
      <c r="J244" s="364"/>
      <c r="U244" s="407"/>
      <c r="V244" s="408"/>
      <c r="W244" s="408"/>
      <c r="X244" s="409"/>
      <c r="Z244" s="379" t="s">
        <v>682</v>
      </c>
    </row>
    <row r="245" spans="2:26" ht="15.75">
      <c r="B245">
        <v>2</v>
      </c>
      <c r="C245" s="363"/>
      <c r="D245" s="384" t="s">
        <v>683</v>
      </c>
      <c r="E245" s="363"/>
      <c r="F245" s="364"/>
      <c r="G245" s="384"/>
      <c r="H245" s="364"/>
      <c r="I245" s="379" t="s">
        <v>684</v>
      </c>
      <c r="J245" s="364"/>
      <c r="U245" s="407"/>
      <c r="V245" s="408"/>
      <c r="W245" s="408"/>
      <c r="X245" s="409"/>
      <c r="Z245" s="364"/>
    </row>
    <row r="246" spans="2:26" ht="15.75">
      <c r="B246">
        <v>2</v>
      </c>
      <c r="C246" s="363"/>
      <c r="D246" s="364"/>
      <c r="E246" s="363"/>
      <c r="F246" s="364"/>
      <c r="G246" s="384"/>
      <c r="H246" s="364"/>
      <c r="I246" s="379" t="s">
        <v>685</v>
      </c>
      <c r="J246" s="364"/>
      <c r="U246" s="407"/>
      <c r="V246" s="408"/>
      <c r="W246" s="408"/>
      <c r="X246" s="409"/>
      <c r="Z246" s="364"/>
    </row>
    <row r="247" spans="2:26" ht="15.75">
      <c r="B247">
        <v>2</v>
      </c>
      <c r="C247" s="363"/>
      <c r="D247" s="384" t="s">
        <v>686</v>
      </c>
      <c r="E247" s="363"/>
      <c r="F247" s="364"/>
      <c r="G247" s="384"/>
      <c r="H247" s="364"/>
      <c r="I247" s="383"/>
      <c r="J247" s="364"/>
      <c r="U247" s="407"/>
      <c r="V247" s="408"/>
      <c r="W247" s="408"/>
      <c r="X247" s="409"/>
      <c r="Z247" s="364"/>
    </row>
    <row r="248" spans="2:26" ht="15.75">
      <c r="B248">
        <v>2</v>
      </c>
      <c r="C248" s="363"/>
      <c r="D248" s="364"/>
      <c r="E248" s="363"/>
      <c r="F248" s="364"/>
      <c r="G248" s="384"/>
      <c r="H248" s="364"/>
      <c r="I248" s="379" t="s">
        <v>687</v>
      </c>
      <c r="J248" s="364"/>
      <c r="U248" s="407"/>
      <c r="V248" s="408"/>
      <c r="W248" s="408"/>
      <c r="X248" s="409"/>
      <c r="Z248" s="364"/>
    </row>
    <row r="249" spans="2:26" ht="15.75">
      <c r="B249">
        <v>2</v>
      </c>
      <c r="C249" s="363"/>
      <c r="D249" s="384"/>
      <c r="E249" s="363"/>
      <c r="F249" s="364"/>
      <c r="G249" s="384"/>
      <c r="H249" s="364"/>
      <c r="I249" s="379" t="s">
        <v>688</v>
      </c>
      <c r="J249" s="364"/>
      <c r="U249" s="407"/>
      <c r="V249" s="408"/>
      <c r="W249" s="408"/>
      <c r="X249" s="409"/>
      <c r="Z249" s="364"/>
    </row>
    <row r="250" spans="2:26" ht="15.75">
      <c r="B250">
        <v>2</v>
      </c>
      <c r="C250" s="363"/>
      <c r="D250" s="384"/>
      <c r="E250" s="363"/>
      <c r="F250" s="364"/>
      <c r="G250" s="384"/>
      <c r="H250" s="364"/>
      <c r="I250" s="379" t="s">
        <v>689</v>
      </c>
      <c r="J250" s="364"/>
      <c r="U250" s="407"/>
      <c r="V250" s="408"/>
      <c r="W250" s="408"/>
      <c r="X250" s="409"/>
      <c r="Z250" s="364"/>
    </row>
    <row r="251" spans="2:26" ht="15.75">
      <c r="B251">
        <v>2</v>
      </c>
      <c r="C251" s="363"/>
      <c r="D251" s="384"/>
      <c r="E251" s="363"/>
      <c r="F251" s="364"/>
      <c r="G251" s="384"/>
      <c r="H251" s="364"/>
      <c r="I251" s="379" t="s">
        <v>690</v>
      </c>
      <c r="J251" s="364"/>
      <c r="U251" s="407"/>
      <c r="V251" s="408"/>
      <c r="W251" s="408"/>
      <c r="X251" s="409"/>
      <c r="Z251" s="364"/>
    </row>
    <row r="252" spans="2:26" ht="15.75">
      <c r="B252">
        <v>2</v>
      </c>
      <c r="C252" s="363"/>
      <c r="D252" s="384"/>
      <c r="E252" s="363"/>
      <c r="F252" s="364"/>
      <c r="G252" s="384"/>
      <c r="H252" s="364"/>
      <c r="I252" s="379" t="s">
        <v>691</v>
      </c>
      <c r="J252" s="364"/>
      <c r="U252" s="407"/>
      <c r="V252" s="408"/>
      <c r="W252" s="408"/>
      <c r="X252" s="409"/>
      <c r="Z252" s="364"/>
    </row>
    <row r="253" spans="2:26" ht="15.75">
      <c r="B253">
        <v>2</v>
      </c>
      <c r="C253" s="363"/>
      <c r="D253" s="384"/>
      <c r="E253" s="363"/>
      <c r="F253" s="364"/>
      <c r="G253" s="384"/>
      <c r="H253" s="364"/>
      <c r="I253" s="379" t="s">
        <v>692</v>
      </c>
      <c r="J253" s="364"/>
      <c r="U253" s="407"/>
      <c r="V253" s="408"/>
      <c r="W253" s="408"/>
      <c r="X253" s="409"/>
      <c r="Z253" s="364"/>
    </row>
    <row r="254" spans="2:26" ht="15.75">
      <c r="B254">
        <v>2</v>
      </c>
      <c r="C254" s="363"/>
      <c r="D254" s="384"/>
      <c r="E254" s="363"/>
      <c r="F254" s="364"/>
      <c r="G254" s="384"/>
      <c r="H254" s="364"/>
      <c r="I254" s="379" t="s">
        <v>693</v>
      </c>
      <c r="J254" s="364"/>
      <c r="U254" s="407"/>
      <c r="V254" s="408"/>
      <c r="W254" s="408"/>
      <c r="X254" s="409"/>
      <c r="Z254" s="364"/>
    </row>
    <row r="255" spans="2:26" ht="15.75">
      <c r="B255">
        <v>2</v>
      </c>
      <c r="C255" s="363"/>
      <c r="D255" s="384"/>
      <c r="E255" s="363"/>
      <c r="F255" s="364"/>
      <c r="G255" s="384"/>
      <c r="H255" s="364"/>
      <c r="I255" s="364"/>
      <c r="J255" s="364"/>
      <c r="U255" s="407"/>
      <c r="V255" s="408"/>
      <c r="W255" s="408"/>
      <c r="X255" s="409"/>
      <c r="Z255" s="364"/>
    </row>
    <row r="256" spans="2:26" ht="15.75">
      <c r="B256">
        <v>2</v>
      </c>
      <c r="C256" s="363"/>
      <c r="D256" s="384"/>
      <c r="E256" s="363"/>
      <c r="F256" s="364"/>
      <c r="G256" s="384"/>
      <c r="H256" s="364"/>
      <c r="I256" s="384"/>
      <c r="J256" s="364"/>
      <c r="U256" s="407"/>
      <c r="V256" s="408"/>
      <c r="W256" s="408"/>
      <c r="X256" s="409"/>
      <c r="Z256" s="364"/>
    </row>
    <row r="257" spans="2:26" ht="15.75">
      <c r="B257">
        <v>2</v>
      </c>
      <c r="C257" s="363"/>
      <c r="D257" s="384"/>
      <c r="E257" s="363"/>
      <c r="F257" s="364"/>
      <c r="G257" s="384"/>
      <c r="H257" s="364"/>
      <c r="I257" s="364"/>
      <c r="J257" s="364"/>
      <c r="U257" s="407"/>
      <c r="V257" s="408"/>
      <c r="W257" s="408"/>
      <c r="X257" s="409"/>
      <c r="Z257" s="364"/>
    </row>
    <row r="258" spans="2:26" ht="15.75">
      <c r="B258">
        <v>2</v>
      </c>
      <c r="C258" s="363"/>
      <c r="D258" s="384"/>
      <c r="E258" s="363"/>
      <c r="F258" s="364"/>
      <c r="G258" s="384"/>
      <c r="H258" s="364"/>
      <c r="I258" s="384"/>
      <c r="J258" s="364"/>
      <c r="U258" s="407"/>
      <c r="V258" s="408"/>
      <c r="W258" s="408"/>
      <c r="X258" s="409"/>
      <c r="Z258" s="364"/>
    </row>
    <row r="259" spans="2:26" ht="15.75">
      <c r="B259">
        <v>2</v>
      </c>
      <c r="C259" s="363"/>
      <c r="D259" s="384"/>
      <c r="E259" s="363"/>
      <c r="F259" s="364"/>
      <c r="G259" s="384"/>
      <c r="H259" s="364"/>
      <c r="I259" s="384"/>
      <c r="J259" s="364"/>
      <c r="U259" s="407"/>
      <c r="V259" s="408"/>
      <c r="W259" s="408"/>
      <c r="X259" s="409"/>
      <c r="Z259" s="364"/>
    </row>
    <row r="260" spans="2:26" ht="15.75">
      <c r="B260">
        <v>2</v>
      </c>
      <c r="C260" s="374"/>
      <c r="D260" s="385"/>
      <c r="E260" s="374"/>
      <c r="F260" s="375"/>
      <c r="G260" s="385"/>
      <c r="H260" s="375"/>
      <c r="I260" s="385"/>
      <c r="J260" s="375"/>
      <c r="U260" s="443"/>
      <c r="V260" s="444"/>
      <c r="W260" s="444"/>
      <c r="X260" s="445"/>
      <c r="Z260" s="375"/>
    </row>
    <row r="261" spans="2:26" ht="15.75">
      <c r="B261">
        <v>2</v>
      </c>
      <c r="C261" s="357" t="s">
        <v>238</v>
      </c>
      <c r="D261" s="387" t="s">
        <v>694</v>
      </c>
      <c r="E261" s="384" t="s">
        <v>695</v>
      </c>
      <c r="F261" s="379" t="s">
        <v>696</v>
      </c>
      <c r="G261" s="413" t="s">
        <v>697</v>
      </c>
      <c r="H261" s="379" t="s">
        <v>698</v>
      </c>
      <c r="I261" s="379" t="s">
        <v>696</v>
      </c>
      <c r="J261" s="379" t="s">
        <v>699</v>
      </c>
      <c r="U261" s="401" t="s">
        <v>700</v>
      </c>
      <c r="V261" s="402"/>
      <c r="W261" s="402"/>
      <c r="X261" s="403"/>
      <c r="Z261" s="379" t="s">
        <v>701</v>
      </c>
    </row>
    <row r="262" spans="2:26" ht="15.75">
      <c r="B262">
        <v>2</v>
      </c>
      <c r="C262" s="363"/>
      <c r="D262" s="364"/>
      <c r="E262" s="364"/>
      <c r="F262" s="379" t="s">
        <v>702</v>
      </c>
      <c r="G262" s="383"/>
      <c r="H262" s="379" t="s">
        <v>703</v>
      </c>
      <c r="I262" s="383"/>
      <c r="J262" s="379" t="s">
        <v>704</v>
      </c>
      <c r="U262" s="404" t="s">
        <v>705</v>
      </c>
      <c r="V262" s="405"/>
      <c r="W262" s="405"/>
      <c r="X262" s="406"/>
      <c r="Z262" s="379" t="s">
        <v>706</v>
      </c>
    </row>
    <row r="263" spans="2:26" ht="15.75">
      <c r="B263">
        <v>2</v>
      </c>
      <c r="C263" s="363"/>
      <c r="D263" s="387" t="s">
        <v>707</v>
      </c>
      <c r="E263" s="384" t="s">
        <v>708</v>
      </c>
      <c r="F263" s="364"/>
      <c r="G263" s="379" t="s">
        <v>709</v>
      </c>
      <c r="H263" s="364"/>
      <c r="I263" s="379" t="s">
        <v>710</v>
      </c>
      <c r="J263" s="364"/>
      <c r="U263" s="404" t="s">
        <v>711</v>
      </c>
      <c r="V263" s="405"/>
      <c r="W263" s="405"/>
      <c r="X263" s="406"/>
      <c r="Z263" s="364"/>
    </row>
    <row r="264" spans="2:26" ht="15.75">
      <c r="B264">
        <v>2</v>
      </c>
      <c r="C264" s="363"/>
      <c r="D264" s="364"/>
      <c r="E264" s="364"/>
      <c r="F264" s="364"/>
      <c r="G264" s="379" t="s">
        <v>712</v>
      </c>
      <c r="H264" s="364"/>
      <c r="I264" s="379" t="s">
        <v>713</v>
      </c>
      <c r="J264" s="364"/>
      <c r="U264" s="404" t="s">
        <v>714</v>
      </c>
      <c r="V264" s="405"/>
      <c r="W264" s="405"/>
      <c r="X264" s="406"/>
      <c r="Z264" s="364"/>
    </row>
    <row r="265" spans="2:26">
      <c r="B265">
        <v>2</v>
      </c>
      <c r="C265" s="363"/>
      <c r="D265" s="387" t="s">
        <v>715</v>
      </c>
      <c r="E265" s="364"/>
      <c r="F265" s="364"/>
      <c r="G265" s="400" t="s">
        <v>716</v>
      </c>
      <c r="H265" s="364"/>
      <c r="I265" s="364"/>
      <c r="J265" s="364"/>
      <c r="U265" s="420" t="s">
        <v>717</v>
      </c>
      <c r="V265" s="421"/>
      <c r="W265" s="421"/>
      <c r="X265" s="422"/>
      <c r="Z265" s="364"/>
    </row>
    <row r="266" spans="2:26" ht="15.75">
      <c r="B266">
        <v>2</v>
      </c>
      <c r="C266" s="363"/>
      <c r="D266" s="364"/>
      <c r="E266" s="364"/>
      <c r="F266" s="364"/>
      <c r="G266" s="364"/>
      <c r="H266" s="364"/>
      <c r="I266" s="379" t="s">
        <v>718</v>
      </c>
      <c r="J266" s="364"/>
      <c r="U266" s="407"/>
      <c r="V266" s="408"/>
      <c r="W266" s="408"/>
      <c r="X266" s="409"/>
      <c r="Z266" s="364"/>
    </row>
    <row r="267" spans="2:26" ht="15.75">
      <c r="B267">
        <v>2</v>
      </c>
      <c r="C267" s="363"/>
      <c r="D267" s="387" t="s">
        <v>719</v>
      </c>
      <c r="E267" s="364"/>
      <c r="F267" s="364"/>
      <c r="G267" s="364"/>
      <c r="H267" s="364"/>
      <c r="I267" s="383"/>
      <c r="J267" s="364"/>
      <c r="U267" s="407"/>
      <c r="V267" s="408"/>
      <c r="W267" s="408"/>
      <c r="X267" s="409"/>
      <c r="Z267" s="364"/>
    </row>
    <row r="268" spans="2:26" ht="15.75">
      <c r="B268">
        <v>2</v>
      </c>
      <c r="C268" s="363"/>
      <c r="D268" s="364"/>
      <c r="E268" s="364"/>
      <c r="F268" s="364"/>
      <c r="G268" s="364"/>
      <c r="H268" s="364"/>
      <c r="I268" s="379" t="s">
        <v>720</v>
      </c>
      <c r="J268" s="364"/>
      <c r="U268" s="407"/>
      <c r="V268" s="408"/>
      <c r="W268" s="408"/>
      <c r="X268" s="409"/>
      <c r="Z268" s="364"/>
    </row>
    <row r="269" spans="2:26" ht="15.75">
      <c r="B269">
        <v>2</v>
      </c>
      <c r="C269" s="363"/>
      <c r="D269" s="364"/>
      <c r="E269" s="364"/>
      <c r="F269" s="364"/>
      <c r="G269" s="364"/>
      <c r="H269" s="364"/>
      <c r="I269" s="379" t="s">
        <v>721</v>
      </c>
      <c r="J269" s="364"/>
      <c r="U269" s="407"/>
      <c r="V269" s="408"/>
      <c r="W269" s="408"/>
      <c r="X269" s="409"/>
      <c r="Z269" s="364"/>
    </row>
    <row r="270" spans="2:26" ht="15.75">
      <c r="B270">
        <v>2</v>
      </c>
      <c r="C270" s="363"/>
      <c r="D270" s="364"/>
      <c r="E270" s="364"/>
      <c r="F270" s="364"/>
      <c r="G270" s="364"/>
      <c r="H270" s="364"/>
      <c r="I270" s="383"/>
      <c r="J270" s="364"/>
      <c r="U270" s="407"/>
      <c r="V270" s="408"/>
      <c r="W270" s="408"/>
      <c r="X270" s="409"/>
      <c r="Z270" s="364"/>
    </row>
    <row r="271" spans="2:26" ht="15.75">
      <c r="B271">
        <v>2</v>
      </c>
      <c r="C271" s="363"/>
      <c r="D271" s="364"/>
      <c r="E271" s="364"/>
      <c r="F271" s="364"/>
      <c r="G271" s="364"/>
      <c r="H271" s="364"/>
      <c r="I271" s="379" t="s">
        <v>702</v>
      </c>
      <c r="J271" s="364"/>
      <c r="U271" s="407"/>
      <c r="V271" s="408"/>
      <c r="W271" s="408"/>
      <c r="X271" s="409"/>
      <c r="Z271" s="364"/>
    </row>
    <row r="272" spans="2:26" ht="15.75">
      <c r="B272">
        <v>2</v>
      </c>
      <c r="C272" s="363"/>
      <c r="D272" s="364"/>
      <c r="E272" s="364"/>
      <c r="F272" s="364"/>
      <c r="G272" s="364"/>
      <c r="H272" s="364"/>
      <c r="I272" s="383"/>
      <c r="J272" s="364"/>
      <c r="U272" s="407"/>
      <c r="V272" s="408"/>
      <c r="W272" s="408"/>
      <c r="X272" s="409"/>
      <c r="Z272" s="364"/>
    </row>
    <row r="273" spans="2:26" ht="15.75">
      <c r="B273">
        <v>2</v>
      </c>
      <c r="C273" s="363"/>
      <c r="D273" s="364"/>
      <c r="E273" s="364"/>
      <c r="F273" s="364"/>
      <c r="G273" s="364"/>
      <c r="H273" s="364"/>
      <c r="I273" s="379" t="s">
        <v>710</v>
      </c>
      <c r="J273" s="364"/>
      <c r="U273" s="407"/>
      <c r="V273" s="408"/>
      <c r="W273" s="408"/>
      <c r="X273" s="409"/>
      <c r="Z273" s="364"/>
    </row>
    <row r="274" spans="2:26" ht="15.75">
      <c r="B274">
        <v>2</v>
      </c>
      <c r="C274" s="363"/>
      <c r="D274" s="364"/>
      <c r="E274" s="364"/>
      <c r="F274" s="364"/>
      <c r="G274" s="364"/>
      <c r="H274" s="364"/>
      <c r="I274" s="379" t="s">
        <v>722</v>
      </c>
      <c r="J274" s="364"/>
      <c r="U274" s="407"/>
      <c r="V274" s="408"/>
      <c r="W274" s="408"/>
      <c r="X274" s="409"/>
      <c r="Z274" s="364"/>
    </row>
    <row r="275" spans="2:26" ht="15.75">
      <c r="B275">
        <v>2</v>
      </c>
      <c r="C275" s="374"/>
      <c r="D275" s="375"/>
      <c r="E275" s="375"/>
      <c r="F275" s="375"/>
      <c r="G275" s="375"/>
      <c r="H275" s="375"/>
      <c r="I275" s="382" t="s">
        <v>723</v>
      </c>
      <c r="J275" s="375"/>
      <c r="U275" s="443"/>
      <c r="V275" s="444"/>
      <c r="W275" s="444"/>
      <c r="X275" s="445"/>
      <c r="Z275" s="375"/>
    </row>
    <row r="276" spans="2:26" ht="15.75">
      <c r="B276">
        <v>2</v>
      </c>
      <c r="C276" s="357" t="s">
        <v>259</v>
      </c>
      <c r="D276" s="387" t="s">
        <v>281</v>
      </c>
      <c r="E276" s="357" t="s">
        <v>724</v>
      </c>
      <c r="F276" s="379" t="s">
        <v>725</v>
      </c>
      <c r="G276" s="379" t="s">
        <v>726</v>
      </c>
      <c r="H276" s="379" t="s">
        <v>727</v>
      </c>
      <c r="I276" s="379" t="s">
        <v>728</v>
      </c>
      <c r="J276" s="357" t="s">
        <v>729</v>
      </c>
      <c r="U276" s="401" t="s">
        <v>730</v>
      </c>
      <c r="V276" s="402"/>
      <c r="W276" s="402"/>
      <c r="X276" s="403"/>
      <c r="Z276" s="357" t="s">
        <v>731</v>
      </c>
    </row>
    <row r="277" spans="2:26" ht="15.75">
      <c r="B277">
        <v>2</v>
      </c>
      <c r="C277" s="363"/>
      <c r="D277" s="364"/>
      <c r="E277" s="363"/>
      <c r="F277" s="379" t="s">
        <v>732</v>
      </c>
      <c r="G277" s="379" t="s">
        <v>733</v>
      </c>
      <c r="H277" s="379" t="s">
        <v>734</v>
      </c>
      <c r="I277" s="379" t="s">
        <v>735</v>
      </c>
      <c r="J277" s="363"/>
      <c r="U277" s="397"/>
      <c r="V277" s="398"/>
      <c r="W277" s="398"/>
      <c r="X277" s="399"/>
      <c r="Z277" s="363"/>
    </row>
    <row r="278" spans="2:26" ht="15.75">
      <c r="B278">
        <v>2</v>
      </c>
      <c r="C278" s="363"/>
      <c r="D278" s="387" t="s">
        <v>275</v>
      </c>
      <c r="E278" s="363"/>
      <c r="F278" s="364"/>
      <c r="G278" s="379" t="s">
        <v>736</v>
      </c>
      <c r="H278" s="379" t="s">
        <v>737</v>
      </c>
      <c r="I278" s="364"/>
      <c r="J278" s="363"/>
      <c r="U278" s="407"/>
      <c r="V278" s="408"/>
      <c r="W278" s="408"/>
      <c r="X278" s="409"/>
      <c r="Z278" s="363"/>
    </row>
    <row r="279" spans="2:26" ht="15.75">
      <c r="B279">
        <v>2</v>
      </c>
      <c r="C279" s="363"/>
      <c r="D279" s="364"/>
      <c r="E279" s="363"/>
      <c r="F279" s="364"/>
      <c r="G279" s="379" t="s">
        <v>738</v>
      </c>
      <c r="H279" s="379" t="s">
        <v>739</v>
      </c>
      <c r="I279" s="364"/>
      <c r="J279" s="363"/>
      <c r="U279" s="397"/>
      <c r="V279" s="398"/>
      <c r="W279" s="398"/>
      <c r="X279" s="399"/>
      <c r="Z279" s="363"/>
    </row>
    <row r="280" spans="2:26" ht="15.75">
      <c r="B280">
        <v>2</v>
      </c>
      <c r="C280" s="363"/>
      <c r="D280" s="387" t="s">
        <v>740</v>
      </c>
      <c r="E280" s="363"/>
      <c r="F280" s="364"/>
      <c r="G280" s="364"/>
      <c r="H280" s="364"/>
      <c r="I280" s="364"/>
      <c r="J280" s="363"/>
      <c r="U280" s="446" t="s">
        <v>741</v>
      </c>
      <c r="V280" s="446" t="s">
        <v>742</v>
      </c>
      <c r="X280" s="447"/>
      <c r="Z280" s="363"/>
    </row>
    <row r="281" spans="2:26" ht="15.75">
      <c r="B281">
        <v>2</v>
      </c>
      <c r="C281" s="363"/>
      <c r="D281" s="364"/>
      <c r="E281" s="363"/>
      <c r="F281" s="364"/>
      <c r="G281" s="364"/>
      <c r="H281" s="364"/>
      <c r="I281" s="364"/>
      <c r="J281" s="363"/>
      <c r="U281" s="385" t="s">
        <v>743</v>
      </c>
      <c r="V281" s="448">
        <v>3.03</v>
      </c>
      <c r="X281" s="447"/>
      <c r="Z281" s="363"/>
    </row>
    <row r="282" spans="2:26" ht="15.75">
      <c r="B282">
        <v>2</v>
      </c>
      <c r="C282" s="363"/>
      <c r="D282" s="364"/>
      <c r="E282" s="363"/>
      <c r="F282" s="364"/>
      <c r="G282" s="364"/>
      <c r="H282" s="364"/>
      <c r="I282" s="364"/>
      <c r="J282" s="363"/>
      <c r="U282" s="385" t="s">
        <v>744</v>
      </c>
      <c r="V282" s="448">
        <v>7.24</v>
      </c>
      <c r="X282" s="447"/>
      <c r="Z282" s="363"/>
    </row>
    <row r="283" spans="2:26" ht="15.75">
      <c r="B283">
        <v>2</v>
      </c>
      <c r="C283" s="363"/>
      <c r="D283" s="364"/>
      <c r="E283" s="363"/>
      <c r="F283" s="364"/>
      <c r="G283" s="364"/>
      <c r="H283" s="364"/>
      <c r="I283" s="364"/>
      <c r="J283" s="363"/>
      <c r="U283" s="385" t="s">
        <v>745</v>
      </c>
      <c r="V283" s="448">
        <v>35.683999999999997</v>
      </c>
      <c r="X283" s="447"/>
      <c r="Z283" s="363"/>
    </row>
    <row r="284" spans="2:26">
      <c r="B284">
        <v>2</v>
      </c>
      <c r="C284" s="363"/>
      <c r="D284" s="364"/>
      <c r="E284" s="363"/>
      <c r="F284" s="364"/>
      <c r="G284" s="364"/>
      <c r="H284" s="364"/>
      <c r="I284" s="364"/>
      <c r="J284" s="363"/>
      <c r="U284" s="397"/>
      <c r="V284" s="398"/>
      <c r="W284" s="398"/>
      <c r="X284" s="399"/>
      <c r="Z284" s="363"/>
    </row>
    <row r="285" spans="2:26" ht="15.75">
      <c r="B285">
        <v>2</v>
      </c>
      <c r="C285" s="363"/>
      <c r="D285" s="364"/>
      <c r="E285" s="363"/>
      <c r="F285" s="364"/>
      <c r="G285" s="364"/>
      <c r="H285" s="364"/>
      <c r="I285" s="364"/>
      <c r="J285" s="363"/>
      <c r="U285" s="407"/>
      <c r="V285" s="408"/>
      <c r="W285" s="408"/>
      <c r="X285" s="409"/>
      <c r="Z285" s="363"/>
    </row>
    <row r="286" spans="2:26">
      <c r="B286">
        <v>2</v>
      </c>
      <c r="C286" s="363"/>
      <c r="D286" s="364"/>
      <c r="E286" s="363"/>
      <c r="F286" s="364"/>
      <c r="G286" s="364"/>
      <c r="H286" s="364"/>
      <c r="I286" s="364"/>
      <c r="J286" s="363"/>
      <c r="U286" s="449"/>
      <c r="V286" s="450"/>
      <c r="W286" s="450"/>
      <c r="X286" s="451"/>
      <c r="Z286" s="363"/>
    </row>
    <row r="287" spans="2:26" ht="15.75">
      <c r="B287">
        <v>2</v>
      </c>
      <c r="C287" s="363"/>
      <c r="D287" s="364"/>
      <c r="E287" s="363"/>
      <c r="F287" s="364"/>
      <c r="G287" s="364"/>
      <c r="H287" s="364"/>
      <c r="I287" s="364"/>
      <c r="J287" s="363"/>
      <c r="U287" s="404" t="s">
        <v>746</v>
      </c>
      <c r="V287" s="405"/>
      <c r="W287" s="405"/>
      <c r="X287" s="406"/>
      <c r="Z287" s="363"/>
    </row>
    <row r="288" spans="2:26" ht="15.75">
      <c r="B288">
        <v>2</v>
      </c>
      <c r="C288" s="363"/>
      <c r="D288" s="364"/>
      <c r="E288" s="363"/>
      <c r="F288" s="364"/>
      <c r="G288" s="364"/>
      <c r="H288" s="364"/>
      <c r="I288" s="364"/>
      <c r="J288" s="363"/>
      <c r="U288" s="404" t="s">
        <v>747</v>
      </c>
      <c r="V288" s="405"/>
      <c r="W288" s="405"/>
      <c r="X288" s="406"/>
      <c r="Z288" s="363"/>
    </row>
    <row r="289" spans="2:26" ht="15.75">
      <c r="B289">
        <v>2</v>
      </c>
      <c r="C289" s="363"/>
      <c r="D289" s="364"/>
      <c r="E289" s="363"/>
      <c r="F289" s="364"/>
      <c r="G289" s="364"/>
      <c r="H289" s="364"/>
      <c r="I289" s="364"/>
      <c r="J289" s="363"/>
      <c r="U289" s="404" t="s">
        <v>748</v>
      </c>
      <c r="V289" s="405"/>
      <c r="W289" s="405"/>
      <c r="X289" s="406"/>
      <c r="Z289" s="363"/>
    </row>
    <row r="290" spans="2:26" ht="15.75">
      <c r="B290">
        <v>2</v>
      </c>
      <c r="C290" s="363"/>
      <c r="D290" s="364"/>
      <c r="E290" s="363"/>
      <c r="F290" s="364"/>
      <c r="G290" s="364"/>
      <c r="H290" s="364"/>
      <c r="I290" s="364"/>
      <c r="J290" s="363"/>
      <c r="U290" s="446" t="s">
        <v>741</v>
      </c>
      <c r="V290" s="446" t="s">
        <v>742</v>
      </c>
      <c r="X290" s="447"/>
      <c r="Z290" s="363"/>
    </row>
    <row r="291" spans="2:26" ht="15.75">
      <c r="B291">
        <v>2</v>
      </c>
      <c r="C291" s="363"/>
      <c r="D291" s="364"/>
      <c r="E291" s="363"/>
      <c r="F291" s="364"/>
      <c r="G291" s="364"/>
      <c r="H291" s="364"/>
      <c r="I291" s="364"/>
      <c r="J291" s="363"/>
      <c r="U291" s="385" t="s">
        <v>749</v>
      </c>
      <c r="V291" s="448">
        <v>2.0699999999999998</v>
      </c>
      <c r="X291" s="447"/>
      <c r="Z291" s="363"/>
    </row>
    <row r="292" spans="2:26" ht="15.75">
      <c r="B292">
        <v>2</v>
      </c>
      <c r="C292" s="363"/>
      <c r="D292" s="364"/>
      <c r="E292" s="363"/>
      <c r="F292" s="364"/>
      <c r="G292" s="364"/>
      <c r="H292" s="364"/>
      <c r="I292" s="364"/>
      <c r="J292" s="363"/>
      <c r="U292" s="385" t="s">
        <v>750</v>
      </c>
      <c r="V292" s="448">
        <v>8.6750000000000007</v>
      </c>
      <c r="X292" s="447"/>
      <c r="Z292" s="363"/>
    </row>
    <row r="293" spans="2:26" ht="15.75">
      <c r="B293">
        <v>2</v>
      </c>
      <c r="C293" s="374"/>
      <c r="D293" s="375"/>
      <c r="E293" s="374"/>
      <c r="F293" s="375"/>
      <c r="G293" s="375"/>
      <c r="H293" s="375"/>
      <c r="I293" s="375"/>
      <c r="J293" s="374"/>
      <c r="U293" s="385" t="s">
        <v>751</v>
      </c>
      <c r="V293" s="448">
        <v>2.83</v>
      </c>
      <c r="W293" s="452"/>
      <c r="X293" s="453"/>
      <c r="Z293" s="374"/>
    </row>
    <row r="294" spans="2:26" ht="15.75">
      <c r="B294">
        <v>2</v>
      </c>
      <c r="C294" s="357" t="s">
        <v>282</v>
      </c>
      <c r="D294" s="384" t="s">
        <v>752</v>
      </c>
      <c r="E294" s="357" t="s">
        <v>753</v>
      </c>
      <c r="F294" s="379" t="s">
        <v>754</v>
      </c>
      <c r="G294" s="413" t="s">
        <v>755</v>
      </c>
      <c r="H294" s="379" t="s">
        <v>756</v>
      </c>
      <c r="I294" s="379" t="s">
        <v>757</v>
      </c>
      <c r="J294" s="379" t="s">
        <v>758</v>
      </c>
      <c r="U294" s="401" t="s">
        <v>759</v>
      </c>
      <c r="V294" s="402"/>
      <c r="W294" s="402"/>
      <c r="X294" s="403"/>
      <c r="Z294" s="379" t="s">
        <v>760</v>
      </c>
    </row>
    <row r="295" spans="2:26" ht="15.75">
      <c r="B295">
        <v>2</v>
      </c>
      <c r="C295" s="363"/>
      <c r="D295" s="364"/>
      <c r="E295" s="363"/>
      <c r="F295" s="379" t="s">
        <v>761</v>
      </c>
      <c r="G295" s="364"/>
      <c r="H295" s="379" t="s">
        <v>762</v>
      </c>
      <c r="I295" s="379" t="s">
        <v>763</v>
      </c>
      <c r="J295" s="379" t="s">
        <v>764</v>
      </c>
      <c r="U295" s="397"/>
      <c r="V295" s="398"/>
      <c r="W295" s="398"/>
      <c r="X295" s="399"/>
      <c r="Z295" s="379" t="s">
        <v>765</v>
      </c>
    </row>
    <row r="296" spans="2:26" ht="15.75">
      <c r="B296">
        <v>2</v>
      </c>
      <c r="C296" s="363"/>
      <c r="D296" s="387" t="s">
        <v>766</v>
      </c>
      <c r="E296" s="363"/>
      <c r="F296" s="364"/>
      <c r="G296" s="379" t="s">
        <v>767</v>
      </c>
      <c r="H296" s="364"/>
      <c r="I296" s="364"/>
      <c r="J296" s="364"/>
      <c r="U296" s="407"/>
      <c r="V296" s="408"/>
      <c r="W296" s="408"/>
      <c r="X296" s="409"/>
      <c r="Z296" s="379" t="s">
        <v>768</v>
      </c>
    </row>
    <row r="297" spans="2:26" ht="15.75">
      <c r="B297">
        <v>2</v>
      </c>
      <c r="C297" s="363"/>
      <c r="D297" s="364"/>
      <c r="E297" s="363"/>
      <c r="F297" s="384"/>
      <c r="G297" s="364"/>
      <c r="H297" s="364"/>
      <c r="I297" s="364"/>
      <c r="J297" s="364"/>
      <c r="U297" s="449"/>
      <c r="V297" s="450"/>
      <c r="W297" s="450"/>
      <c r="X297" s="451"/>
      <c r="Z297" s="379" t="s">
        <v>769</v>
      </c>
    </row>
    <row r="298" spans="2:26" ht="15.75">
      <c r="B298">
        <v>2</v>
      </c>
      <c r="C298" s="363"/>
      <c r="D298" s="387" t="s">
        <v>770</v>
      </c>
      <c r="E298" s="363"/>
      <c r="F298" s="364"/>
      <c r="G298" s="379" t="s">
        <v>771</v>
      </c>
      <c r="H298" s="364"/>
      <c r="I298" s="364"/>
      <c r="J298" s="364"/>
      <c r="U298" s="404" t="s">
        <v>772</v>
      </c>
      <c r="V298" s="405"/>
      <c r="W298" s="405"/>
      <c r="X298" s="406"/>
      <c r="Z298" s="383"/>
    </row>
    <row r="299" spans="2:26" ht="15.75">
      <c r="B299">
        <v>2</v>
      </c>
      <c r="C299" s="363"/>
      <c r="D299" s="364"/>
      <c r="E299" s="363"/>
      <c r="F299" s="384"/>
      <c r="G299" s="364"/>
      <c r="H299" s="364"/>
      <c r="I299" s="364"/>
      <c r="J299" s="364"/>
      <c r="U299" s="397"/>
      <c r="V299" s="398"/>
      <c r="W299" s="398"/>
      <c r="X299" s="399"/>
      <c r="Z299" s="379" t="s">
        <v>773</v>
      </c>
    </row>
    <row r="300" spans="2:26" ht="15.75">
      <c r="B300">
        <v>2</v>
      </c>
      <c r="C300" s="363"/>
      <c r="D300" s="387" t="s">
        <v>774</v>
      </c>
      <c r="E300" s="363"/>
      <c r="F300" s="364"/>
      <c r="G300" s="379" t="s">
        <v>775</v>
      </c>
      <c r="H300" s="364"/>
      <c r="I300" s="364"/>
      <c r="J300" s="364"/>
      <c r="U300" s="407"/>
      <c r="V300" s="408"/>
      <c r="W300" s="408"/>
      <c r="X300" s="409"/>
      <c r="Z300" s="379" t="s">
        <v>776</v>
      </c>
    </row>
    <row r="301" spans="2:26" ht="15.75">
      <c r="B301">
        <v>2</v>
      </c>
      <c r="C301" s="363"/>
      <c r="D301" s="364"/>
      <c r="E301" s="363"/>
      <c r="F301" s="384"/>
      <c r="G301" s="364"/>
      <c r="H301" s="364"/>
      <c r="I301" s="364"/>
      <c r="J301" s="364"/>
      <c r="U301" s="397"/>
      <c r="V301" s="398"/>
      <c r="W301" s="398"/>
      <c r="X301" s="399"/>
      <c r="Z301" s="379" t="s">
        <v>777</v>
      </c>
    </row>
    <row r="302" spans="2:26" ht="15.75">
      <c r="B302">
        <v>2</v>
      </c>
      <c r="C302" s="363"/>
      <c r="D302" s="387" t="s">
        <v>295</v>
      </c>
      <c r="E302" s="363"/>
      <c r="F302" s="364"/>
      <c r="G302" s="384"/>
      <c r="H302" s="364"/>
      <c r="I302" s="364"/>
      <c r="J302" s="364"/>
      <c r="U302" s="407"/>
      <c r="V302" s="408"/>
      <c r="W302" s="408"/>
      <c r="X302" s="409"/>
      <c r="Z302" s="364"/>
    </row>
    <row r="303" spans="2:26">
      <c r="B303">
        <v>2</v>
      </c>
      <c r="C303" s="363"/>
      <c r="D303" s="364"/>
      <c r="E303" s="363"/>
      <c r="F303" s="364"/>
      <c r="G303" s="383"/>
      <c r="H303" s="364"/>
      <c r="I303" s="364"/>
      <c r="J303" s="364"/>
      <c r="U303" s="397"/>
      <c r="V303" s="398"/>
      <c r="W303" s="398"/>
      <c r="X303" s="399"/>
      <c r="Z303" s="364"/>
    </row>
    <row r="304" spans="2:26" ht="15.75">
      <c r="B304">
        <v>2</v>
      </c>
      <c r="C304" s="363"/>
      <c r="D304" s="387" t="s">
        <v>778</v>
      </c>
      <c r="E304" s="363"/>
      <c r="F304" s="364"/>
      <c r="G304" s="379" t="s">
        <v>779</v>
      </c>
      <c r="H304" s="364"/>
      <c r="I304" s="364"/>
      <c r="J304" s="364"/>
      <c r="U304" s="407"/>
      <c r="V304" s="408"/>
      <c r="W304" s="408"/>
      <c r="X304" s="409"/>
      <c r="Z304" s="364"/>
    </row>
    <row r="305" spans="2:26">
      <c r="B305">
        <v>2</v>
      </c>
      <c r="C305" s="363"/>
      <c r="D305" s="364"/>
      <c r="E305" s="363"/>
      <c r="F305" s="364"/>
      <c r="G305" s="364"/>
      <c r="H305" s="364"/>
      <c r="I305" s="364"/>
      <c r="J305" s="364"/>
      <c r="U305" s="397"/>
      <c r="V305" s="398"/>
      <c r="W305" s="398"/>
      <c r="X305" s="399"/>
      <c r="Z305" s="364"/>
    </row>
    <row r="306" spans="2:26" ht="15.75">
      <c r="B306">
        <v>2</v>
      </c>
      <c r="C306" s="363"/>
      <c r="D306" s="384"/>
      <c r="E306" s="363"/>
      <c r="F306" s="364"/>
      <c r="G306" s="384"/>
      <c r="H306" s="364"/>
      <c r="I306" s="364"/>
      <c r="J306" s="364"/>
      <c r="U306" s="407"/>
      <c r="V306" s="408"/>
      <c r="W306" s="408"/>
      <c r="X306" s="409"/>
      <c r="Z306" s="364"/>
    </row>
    <row r="307" spans="2:26">
      <c r="B307">
        <v>2</v>
      </c>
      <c r="C307" s="363"/>
      <c r="D307" s="364"/>
      <c r="E307" s="363"/>
      <c r="F307" s="364"/>
      <c r="G307" s="364"/>
      <c r="H307" s="364"/>
      <c r="I307" s="364"/>
      <c r="J307" s="364"/>
      <c r="U307" s="397"/>
      <c r="V307" s="398"/>
      <c r="W307" s="398"/>
      <c r="X307" s="399"/>
      <c r="Z307" s="364"/>
    </row>
    <row r="308" spans="2:26" ht="15.75">
      <c r="B308">
        <v>2</v>
      </c>
      <c r="C308" s="363"/>
      <c r="D308" s="384"/>
      <c r="E308" s="363"/>
      <c r="F308" s="364"/>
      <c r="G308" s="384"/>
      <c r="H308" s="364"/>
      <c r="I308" s="364"/>
      <c r="J308" s="364"/>
      <c r="U308" s="407"/>
      <c r="V308" s="408"/>
      <c r="W308" s="408"/>
      <c r="X308" s="409"/>
      <c r="Z308" s="364"/>
    </row>
    <row r="309" spans="2:26">
      <c r="B309">
        <v>2</v>
      </c>
      <c r="C309" s="363"/>
      <c r="D309" s="364"/>
      <c r="E309" s="363"/>
      <c r="F309" s="364"/>
      <c r="G309" s="364"/>
      <c r="H309" s="364"/>
      <c r="I309" s="364"/>
      <c r="J309" s="364"/>
      <c r="U309" s="397"/>
      <c r="V309" s="398"/>
      <c r="W309" s="398"/>
      <c r="X309" s="399"/>
      <c r="Z309" s="364"/>
    </row>
    <row r="310" spans="2:26" ht="15.75">
      <c r="B310">
        <v>2</v>
      </c>
      <c r="C310" s="363"/>
      <c r="D310" s="384"/>
      <c r="E310" s="363"/>
      <c r="F310" s="364"/>
      <c r="G310" s="364"/>
      <c r="H310" s="364"/>
      <c r="I310" s="364"/>
      <c r="J310" s="364"/>
      <c r="U310" s="407"/>
      <c r="V310" s="408"/>
      <c r="W310" s="408"/>
      <c r="X310" s="409"/>
      <c r="Z310" s="364"/>
    </row>
    <row r="311" spans="2:26">
      <c r="B311">
        <v>2</v>
      </c>
      <c r="C311" s="363"/>
      <c r="D311" s="364"/>
      <c r="E311" s="363"/>
      <c r="F311" s="364"/>
      <c r="G311" s="364"/>
      <c r="H311" s="364"/>
      <c r="I311" s="364"/>
      <c r="J311" s="364"/>
      <c r="U311" s="397"/>
      <c r="V311" s="398"/>
      <c r="W311" s="398"/>
      <c r="X311" s="399"/>
      <c r="Z311" s="364"/>
    </row>
    <row r="312" spans="2:26" ht="15.75">
      <c r="B312">
        <v>2</v>
      </c>
      <c r="C312" s="374"/>
      <c r="D312" s="375"/>
      <c r="E312" s="374"/>
      <c r="F312" s="375"/>
      <c r="G312" s="375"/>
      <c r="H312" s="375"/>
      <c r="I312" s="375"/>
      <c r="J312" s="375"/>
      <c r="U312" s="443"/>
      <c r="V312" s="444"/>
      <c r="W312" s="444"/>
      <c r="X312" s="445"/>
      <c r="Z312" s="375"/>
    </row>
    <row r="313" spans="2:26" ht="15.75">
      <c r="B313">
        <v>2</v>
      </c>
      <c r="C313" s="357" t="s">
        <v>282</v>
      </c>
      <c r="D313" s="384" t="s">
        <v>780</v>
      </c>
      <c r="E313" s="357" t="s">
        <v>781</v>
      </c>
      <c r="F313" s="378" t="s">
        <v>782</v>
      </c>
      <c r="G313" s="357" t="s">
        <v>783</v>
      </c>
      <c r="H313" s="357" t="s">
        <v>784</v>
      </c>
      <c r="I313" s="384" t="s">
        <v>785</v>
      </c>
      <c r="J313" s="378" t="s">
        <v>786</v>
      </c>
      <c r="U313" s="401" t="s">
        <v>787</v>
      </c>
      <c r="V313" s="402"/>
      <c r="W313" s="402"/>
      <c r="X313" s="403"/>
      <c r="Z313" s="379" t="s">
        <v>788</v>
      </c>
    </row>
    <row r="314" spans="2:26" ht="15.75">
      <c r="B314">
        <v>2</v>
      </c>
      <c r="C314" s="363"/>
      <c r="D314" s="364"/>
      <c r="E314" s="363"/>
      <c r="F314" s="380"/>
      <c r="G314" s="363"/>
      <c r="H314" s="363"/>
      <c r="I314" s="364"/>
      <c r="J314" s="380"/>
      <c r="U314" s="397"/>
      <c r="V314" s="398"/>
      <c r="W314" s="398"/>
      <c r="X314" s="399"/>
      <c r="Z314" s="379" t="s">
        <v>789</v>
      </c>
    </row>
    <row r="315" spans="2:26" ht="15.75">
      <c r="B315">
        <v>2</v>
      </c>
      <c r="C315" s="363"/>
      <c r="D315" s="387" t="s">
        <v>790</v>
      </c>
      <c r="E315" s="363"/>
      <c r="F315" s="380"/>
      <c r="G315" s="363"/>
      <c r="H315" s="363"/>
      <c r="I315" s="384" t="s">
        <v>791</v>
      </c>
      <c r="J315" s="380"/>
      <c r="U315" s="407"/>
      <c r="V315" s="408"/>
      <c r="W315" s="408"/>
      <c r="X315" s="409"/>
      <c r="Z315" s="364"/>
    </row>
    <row r="316" spans="2:26">
      <c r="B316">
        <v>2</v>
      </c>
      <c r="C316" s="363"/>
      <c r="D316" s="364"/>
      <c r="E316" s="363"/>
      <c r="F316" s="380"/>
      <c r="G316" s="363"/>
      <c r="H316" s="363"/>
      <c r="I316" s="364"/>
      <c r="J316" s="380"/>
      <c r="U316" s="397"/>
      <c r="V316" s="398"/>
      <c r="W316" s="398"/>
      <c r="X316" s="399"/>
      <c r="Z316" s="364"/>
    </row>
    <row r="317" spans="2:26">
      <c r="B317">
        <v>2</v>
      </c>
      <c r="C317" s="363"/>
      <c r="D317" s="387" t="s">
        <v>792</v>
      </c>
      <c r="E317" s="363"/>
      <c r="F317" s="380"/>
      <c r="G317" s="363"/>
      <c r="H317" s="363"/>
      <c r="I317" s="364"/>
      <c r="J317" s="380"/>
      <c r="U317" s="414" t="s">
        <v>793</v>
      </c>
      <c r="V317" s="415"/>
      <c r="W317" s="415"/>
      <c r="X317" s="416"/>
      <c r="Z317" s="364"/>
    </row>
    <row r="318" spans="2:26" ht="15.75">
      <c r="B318">
        <v>2</v>
      </c>
      <c r="C318" s="363"/>
      <c r="D318" s="364"/>
      <c r="E318" s="363"/>
      <c r="F318" s="380"/>
      <c r="G318" s="363"/>
      <c r="H318" s="363"/>
      <c r="I318" s="364"/>
      <c r="J318" s="380"/>
      <c r="U318" s="407"/>
      <c r="V318" s="408"/>
      <c r="W318" s="408"/>
      <c r="X318" s="409"/>
      <c r="Z318" s="364"/>
    </row>
    <row r="319" spans="2:26">
      <c r="B319">
        <v>2</v>
      </c>
      <c r="C319" s="363"/>
      <c r="D319" s="387" t="s">
        <v>794</v>
      </c>
      <c r="E319" s="363"/>
      <c r="F319" s="380"/>
      <c r="G319" s="363"/>
      <c r="H319" s="363"/>
      <c r="I319" s="364"/>
      <c r="J319" s="380"/>
      <c r="U319" s="397"/>
      <c r="V319" s="398"/>
      <c r="W319" s="398"/>
      <c r="X319" s="399"/>
      <c r="Z319" s="364"/>
    </row>
    <row r="320" spans="2:26">
      <c r="B320">
        <v>2</v>
      </c>
      <c r="C320" s="363"/>
      <c r="D320" s="364"/>
      <c r="E320" s="363"/>
      <c r="F320" s="380"/>
      <c r="G320" s="363"/>
      <c r="H320" s="363"/>
      <c r="I320" s="364"/>
      <c r="J320" s="380"/>
      <c r="U320" s="397"/>
      <c r="V320" s="398"/>
      <c r="W320" s="398"/>
      <c r="X320" s="399"/>
      <c r="Z320" s="364"/>
    </row>
    <row r="321" spans="2:26" ht="15.75">
      <c r="B321">
        <v>2</v>
      </c>
      <c r="C321" s="363"/>
      <c r="D321" s="387" t="s">
        <v>795</v>
      </c>
      <c r="E321" s="363"/>
      <c r="F321" s="380"/>
      <c r="G321" s="363"/>
      <c r="H321" s="363"/>
      <c r="I321" s="364"/>
      <c r="J321" s="380"/>
      <c r="U321" s="407"/>
      <c r="V321" s="408"/>
      <c r="W321" s="408"/>
      <c r="X321" s="409"/>
      <c r="Z321" s="364"/>
    </row>
    <row r="322" spans="2:26">
      <c r="B322">
        <v>2</v>
      </c>
      <c r="C322" s="363"/>
      <c r="D322" s="364"/>
      <c r="E322" s="363"/>
      <c r="F322" s="380"/>
      <c r="G322" s="363"/>
      <c r="H322" s="363"/>
      <c r="I322" s="364"/>
      <c r="J322" s="380"/>
      <c r="U322" s="397"/>
      <c r="V322" s="398"/>
      <c r="W322" s="398"/>
      <c r="X322" s="399"/>
      <c r="Z322" s="364"/>
    </row>
    <row r="323" spans="2:26" ht="15.75">
      <c r="B323">
        <v>2</v>
      </c>
      <c r="C323" s="363"/>
      <c r="D323" s="384"/>
      <c r="E323" s="363"/>
      <c r="F323" s="380"/>
      <c r="G323" s="363"/>
      <c r="H323" s="363"/>
      <c r="I323" s="364"/>
      <c r="J323" s="380"/>
      <c r="U323" s="397"/>
      <c r="V323" s="398"/>
      <c r="W323" s="398"/>
      <c r="X323" s="399"/>
      <c r="Z323" s="364"/>
    </row>
    <row r="324" spans="2:26">
      <c r="B324">
        <v>2</v>
      </c>
      <c r="C324" s="363"/>
      <c r="D324" s="364"/>
      <c r="E324" s="363"/>
      <c r="F324" s="380"/>
      <c r="G324" s="363"/>
      <c r="H324" s="363"/>
      <c r="I324" s="364"/>
      <c r="J324" s="380"/>
      <c r="U324" s="397"/>
      <c r="V324" s="398"/>
      <c r="W324" s="398"/>
      <c r="X324" s="399"/>
      <c r="Z324" s="364"/>
    </row>
    <row r="325" spans="2:26" ht="15.75">
      <c r="B325">
        <v>2</v>
      </c>
      <c r="C325" s="363"/>
      <c r="D325" s="384" t="s">
        <v>796</v>
      </c>
      <c r="E325" s="363"/>
      <c r="F325" s="380"/>
      <c r="G325" s="363"/>
      <c r="H325" s="363"/>
      <c r="I325" s="364"/>
      <c r="J325" s="380"/>
      <c r="U325" s="397"/>
      <c r="V325" s="398"/>
      <c r="W325" s="398"/>
      <c r="X325" s="399"/>
      <c r="Z325" s="364"/>
    </row>
    <row r="326" spans="2:26">
      <c r="B326">
        <v>2</v>
      </c>
      <c r="C326" s="363"/>
      <c r="D326" s="364"/>
      <c r="E326" s="363"/>
      <c r="F326" s="380"/>
      <c r="G326" s="363"/>
      <c r="H326" s="363"/>
      <c r="I326" s="364"/>
      <c r="J326" s="380"/>
      <c r="U326" s="397"/>
      <c r="V326" s="398"/>
      <c r="W326" s="398"/>
      <c r="X326" s="399"/>
      <c r="Z326" s="364"/>
    </row>
    <row r="327" spans="2:26" ht="15.75">
      <c r="B327">
        <v>2</v>
      </c>
      <c r="C327" s="363"/>
      <c r="D327" s="384"/>
      <c r="E327" s="363"/>
      <c r="F327" s="380"/>
      <c r="G327" s="363"/>
      <c r="H327" s="363"/>
      <c r="I327" s="364"/>
      <c r="J327" s="380"/>
      <c r="U327" s="397"/>
      <c r="V327" s="398"/>
      <c r="W327" s="398"/>
      <c r="X327" s="399"/>
      <c r="Z327" s="364"/>
    </row>
    <row r="328" spans="2:26">
      <c r="B328">
        <v>2</v>
      </c>
      <c r="C328" s="363"/>
      <c r="D328" s="364"/>
      <c r="E328" s="363"/>
      <c r="F328" s="380"/>
      <c r="G328" s="363"/>
      <c r="H328" s="363"/>
      <c r="I328" s="364"/>
      <c r="J328" s="380"/>
      <c r="U328" s="397"/>
      <c r="V328" s="398"/>
      <c r="W328" s="398"/>
      <c r="X328" s="399"/>
      <c r="Z328" s="364"/>
    </row>
    <row r="329" spans="2:26">
      <c r="B329">
        <v>2</v>
      </c>
      <c r="C329" s="374"/>
      <c r="D329" s="388" t="s">
        <v>797</v>
      </c>
      <c r="E329" s="374"/>
      <c r="F329" s="381"/>
      <c r="G329" s="374"/>
      <c r="H329" s="374"/>
      <c r="I329" s="375"/>
      <c r="J329" s="381"/>
      <c r="U329" s="417"/>
      <c r="V329" s="418"/>
      <c r="W329" s="418"/>
      <c r="X329" s="419"/>
      <c r="Z329" s="375"/>
    </row>
    <row r="330" spans="2:26" ht="15.75">
      <c r="B330">
        <v>2</v>
      </c>
      <c r="C330" s="357" t="s">
        <v>313</v>
      </c>
      <c r="D330" s="384" t="s">
        <v>798</v>
      </c>
      <c r="E330" s="357" t="s">
        <v>799</v>
      </c>
      <c r="F330" s="379" t="s">
        <v>800</v>
      </c>
      <c r="G330" s="413" t="s">
        <v>697</v>
      </c>
      <c r="H330" s="357" t="s">
        <v>801</v>
      </c>
      <c r="I330" s="357" t="s">
        <v>802</v>
      </c>
      <c r="J330" s="379" t="s">
        <v>803</v>
      </c>
      <c r="U330" s="454" t="s">
        <v>804</v>
      </c>
      <c r="V330" s="455"/>
      <c r="W330" s="455"/>
      <c r="X330" s="456"/>
      <c r="Z330" s="385" t="s">
        <v>805</v>
      </c>
    </row>
    <row r="331" spans="2:26" ht="15.75">
      <c r="B331">
        <v>2</v>
      </c>
      <c r="C331" s="363"/>
      <c r="D331" s="364"/>
      <c r="E331" s="363"/>
      <c r="F331" s="379" t="s">
        <v>806</v>
      </c>
      <c r="G331" s="383"/>
      <c r="H331" s="363"/>
      <c r="I331" s="363"/>
      <c r="J331" s="379" t="s">
        <v>807</v>
      </c>
      <c r="U331" s="414"/>
      <c r="V331" s="415"/>
      <c r="W331" s="415"/>
      <c r="X331" s="416"/>
      <c r="Z331" s="385" t="s">
        <v>808</v>
      </c>
    </row>
    <row r="332" spans="2:26" ht="15.75">
      <c r="B332">
        <v>2</v>
      </c>
      <c r="C332" s="363"/>
      <c r="D332" s="384"/>
      <c r="E332" s="363"/>
      <c r="F332" s="364"/>
      <c r="G332" s="379" t="s">
        <v>809</v>
      </c>
      <c r="H332" s="363"/>
      <c r="I332" s="363"/>
      <c r="J332" s="379" t="s">
        <v>810</v>
      </c>
      <c r="U332" s="414"/>
      <c r="V332" s="415"/>
      <c r="W332" s="415"/>
      <c r="X332" s="416"/>
      <c r="Z332" s="385" t="s">
        <v>811</v>
      </c>
    </row>
    <row r="333" spans="2:26" ht="15.75">
      <c r="B333">
        <v>2</v>
      </c>
      <c r="C333" s="363"/>
      <c r="D333" s="364"/>
      <c r="E333" s="363"/>
      <c r="F333" s="384"/>
      <c r="G333" s="379" t="s">
        <v>812</v>
      </c>
      <c r="H333" s="363"/>
      <c r="I333" s="363"/>
      <c r="J333" s="379" t="s">
        <v>813</v>
      </c>
      <c r="U333" s="414"/>
      <c r="V333" s="415"/>
      <c r="W333" s="415"/>
      <c r="X333" s="416"/>
      <c r="Z333" s="364"/>
    </row>
    <row r="334" spans="2:26">
      <c r="B334">
        <v>2</v>
      </c>
      <c r="C334" s="363"/>
      <c r="D334" s="387" t="s">
        <v>814</v>
      </c>
      <c r="E334" s="363"/>
      <c r="F334" s="364"/>
      <c r="G334" s="364"/>
      <c r="H334" s="363"/>
      <c r="I334" s="363"/>
      <c r="J334" s="364"/>
      <c r="U334" s="414"/>
      <c r="V334" s="415"/>
      <c r="W334" s="415"/>
      <c r="X334" s="416"/>
      <c r="Z334" s="364"/>
    </row>
    <row r="335" spans="2:26" ht="15.75">
      <c r="B335">
        <v>2</v>
      </c>
      <c r="C335" s="363"/>
      <c r="D335" s="364"/>
      <c r="E335" s="363"/>
      <c r="F335" s="364"/>
      <c r="G335" s="384"/>
      <c r="H335" s="363"/>
      <c r="I335" s="363"/>
      <c r="J335" s="364"/>
      <c r="U335" s="414"/>
      <c r="V335" s="415"/>
      <c r="W335" s="415"/>
      <c r="X335" s="416"/>
      <c r="Z335" s="364"/>
    </row>
    <row r="336" spans="2:26" ht="15.75">
      <c r="B336">
        <v>2</v>
      </c>
      <c r="C336" s="363"/>
      <c r="D336" s="364"/>
      <c r="E336" s="363"/>
      <c r="F336" s="364"/>
      <c r="G336" s="384"/>
      <c r="H336" s="363"/>
      <c r="I336" s="363"/>
      <c r="J336" s="364"/>
      <c r="U336" s="414"/>
      <c r="V336" s="415"/>
      <c r="W336" s="415"/>
      <c r="X336" s="416"/>
      <c r="Z336" s="364"/>
    </row>
    <row r="337" spans="2:26" ht="15.75">
      <c r="B337">
        <v>2</v>
      </c>
      <c r="C337" s="374"/>
      <c r="D337" s="375"/>
      <c r="E337" s="374"/>
      <c r="F337" s="375"/>
      <c r="G337" s="385"/>
      <c r="H337" s="374"/>
      <c r="I337" s="374"/>
      <c r="J337" s="375"/>
      <c r="U337" s="410"/>
      <c r="V337" s="411"/>
      <c r="W337" s="411"/>
      <c r="X337" s="412"/>
      <c r="Z337" s="375"/>
    </row>
    <row r="338" spans="2:26" ht="15.75">
      <c r="B338">
        <v>2</v>
      </c>
      <c r="C338" s="357" t="s">
        <v>815</v>
      </c>
      <c r="D338" s="357" t="s">
        <v>816</v>
      </c>
      <c r="E338" s="357" t="s">
        <v>817</v>
      </c>
      <c r="F338" s="379" t="s">
        <v>818</v>
      </c>
      <c r="G338" s="379" t="s">
        <v>819</v>
      </c>
      <c r="H338" s="379" t="s">
        <v>820</v>
      </c>
      <c r="I338" s="379" t="s">
        <v>821</v>
      </c>
      <c r="J338" s="379" t="s">
        <v>822</v>
      </c>
      <c r="U338" s="385" t="s">
        <v>823</v>
      </c>
      <c r="V338" s="457">
        <v>0.5</v>
      </c>
      <c r="X338" s="447"/>
      <c r="Z338" s="379" t="s">
        <v>824</v>
      </c>
    </row>
    <row r="339" spans="2:26" ht="15.75">
      <c r="B339">
        <v>2</v>
      </c>
      <c r="C339" s="363"/>
      <c r="D339" s="363"/>
      <c r="E339" s="363"/>
      <c r="F339" s="379" t="s">
        <v>825</v>
      </c>
      <c r="G339" s="379" t="s">
        <v>826</v>
      </c>
      <c r="H339" s="379" t="s">
        <v>827</v>
      </c>
      <c r="I339" s="379" t="s">
        <v>828</v>
      </c>
      <c r="J339" s="379" t="s">
        <v>829</v>
      </c>
      <c r="U339" s="385" t="s">
        <v>830</v>
      </c>
      <c r="V339" s="457">
        <v>0.5</v>
      </c>
      <c r="X339" s="447"/>
      <c r="Z339" s="379" t="s">
        <v>831</v>
      </c>
    </row>
    <row r="340" spans="2:26" ht="15.75">
      <c r="B340">
        <v>2</v>
      </c>
      <c r="C340" s="363"/>
      <c r="D340" s="363"/>
      <c r="E340" s="363"/>
      <c r="F340" s="379" t="s">
        <v>832</v>
      </c>
      <c r="G340" s="364"/>
      <c r="H340" s="379" t="s">
        <v>833</v>
      </c>
      <c r="I340" s="364"/>
      <c r="J340" s="364"/>
      <c r="U340" s="397"/>
      <c r="V340" s="398"/>
      <c r="W340" s="398"/>
      <c r="X340" s="399"/>
      <c r="Z340" s="364"/>
    </row>
    <row r="341" spans="2:26" ht="15.75">
      <c r="B341">
        <v>2</v>
      </c>
      <c r="C341" s="374"/>
      <c r="D341" s="374"/>
      <c r="E341" s="374"/>
      <c r="F341" s="382" t="s">
        <v>834</v>
      </c>
      <c r="G341" s="375"/>
      <c r="H341" s="382" t="s">
        <v>835</v>
      </c>
      <c r="I341" s="375"/>
      <c r="J341" s="375"/>
      <c r="U341" s="417"/>
      <c r="V341" s="418"/>
      <c r="W341" s="418"/>
      <c r="X341" s="419"/>
      <c r="Z341" s="375"/>
    </row>
    <row r="342" spans="2:26" ht="15.75">
      <c r="B342">
        <v>2</v>
      </c>
      <c r="C342" s="357" t="s">
        <v>393</v>
      </c>
      <c r="D342" s="357" t="s">
        <v>836</v>
      </c>
      <c r="E342" s="357" t="s">
        <v>837</v>
      </c>
      <c r="F342" s="357" t="s">
        <v>838</v>
      </c>
      <c r="G342" s="379" t="s">
        <v>839</v>
      </c>
      <c r="H342" s="357" t="s">
        <v>840</v>
      </c>
      <c r="I342" s="379" t="s">
        <v>841</v>
      </c>
      <c r="J342" s="379" t="s">
        <v>842</v>
      </c>
      <c r="U342" s="401" t="s">
        <v>843</v>
      </c>
      <c r="V342" s="402"/>
      <c r="W342" s="402"/>
      <c r="X342" s="403"/>
      <c r="Z342" s="379" t="s">
        <v>844</v>
      </c>
    </row>
    <row r="343" spans="2:26" ht="15.75">
      <c r="B343">
        <v>2</v>
      </c>
      <c r="C343" s="363"/>
      <c r="D343" s="363"/>
      <c r="E343" s="363"/>
      <c r="F343" s="363"/>
      <c r="G343" s="379" t="s">
        <v>845</v>
      </c>
      <c r="H343" s="363"/>
      <c r="I343" s="379" t="s">
        <v>846</v>
      </c>
      <c r="J343" s="364"/>
      <c r="U343" s="404" t="s">
        <v>847</v>
      </c>
      <c r="V343" s="405"/>
      <c r="W343" s="405"/>
      <c r="X343" s="406"/>
      <c r="Z343" s="379" t="s">
        <v>848</v>
      </c>
    </row>
    <row r="344" spans="2:26" ht="15.75">
      <c r="B344">
        <v>2</v>
      </c>
      <c r="C344" s="363"/>
      <c r="D344" s="363"/>
      <c r="E344" s="363"/>
      <c r="F344" s="363"/>
      <c r="G344" s="384"/>
      <c r="H344" s="363"/>
      <c r="I344" s="364"/>
      <c r="J344" s="379" t="s">
        <v>849</v>
      </c>
      <c r="U344" s="407"/>
      <c r="V344" s="408"/>
      <c r="W344" s="408"/>
      <c r="X344" s="409"/>
      <c r="Z344" s="364"/>
    </row>
    <row r="345" spans="2:26" ht="15.75">
      <c r="B345">
        <v>2</v>
      </c>
      <c r="C345" s="363"/>
      <c r="D345" s="363"/>
      <c r="E345" s="363"/>
      <c r="F345" s="363"/>
      <c r="G345" s="384"/>
      <c r="H345" s="363"/>
      <c r="I345" s="379" t="s">
        <v>850</v>
      </c>
      <c r="J345" s="364"/>
      <c r="U345" s="407"/>
      <c r="V345" s="408"/>
      <c r="W345" s="408"/>
      <c r="X345" s="409"/>
      <c r="Z345" s="364"/>
    </row>
    <row r="346" spans="2:26" ht="15.75">
      <c r="B346">
        <v>2</v>
      </c>
      <c r="C346" s="363"/>
      <c r="D346" s="363"/>
      <c r="E346" s="363"/>
      <c r="F346" s="363"/>
      <c r="G346" s="384"/>
      <c r="H346" s="363"/>
      <c r="I346" s="364"/>
      <c r="J346" s="379" t="s">
        <v>851</v>
      </c>
      <c r="U346" s="407"/>
      <c r="V346" s="408"/>
      <c r="W346" s="408"/>
      <c r="X346" s="409"/>
      <c r="Z346" s="364"/>
    </row>
    <row r="347" spans="2:26" ht="15.75">
      <c r="B347">
        <v>2</v>
      </c>
      <c r="C347" s="363"/>
      <c r="D347" s="363"/>
      <c r="E347" s="363"/>
      <c r="F347" s="363"/>
      <c r="G347" s="384"/>
      <c r="H347" s="363"/>
      <c r="I347" s="379" t="s">
        <v>852</v>
      </c>
      <c r="J347" s="364"/>
      <c r="U347" s="407"/>
      <c r="V347" s="408"/>
      <c r="W347" s="408"/>
      <c r="X347" s="409"/>
      <c r="Z347" s="364"/>
    </row>
    <row r="348" spans="2:26" ht="15.75">
      <c r="B348">
        <v>2</v>
      </c>
      <c r="C348" s="363"/>
      <c r="D348" s="363"/>
      <c r="E348" s="363"/>
      <c r="F348" s="363"/>
      <c r="G348" s="384"/>
      <c r="H348" s="363"/>
      <c r="I348" s="364"/>
      <c r="J348" s="379" t="s">
        <v>853</v>
      </c>
      <c r="U348" s="407"/>
      <c r="V348" s="408"/>
      <c r="W348" s="408"/>
      <c r="X348" s="409"/>
      <c r="Z348" s="364"/>
    </row>
    <row r="349" spans="2:26" ht="15.75">
      <c r="B349">
        <v>2</v>
      </c>
      <c r="C349" s="363"/>
      <c r="D349" s="363"/>
      <c r="E349" s="363"/>
      <c r="F349" s="363"/>
      <c r="G349" s="384"/>
      <c r="H349" s="363"/>
      <c r="I349" s="379" t="s">
        <v>854</v>
      </c>
      <c r="J349" s="364"/>
      <c r="U349" s="407"/>
      <c r="V349" s="408"/>
      <c r="W349" s="408"/>
      <c r="X349" s="409"/>
      <c r="Z349" s="364"/>
    </row>
    <row r="350" spans="2:26" ht="15.75">
      <c r="B350">
        <v>2</v>
      </c>
      <c r="C350" s="374"/>
      <c r="D350" s="374"/>
      <c r="E350" s="374"/>
      <c r="F350" s="374"/>
      <c r="G350" s="385"/>
      <c r="H350" s="374"/>
      <c r="I350" s="385"/>
      <c r="J350" s="382" t="s">
        <v>855</v>
      </c>
      <c r="U350" s="443"/>
      <c r="V350" s="444"/>
      <c r="W350" s="444"/>
      <c r="X350" s="445"/>
      <c r="Z350" s="375"/>
    </row>
    <row r="351" spans="2:26" ht="15.75">
      <c r="B351">
        <v>2</v>
      </c>
      <c r="C351" s="357" t="s">
        <v>405</v>
      </c>
      <c r="D351" s="357" t="s">
        <v>856</v>
      </c>
      <c r="E351" s="357" t="s">
        <v>857</v>
      </c>
      <c r="F351" s="357" t="s">
        <v>858</v>
      </c>
      <c r="G351" s="357" t="s">
        <v>859</v>
      </c>
      <c r="H351" s="357" t="s">
        <v>860</v>
      </c>
      <c r="I351" s="384" t="s">
        <v>861</v>
      </c>
      <c r="J351" s="384" t="s">
        <v>862</v>
      </c>
      <c r="U351" s="423" t="s">
        <v>863</v>
      </c>
      <c r="V351" s="424"/>
      <c r="W351" s="424"/>
      <c r="X351" s="425"/>
      <c r="Z351" s="384" t="s">
        <v>864</v>
      </c>
    </row>
    <row r="352" spans="2:26">
      <c r="B352">
        <v>2</v>
      </c>
      <c r="C352" s="363"/>
      <c r="D352" s="363"/>
      <c r="E352" s="363"/>
      <c r="F352" s="363"/>
      <c r="G352" s="363"/>
      <c r="H352" s="363"/>
      <c r="I352" s="364"/>
      <c r="J352" s="364"/>
      <c r="U352" s="397"/>
      <c r="V352" s="398"/>
      <c r="W352" s="398"/>
      <c r="X352" s="399"/>
      <c r="Z352" s="364"/>
    </row>
    <row r="353" spans="2:26" ht="15.75">
      <c r="B353">
        <v>2</v>
      </c>
      <c r="C353" s="363"/>
      <c r="D353" s="363"/>
      <c r="E353" s="363"/>
      <c r="F353" s="363"/>
      <c r="G353" s="363"/>
      <c r="H353" s="363"/>
      <c r="I353" s="384" t="s">
        <v>865</v>
      </c>
      <c r="J353" s="384" t="s">
        <v>866</v>
      </c>
      <c r="U353" s="407"/>
      <c r="V353" s="408"/>
      <c r="W353" s="408"/>
      <c r="X353" s="409"/>
      <c r="Z353" s="384"/>
    </row>
    <row r="354" spans="2:26">
      <c r="B354">
        <v>2</v>
      </c>
      <c r="C354" s="363"/>
      <c r="D354" s="363"/>
      <c r="E354" s="363"/>
      <c r="F354" s="363"/>
      <c r="G354" s="363"/>
      <c r="H354" s="363"/>
      <c r="I354" s="364"/>
      <c r="J354" s="364"/>
      <c r="U354" s="397"/>
      <c r="V354" s="398"/>
      <c r="W354" s="398"/>
      <c r="X354" s="399"/>
      <c r="Z354" s="364"/>
    </row>
    <row r="355" spans="2:26" ht="15.75">
      <c r="B355">
        <v>2</v>
      </c>
      <c r="C355" s="374"/>
      <c r="D355" s="374"/>
      <c r="E355" s="374"/>
      <c r="F355" s="374"/>
      <c r="G355" s="374"/>
      <c r="H355" s="374"/>
      <c r="I355" s="375"/>
      <c r="J355" s="375"/>
      <c r="U355" s="443" t="s">
        <v>867</v>
      </c>
      <c r="V355" s="444"/>
      <c r="W355" s="444"/>
      <c r="X355" s="445"/>
      <c r="Z355" s="385" t="s">
        <v>868</v>
      </c>
    </row>
    <row r="356" spans="2:26" ht="15.75">
      <c r="B356">
        <v>2</v>
      </c>
      <c r="C356" s="357" t="s">
        <v>416</v>
      </c>
      <c r="D356" s="384" t="s">
        <v>869</v>
      </c>
      <c r="E356" s="357" t="s">
        <v>870</v>
      </c>
      <c r="F356" s="357" t="s">
        <v>871</v>
      </c>
      <c r="G356" s="357" t="s">
        <v>872</v>
      </c>
      <c r="H356" s="357" t="s">
        <v>873</v>
      </c>
      <c r="I356" s="384" t="s">
        <v>874</v>
      </c>
      <c r="J356" s="379" t="s">
        <v>875</v>
      </c>
      <c r="U356" s="423" t="s">
        <v>876</v>
      </c>
      <c r="V356" s="424"/>
      <c r="W356" s="424"/>
      <c r="X356" s="425"/>
      <c r="Z356" s="379" t="s">
        <v>877</v>
      </c>
    </row>
    <row r="357" spans="2:26" ht="15.75">
      <c r="B357">
        <v>2</v>
      </c>
      <c r="C357" s="363"/>
      <c r="D357" s="364"/>
      <c r="E357" s="363"/>
      <c r="F357" s="363"/>
      <c r="G357" s="363"/>
      <c r="H357" s="363"/>
      <c r="I357" s="383"/>
      <c r="J357" s="379" t="s">
        <v>878</v>
      </c>
      <c r="U357" s="407"/>
      <c r="V357" s="408"/>
      <c r="W357" s="408"/>
      <c r="X357" s="409"/>
      <c r="Z357" s="379" t="s">
        <v>879</v>
      </c>
    </row>
    <row r="358" spans="2:26" ht="15.75">
      <c r="B358">
        <v>2</v>
      </c>
      <c r="C358" s="363"/>
      <c r="D358" s="384"/>
      <c r="E358" s="363"/>
      <c r="F358" s="363"/>
      <c r="G358" s="363"/>
      <c r="H358" s="363"/>
      <c r="I358" s="379" t="s">
        <v>880</v>
      </c>
      <c r="J358" s="379" t="s">
        <v>881</v>
      </c>
      <c r="U358" s="407"/>
      <c r="V358" s="408"/>
      <c r="W358" s="408"/>
      <c r="X358" s="409"/>
      <c r="Z358" s="364"/>
    </row>
    <row r="359" spans="2:26" ht="15.75">
      <c r="B359">
        <v>2</v>
      </c>
      <c r="C359" s="363"/>
      <c r="D359" s="364"/>
      <c r="E359" s="363"/>
      <c r="F359" s="363"/>
      <c r="G359" s="363"/>
      <c r="H359" s="363"/>
      <c r="I359" s="379" t="s">
        <v>882</v>
      </c>
      <c r="J359" s="364"/>
      <c r="U359" s="407"/>
      <c r="V359" s="408"/>
      <c r="W359" s="408"/>
      <c r="X359" s="409"/>
      <c r="Z359" s="364"/>
    </row>
    <row r="360" spans="2:26" ht="15.75">
      <c r="B360">
        <v>2</v>
      </c>
      <c r="C360" s="363"/>
      <c r="D360" s="384" t="s">
        <v>470</v>
      </c>
      <c r="E360" s="363"/>
      <c r="F360" s="363"/>
      <c r="G360" s="363"/>
      <c r="H360" s="363"/>
      <c r="I360" s="379" t="s">
        <v>883</v>
      </c>
      <c r="J360" s="364"/>
      <c r="U360" s="407"/>
      <c r="V360" s="408"/>
      <c r="W360" s="408"/>
      <c r="X360" s="409"/>
      <c r="Z360" s="364"/>
    </row>
    <row r="361" spans="2:26">
      <c r="B361">
        <v>2</v>
      </c>
      <c r="C361" s="363"/>
      <c r="D361" s="364"/>
      <c r="E361" s="363"/>
      <c r="F361" s="363"/>
      <c r="G361" s="363"/>
      <c r="H361" s="363"/>
      <c r="I361" s="364"/>
      <c r="J361" s="364"/>
      <c r="U361" s="407"/>
      <c r="V361" s="408"/>
      <c r="W361" s="408"/>
      <c r="X361" s="409"/>
      <c r="Z361" s="364"/>
    </row>
    <row r="362" spans="2:26">
      <c r="B362">
        <v>2</v>
      </c>
      <c r="C362" s="374"/>
      <c r="D362" s="388" t="s">
        <v>884</v>
      </c>
      <c r="E362" s="374"/>
      <c r="F362" s="374"/>
      <c r="G362" s="374"/>
      <c r="H362" s="374"/>
      <c r="I362" s="375"/>
      <c r="J362" s="375"/>
      <c r="U362" s="443"/>
      <c r="V362" s="444"/>
      <c r="W362" s="444"/>
      <c r="X362" s="445"/>
      <c r="Z362" s="375"/>
    </row>
    <row r="363" spans="2:26" ht="15.75">
      <c r="B363">
        <v>3</v>
      </c>
      <c r="C363" s="372" t="s">
        <v>0</v>
      </c>
      <c r="D363" s="390" t="s">
        <v>1</v>
      </c>
      <c r="E363" s="390" t="s">
        <v>885</v>
      </c>
      <c r="F363" s="390" t="s">
        <v>2</v>
      </c>
      <c r="G363" s="391" t="s">
        <v>3</v>
      </c>
      <c r="H363" s="392"/>
      <c r="I363" s="392"/>
      <c r="J363" s="392"/>
      <c r="K363" s="392"/>
      <c r="L363" s="392"/>
      <c r="M363" s="392"/>
      <c r="N363" s="392"/>
      <c r="O363" s="392"/>
      <c r="P363" s="392"/>
      <c r="Q363" s="392"/>
      <c r="R363" s="392"/>
      <c r="S363" s="393"/>
      <c r="T363" s="372" t="s">
        <v>4</v>
      </c>
      <c r="U363" s="391" t="s">
        <v>5</v>
      </c>
      <c r="V363" s="392"/>
      <c r="W363" s="392"/>
      <c r="X363" s="392"/>
      <c r="Y363" s="393"/>
      <c r="Z363" s="372" t="s">
        <v>6</v>
      </c>
    </row>
    <row r="364" spans="2:26">
      <c r="B364">
        <v>3</v>
      </c>
      <c r="C364" s="373"/>
      <c r="D364" s="364"/>
      <c r="E364" s="364"/>
      <c r="F364" s="364"/>
      <c r="G364" s="394"/>
      <c r="H364" s="395"/>
      <c r="I364" s="395"/>
      <c r="J364" s="395"/>
      <c r="K364" s="395"/>
      <c r="L364" s="395"/>
      <c r="M364" s="395"/>
      <c r="N364" s="395"/>
      <c r="O364" s="395"/>
      <c r="P364" s="395"/>
      <c r="Q364" s="395"/>
      <c r="R364" s="395"/>
      <c r="S364" s="396"/>
      <c r="T364" s="377"/>
      <c r="U364" s="394"/>
      <c r="V364" s="395"/>
      <c r="W364" s="395"/>
      <c r="X364" s="395"/>
      <c r="Y364" s="396"/>
      <c r="Z364" s="373"/>
    </row>
    <row r="365" spans="2:26" ht="15" customHeight="1">
      <c r="B365">
        <v>3</v>
      </c>
      <c r="C365" s="373"/>
      <c r="D365" s="371" t="s">
        <v>7</v>
      </c>
      <c r="E365" s="371" t="s">
        <v>886</v>
      </c>
      <c r="F365" s="371" t="s">
        <v>8</v>
      </c>
      <c r="G365" s="371" t="s">
        <v>9</v>
      </c>
      <c r="H365" s="391" t="s">
        <v>10</v>
      </c>
      <c r="I365" s="393"/>
      <c r="J365" s="371" t="s">
        <v>11</v>
      </c>
      <c r="K365" s="391" t="s">
        <v>12</v>
      </c>
      <c r="L365" s="392"/>
      <c r="M365" s="392"/>
      <c r="N365" s="392"/>
      <c r="O365" s="392"/>
      <c r="P365" s="392"/>
      <c r="Q365" s="392"/>
      <c r="R365" s="392"/>
      <c r="S365" s="393"/>
      <c r="T365" s="372" t="s">
        <v>13</v>
      </c>
      <c r="U365" s="391" t="s">
        <v>10</v>
      </c>
      <c r="V365" s="392"/>
      <c r="W365" s="392"/>
      <c r="X365" s="392"/>
      <c r="Y365" s="393"/>
      <c r="Z365" s="373"/>
    </row>
    <row r="366" spans="2:26">
      <c r="B366">
        <v>3</v>
      </c>
      <c r="C366" s="373"/>
      <c r="D366" s="364"/>
      <c r="E366" s="364"/>
      <c r="F366" s="364"/>
      <c r="G366" s="364"/>
      <c r="H366" s="397"/>
      <c r="I366" s="399"/>
      <c r="J366" s="364"/>
      <c r="K366" s="397"/>
      <c r="L366" s="398"/>
      <c r="M366" s="398"/>
      <c r="N366" s="398"/>
      <c r="O366" s="398"/>
      <c r="P366" s="398"/>
      <c r="Q366" s="398"/>
      <c r="R366" s="398"/>
      <c r="S366" s="399"/>
      <c r="T366" s="373"/>
      <c r="U366" s="397"/>
      <c r="V366" s="398"/>
      <c r="W366" s="398"/>
      <c r="X366" s="398"/>
      <c r="Y366" s="399"/>
      <c r="Z366" s="373"/>
    </row>
    <row r="367" spans="2:26" ht="15.75">
      <c r="B367">
        <v>3</v>
      </c>
      <c r="C367" s="377"/>
      <c r="D367" s="375"/>
      <c r="E367" s="364"/>
      <c r="F367" s="375"/>
      <c r="G367" s="376" t="s">
        <v>15</v>
      </c>
      <c r="H367" s="394" t="s">
        <v>16</v>
      </c>
      <c r="I367" s="396"/>
      <c r="J367" s="376" t="s">
        <v>15</v>
      </c>
      <c r="K367" s="394" t="s">
        <v>17</v>
      </c>
      <c r="L367" s="395"/>
      <c r="M367" s="395"/>
      <c r="N367" s="395"/>
      <c r="O367" s="395"/>
      <c r="P367" s="395"/>
      <c r="Q367" s="395"/>
      <c r="R367" s="395"/>
      <c r="S367" s="396"/>
      <c r="T367" s="377"/>
      <c r="U367" s="394" t="s">
        <v>18</v>
      </c>
      <c r="V367" s="395"/>
      <c r="W367" s="395"/>
      <c r="X367" s="395"/>
      <c r="Y367" s="396"/>
      <c r="Z367" s="377"/>
    </row>
    <row r="368" spans="2:26" ht="15.75">
      <c r="B368">
        <v>3</v>
      </c>
      <c r="C368" s="458" t="s">
        <v>887</v>
      </c>
      <c r="D368" s="459">
        <v>42639</v>
      </c>
      <c r="E368" s="375"/>
      <c r="F368" s="459">
        <v>42641</v>
      </c>
      <c r="G368" s="459">
        <v>42643</v>
      </c>
      <c r="H368" s="460">
        <v>42643</v>
      </c>
      <c r="I368" s="461"/>
      <c r="J368" s="459">
        <v>42643</v>
      </c>
      <c r="K368" s="462" t="s">
        <v>888</v>
      </c>
      <c r="L368" s="463"/>
      <c r="M368" s="463"/>
      <c r="N368" s="463"/>
      <c r="O368" s="463"/>
      <c r="P368" s="463"/>
      <c r="Q368" s="463"/>
      <c r="R368" s="463"/>
      <c r="S368" s="464"/>
      <c r="T368" s="376" t="s">
        <v>889</v>
      </c>
      <c r="U368" s="462" t="s">
        <v>890</v>
      </c>
      <c r="V368" s="463"/>
      <c r="W368" s="463"/>
      <c r="X368" s="463"/>
      <c r="Y368" s="464"/>
      <c r="Z368" s="376" t="s">
        <v>891</v>
      </c>
    </row>
    <row r="369" spans="2:26" ht="15.75">
      <c r="B369">
        <v>3</v>
      </c>
      <c r="C369" s="357" t="s">
        <v>20</v>
      </c>
      <c r="D369" s="387" t="s">
        <v>892</v>
      </c>
      <c r="E369" s="465" t="s">
        <v>453</v>
      </c>
      <c r="F369" s="357" t="s">
        <v>893</v>
      </c>
      <c r="G369" s="389" t="s">
        <v>894</v>
      </c>
      <c r="H369" s="466" t="s">
        <v>895</v>
      </c>
      <c r="I369" s="467"/>
      <c r="J369" s="379" t="s">
        <v>896</v>
      </c>
      <c r="K369" s="466" t="s">
        <v>697</v>
      </c>
      <c r="L369" s="468"/>
      <c r="M369" s="468"/>
      <c r="N369" s="468"/>
      <c r="O369" s="468"/>
      <c r="P369" s="468"/>
      <c r="Q369" s="468"/>
      <c r="R369" s="468"/>
      <c r="S369" s="467"/>
      <c r="T369" s="379" t="s">
        <v>897</v>
      </c>
      <c r="U369" s="401" t="s">
        <v>898</v>
      </c>
      <c r="V369" s="402"/>
      <c r="W369" s="402"/>
      <c r="X369" s="402"/>
      <c r="Y369" s="403"/>
      <c r="Z369" s="357" t="s">
        <v>899</v>
      </c>
    </row>
    <row r="370" spans="2:26" ht="15.75">
      <c r="B370">
        <v>3</v>
      </c>
      <c r="C370" s="363"/>
      <c r="D370" s="387" t="s">
        <v>900</v>
      </c>
      <c r="E370" s="469"/>
      <c r="F370" s="363"/>
      <c r="G370" s="379" t="s">
        <v>901</v>
      </c>
      <c r="H370" s="404" t="s">
        <v>902</v>
      </c>
      <c r="I370" s="406"/>
      <c r="J370" s="379" t="s">
        <v>903</v>
      </c>
      <c r="K370" s="449"/>
      <c r="L370" s="450"/>
      <c r="M370" s="450"/>
      <c r="N370" s="450"/>
      <c r="O370" s="450"/>
      <c r="P370" s="450"/>
      <c r="Q370" s="450"/>
      <c r="R370" s="450"/>
      <c r="S370" s="451"/>
      <c r="T370" s="379" t="s">
        <v>904</v>
      </c>
      <c r="U370" s="420" t="s">
        <v>905</v>
      </c>
      <c r="V370" s="421"/>
      <c r="W370" s="421"/>
      <c r="X370" s="421"/>
      <c r="Y370" s="422"/>
      <c r="Z370" s="363"/>
    </row>
    <row r="371" spans="2:26" ht="15.75">
      <c r="B371">
        <v>3</v>
      </c>
      <c r="C371" s="363"/>
      <c r="D371" s="384" t="s">
        <v>906</v>
      </c>
      <c r="E371" s="469"/>
      <c r="F371" s="363"/>
      <c r="G371" s="364"/>
      <c r="H371" s="397"/>
      <c r="I371" s="399"/>
      <c r="J371" s="379" t="s">
        <v>907</v>
      </c>
      <c r="K371" s="404" t="s">
        <v>908</v>
      </c>
      <c r="L371" s="405"/>
      <c r="M371" s="405"/>
      <c r="N371" s="405"/>
      <c r="O371" s="405"/>
      <c r="P371" s="405"/>
      <c r="Q371" s="405"/>
      <c r="R371" s="405"/>
      <c r="S371" s="406"/>
      <c r="T371" s="379" t="s">
        <v>909</v>
      </c>
      <c r="U371" s="397"/>
      <c r="V371" s="398"/>
      <c r="W371" s="398"/>
      <c r="X371" s="398"/>
      <c r="Y371" s="399"/>
      <c r="Z371" s="363"/>
    </row>
    <row r="372" spans="2:26" ht="15.75">
      <c r="B372">
        <v>3</v>
      </c>
      <c r="C372" s="363"/>
      <c r="D372" s="387" t="s">
        <v>910</v>
      </c>
      <c r="E372" s="469"/>
      <c r="F372" s="363"/>
      <c r="G372" s="389" t="s">
        <v>911</v>
      </c>
      <c r="H372" s="470" t="s">
        <v>912</v>
      </c>
      <c r="I372" s="471"/>
      <c r="J372" s="383"/>
      <c r="K372" s="404" t="s">
        <v>913</v>
      </c>
      <c r="L372" s="405"/>
      <c r="M372" s="405"/>
      <c r="N372" s="405"/>
      <c r="O372" s="405"/>
      <c r="P372" s="405"/>
      <c r="Q372" s="405"/>
      <c r="R372" s="405"/>
      <c r="S372" s="406"/>
      <c r="T372" s="364"/>
      <c r="U372" s="397"/>
      <c r="V372" s="398"/>
      <c r="W372" s="398"/>
      <c r="X372" s="398"/>
      <c r="Y372" s="399"/>
      <c r="Z372" s="363"/>
    </row>
    <row r="373" spans="2:26" ht="15.75">
      <c r="B373">
        <v>3</v>
      </c>
      <c r="C373" s="363"/>
      <c r="D373" s="364"/>
      <c r="E373" s="469"/>
      <c r="F373" s="363"/>
      <c r="G373" s="364"/>
      <c r="H373" s="404" t="s">
        <v>914</v>
      </c>
      <c r="I373" s="406"/>
      <c r="J373" s="379" t="s">
        <v>915</v>
      </c>
      <c r="K373" s="404" t="s">
        <v>916</v>
      </c>
      <c r="L373" s="405"/>
      <c r="M373" s="405"/>
      <c r="N373" s="405"/>
      <c r="O373" s="405"/>
      <c r="P373" s="405"/>
      <c r="Q373" s="405"/>
      <c r="R373" s="405"/>
      <c r="S373" s="406"/>
      <c r="T373" s="384" t="s">
        <v>917</v>
      </c>
      <c r="U373" s="397"/>
      <c r="V373" s="398"/>
      <c r="W373" s="398"/>
      <c r="X373" s="398"/>
      <c r="Y373" s="399"/>
      <c r="Z373" s="363"/>
    </row>
    <row r="374" spans="2:26" ht="15.75">
      <c r="B374">
        <v>3</v>
      </c>
      <c r="C374" s="363"/>
      <c r="D374" s="384"/>
      <c r="E374" s="469"/>
      <c r="F374" s="363"/>
      <c r="G374" s="389" t="s">
        <v>918</v>
      </c>
      <c r="H374" s="397"/>
      <c r="I374" s="399"/>
      <c r="J374" s="364"/>
      <c r="K374" s="397"/>
      <c r="L374" s="398"/>
      <c r="M374" s="398"/>
      <c r="N374" s="398"/>
      <c r="O374" s="398"/>
      <c r="P374" s="398"/>
      <c r="Q374" s="398"/>
      <c r="R374" s="398"/>
      <c r="S374" s="399"/>
      <c r="T374" s="383"/>
      <c r="U374" s="397"/>
      <c r="V374" s="398"/>
      <c r="W374" s="398"/>
      <c r="X374" s="398"/>
      <c r="Y374" s="399"/>
      <c r="Z374" s="363"/>
    </row>
    <row r="375" spans="2:26" ht="31.35" customHeight="1">
      <c r="B375">
        <v>3</v>
      </c>
      <c r="C375" s="363"/>
      <c r="D375" s="364"/>
      <c r="E375" s="469"/>
      <c r="F375" s="363"/>
      <c r="G375" s="379" t="s">
        <v>914</v>
      </c>
      <c r="H375" s="470" t="s">
        <v>919</v>
      </c>
      <c r="I375" s="471"/>
      <c r="J375" s="364"/>
      <c r="K375" s="397"/>
      <c r="L375" s="398"/>
      <c r="M375" s="398"/>
      <c r="N375" s="398"/>
      <c r="O375" s="398"/>
      <c r="P375" s="398"/>
      <c r="Q375" s="398"/>
      <c r="R375" s="398"/>
      <c r="S375" s="399"/>
      <c r="T375" s="379" t="s">
        <v>920</v>
      </c>
      <c r="U375" s="397"/>
      <c r="V375" s="398"/>
      <c r="W375" s="398"/>
      <c r="X375" s="398"/>
      <c r="Y375" s="399"/>
      <c r="Z375" s="363"/>
    </row>
    <row r="376" spans="2:26" ht="15.6" customHeight="1">
      <c r="B376">
        <v>3</v>
      </c>
      <c r="C376" s="363"/>
      <c r="D376" s="364"/>
      <c r="E376" s="469"/>
      <c r="F376" s="363"/>
      <c r="G376" s="364"/>
      <c r="H376" s="404" t="s">
        <v>921</v>
      </c>
      <c r="I376" s="406"/>
      <c r="J376" s="364"/>
      <c r="K376" s="397"/>
      <c r="L376" s="398"/>
      <c r="M376" s="398"/>
      <c r="N376" s="398"/>
      <c r="O376" s="398"/>
      <c r="P376" s="398"/>
      <c r="Q376" s="398"/>
      <c r="R376" s="398"/>
      <c r="S376" s="399"/>
      <c r="T376" s="379" t="s">
        <v>920</v>
      </c>
      <c r="U376" s="397"/>
      <c r="V376" s="398"/>
      <c r="W376" s="398"/>
      <c r="X376" s="398"/>
      <c r="Y376" s="399"/>
      <c r="Z376" s="363"/>
    </row>
    <row r="377" spans="2:26">
      <c r="B377">
        <v>3</v>
      </c>
      <c r="C377" s="363"/>
      <c r="D377" s="364"/>
      <c r="E377" s="469"/>
      <c r="F377" s="363"/>
      <c r="G377" s="364"/>
      <c r="H377" s="397"/>
      <c r="I377" s="399"/>
      <c r="J377" s="364"/>
      <c r="K377" s="397"/>
      <c r="L377" s="398"/>
      <c r="M377" s="398"/>
      <c r="N377" s="398"/>
      <c r="O377" s="398"/>
      <c r="P377" s="398"/>
      <c r="Q377" s="398"/>
      <c r="R377" s="398"/>
      <c r="S377" s="399"/>
      <c r="T377" s="364"/>
      <c r="U377" s="397"/>
      <c r="V377" s="398"/>
      <c r="W377" s="398"/>
      <c r="X377" s="398"/>
      <c r="Y377" s="399"/>
      <c r="Z377" s="363"/>
    </row>
    <row r="378" spans="2:26" ht="15.75">
      <c r="B378">
        <v>3</v>
      </c>
      <c r="C378" s="363"/>
      <c r="D378" s="364"/>
      <c r="E378" s="469"/>
      <c r="F378" s="363"/>
      <c r="G378" s="364"/>
      <c r="H378" s="397"/>
      <c r="I378" s="399"/>
      <c r="J378" s="364"/>
      <c r="K378" s="397"/>
      <c r="L378" s="398"/>
      <c r="M378" s="398"/>
      <c r="N378" s="398"/>
      <c r="O378" s="398"/>
      <c r="P378" s="398"/>
      <c r="Q378" s="398"/>
      <c r="R378" s="398"/>
      <c r="S378" s="399"/>
      <c r="T378" s="384" t="s">
        <v>922</v>
      </c>
      <c r="U378" s="397"/>
      <c r="V378" s="398"/>
      <c r="W378" s="398"/>
      <c r="X378" s="398"/>
      <c r="Y378" s="399"/>
      <c r="Z378" s="363"/>
    </row>
    <row r="379" spans="2:26">
      <c r="B379">
        <v>3</v>
      </c>
      <c r="C379" s="363"/>
      <c r="D379" s="364"/>
      <c r="E379" s="469"/>
      <c r="F379" s="363"/>
      <c r="G379" s="364"/>
      <c r="H379" s="397"/>
      <c r="I379" s="399"/>
      <c r="J379" s="364"/>
      <c r="K379" s="397"/>
      <c r="L379" s="398"/>
      <c r="M379" s="398"/>
      <c r="N379" s="398"/>
      <c r="O379" s="398"/>
      <c r="P379" s="398"/>
      <c r="Q379" s="398"/>
      <c r="R379" s="398"/>
      <c r="S379" s="399"/>
      <c r="T379" s="383"/>
      <c r="U379" s="397"/>
      <c r="V379" s="398"/>
      <c r="W379" s="398"/>
      <c r="X379" s="398"/>
      <c r="Y379" s="399"/>
      <c r="Z379" s="363"/>
    </row>
    <row r="380" spans="2:26" ht="15.75">
      <c r="B380">
        <v>3</v>
      </c>
      <c r="C380" s="363"/>
      <c r="D380" s="364"/>
      <c r="E380" s="469"/>
      <c r="F380" s="363"/>
      <c r="G380" s="364"/>
      <c r="H380" s="397"/>
      <c r="I380" s="399"/>
      <c r="J380" s="364"/>
      <c r="K380" s="397"/>
      <c r="L380" s="398"/>
      <c r="M380" s="398"/>
      <c r="N380" s="398"/>
      <c r="O380" s="398"/>
      <c r="P380" s="398"/>
      <c r="Q380" s="398"/>
      <c r="R380" s="398"/>
      <c r="S380" s="399"/>
      <c r="T380" s="379" t="s">
        <v>920</v>
      </c>
      <c r="U380" s="397"/>
      <c r="V380" s="398"/>
      <c r="W380" s="398"/>
      <c r="X380" s="398"/>
      <c r="Y380" s="399"/>
      <c r="Z380" s="363"/>
    </row>
    <row r="381" spans="2:26" ht="15.75">
      <c r="B381">
        <v>3</v>
      </c>
      <c r="C381" s="374"/>
      <c r="D381" s="375"/>
      <c r="E381" s="472"/>
      <c r="F381" s="374"/>
      <c r="G381" s="375"/>
      <c r="H381" s="417"/>
      <c r="I381" s="419"/>
      <c r="J381" s="375"/>
      <c r="K381" s="417"/>
      <c r="L381" s="418"/>
      <c r="M381" s="418"/>
      <c r="N381" s="418"/>
      <c r="O381" s="418"/>
      <c r="P381" s="418"/>
      <c r="Q381" s="418"/>
      <c r="R381" s="418"/>
      <c r="S381" s="419"/>
      <c r="T381" s="382" t="s">
        <v>920</v>
      </c>
      <c r="U381" s="417"/>
      <c r="V381" s="418"/>
      <c r="W381" s="418"/>
      <c r="X381" s="418"/>
      <c r="Y381" s="419"/>
      <c r="Z381" s="374"/>
    </row>
    <row r="382" spans="2:26" ht="15.75">
      <c r="B382">
        <v>3</v>
      </c>
      <c r="C382" s="357" t="s">
        <v>456</v>
      </c>
      <c r="D382" s="387" t="s">
        <v>923</v>
      </c>
      <c r="E382" s="465" t="s">
        <v>924</v>
      </c>
      <c r="F382" s="357" t="s">
        <v>925</v>
      </c>
      <c r="G382" s="384" t="s">
        <v>926</v>
      </c>
      <c r="H382" s="423" t="s">
        <v>927</v>
      </c>
      <c r="I382" s="425"/>
      <c r="J382" s="357" t="s">
        <v>928</v>
      </c>
      <c r="K382" s="401" t="s">
        <v>929</v>
      </c>
      <c r="L382" s="402"/>
      <c r="M382" s="402"/>
      <c r="N382" s="402"/>
      <c r="O382" s="402"/>
      <c r="P382" s="402"/>
      <c r="Q382" s="402"/>
      <c r="R382" s="402"/>
      <c r="S382" s="403"/>
      <c r="T382" s="379" t="s">
        <v>930</v>
      </c>
      <c r="U382" s="401" t="s">
        <v>931</v>
      </c>
      <c r="V382" s="402"/>
      <c r="W382" s="402"/>
      <c r="X382" s="402"/>
      <c r="Y382" s="403"/>
      <c r="Z382" s="357" t="s">
        <v>932</v>
      </c>
    </row>
    <row r="383" spans="2:26" ht="15.75">
      <c r="B383">
        <v>3</v>
      </c>
      <c r="C383" s="363"/>
      <c r="D383" s="364"/>
      <c r="E383" s="469"/>
      <c r="F383" s="363"/>
      <c r="G383" s="384" t="s">
        <v>933</v>
      </c>
      <c r="H383" s="407" t="s">
        <v>934</v>
      </c>
      <c r="I383" s="409"/>
      <c r="J383" s="363"/>
      <c r="K383" s="404" t="s">
        <v>935</v>
      </c>
      <c r="L383" s="405"/>
      <c r="M383" s="405"/>
      <c r="N383" s="405"/>
      <c r="O383" s="405"/>
      <c r="P383" s="405"/>
      <c r="Q383" s="405"/>
      <c r="R383" s="405"/>
      <c r="S383" s="406"/>
      <c r="T383" s="379" t="s">
        <v>936</v>
      </c>
      <c r="U383" s="404" t="s">
        <v>937</v>
      </c>
      <c r="V383" s="405"/>
      <c r="W383" s="405"/>
      <c r="X383" s="405"/>
      <c r="Y383" s="406"/>
      <c r="Z383" s="363"/>
    </row>
    <row r="384" spans="2:26" ht="15.75">
      <c r="B384">
        <v>3</v>
      </c>
      <c r="C384" s="363"/>
      <c r="D384" s="387" t="s">
        <v>938</v>
      </c>
      <c r="E384" s="469"/>
      <c r="F384" s="363"/>
      <c r="G384" s="364"/>
      <c r="H384" s="397"/>
      <c r="I384" s="399"/>
      <c r="J384" s="363"/>
      <c r="K384" s="397"/>
      <c r="L384" s="398"/>
      <c r="M384" s="398"/>
      <c r="N384" s="398"/>
      <c r="O384" s="398"/>
      <c r="P384" s="398"/>
      <c r="Q384" s="398"/>
      <c r="R384" s="398"/>
      <c r="S384" s="399"/>
      <c r="T384" s="379" t="s">
        <v>939</v>
      </c>
      <c r="U384" s="397"/>
      <c r="V384" s="398"/>
      <c r="W384" s="398"/>
      <c r="X384" s="398"/>
      <c r="Y384" s="399"/>
      <c r="Z384" s="363"/>
    </row>
    <row r="385" spans="2:26">
      <c r="B385">
        <v>3</v>
      </c>
      <c r="C385" s="363"/>
      <c r="D385" s="364"/>
      <c r="E385" s="469"/>
      <c r="F385" s="363"/>
      <c r="G385" s="364"/>
      <c r="H385" s="397"/>
      <c r="I385" s="399"/>
      <c r="J385" s="363"/>
      <c r="K385" s="397"/>
      <c r="L385" s="398"/>
      <c r="M385" s="398"/>
      <c r="N385" s="398"/>
      <c r="O385" s="398"/>
      <c r="P385" s="398"/>
      <c r="Q385" s="398"/>
      <c r="R385" s="398"/>
      <c r="S385" s="399"/>
      <c r="T385" s="364"/>
      <c r="U385" s="397"/>
      <c r="V385" s="398"/>
      <c r="W385" s="398"/>
      <c r="X385" s="398"/>
      <c r="Y385" s="399"/>
      <c r="Z385" s="363"/>
    </row>
    <row r="386" spans="2:26">
      <c r="B386">
        <v>3</v>
      </c>
      <c r="C386" s="363"/>
      <c r="D386" s="387" t="s">
        <v>940</v>
      </c>
      <c r="E386" s="469"/>
      <c r="F386" s="363"/>
      <c r="G386" s="364"/>
      <c r="H386" s="397"/>
      <c r="I386" s="399"/>
      <c r="J386" s="363"/>
      <c r="K386" s="397"/>
      <c r="L386" s="398"/>
      <c r="M386" s="398"/>
      <c r="N386" s="398"/>
      <c r="O386" s="398"/>
      <c r="P386" s="398"/>
      <c r="Q386" s="398"/>
      <c r="R386" s="398"/>
      <c r="S386" s="399"/>
      <c r="T386" s="364"/>
      <c r="U386" s="397"/>
      <c r="V386" s="398"/>
      <c r="W386" s="398"/>
      <c r="X386" s="398"/>
      <c r="Y386" s="399"/>
      <c r="Z386" s="363"/>
    </row>
    <row r="387" spans="2:26">
      <c r="B387">
        <v>3</v>
      </c>
      <c r="C387" s="363"/>
      <c r="D387" s="364"/>
      <c r="E387" s="469"/>
      <c r="F387" s="363"/>
      <c r="G387" s="364"/>
      <c r="H387" s="397"/>
      <c r="I387" s="399"/>
      <c r="J387" s="363"/>
      <c r="K387" s="397"/>
      <c r="L387" s="398"/>
      <c r="M387" s="398"/>
      <c r="N387" s="398"/>
      <c r="O387" s="398"/>
      <c r="P387" s="398"/>
      <c r="Q387" s="398"/>
      <c r="R387" s="398"/>
      <c r="S387" s="399"/>
      <c r="T387" s="364"/>
      <c r="U387" s="397"/>
      <c r="V387" s="398"/>
      <c r="W387" s="398"/>
      <c r="X387" s="398"/>
      <c r="Y387" s="399"/>
      <c r="Z387" s="363"/>
    </row>
    <row r="388" spans="2:26">
      <c r="B388">
        <v>3</v>
      </c>
      <c r="C388" s="374"/>
      <c r="D388" s="388" t="s">
        <v>941</v>
      </c>
      <c r="E388" s="472"/>
      <c r="F388" s="374"/>
      <c r="G388" s="375"/>
      <c r="H388" s="417"/>
      <c r="I388" s="419"/>
      <c r="J388" s="374"/>
      <c r="K388" s="417"/>
      <c r="L388" s="418"/>
      <c r="M388" s="418"/>
      <c r="N388" s="418"/>
      <c r="O388" s="418"/>
      <c r="P388" s="418"/>
      <c r="Q388" s="418"/>
      <c r="R388" s="418"/>
      <c r="S388" s="419"/>
      <c r="T388" s="375"/>
      <c r="U388" s="417"/>
      <c r="V388" s="418"/>
      <c r="W388" s="418"/>
      <c r="X388" s="418"/>
      <c r="Y388" s="419"/>
      <c r="Z388" s="374"/>
    </row>
    <row r="389" spans="2:26" ht="15.75">
      <c r="B389">
        <v>3</v>
      </c>
      <c r="C389" s="357" t="s">
        <v>59</v>
      </c>
      <c r="D389" s="387" t="s">
        <v>942</v>
      </c>
      <c r="E389" s="357"/>
      <c r="F389" s="357" t="s">
        <v>943</v>
      </c>
      <c r="G389" s="378" t="s">
        <v>944</v>
      </c>
      <c r="H389" s="401" t="s">
        <v>945</v>
      </c>
      <c r="I389" s="403"/>
      <c r="J389" s="357" t="s">
        <v>946</v>
      </c>
      <c r="K389" s="423" t="s">
        <v>947</v>
      </c>
      <c r="L389" s="424"/>
      <c r="M389" s="424"/>
      <c r="N389" s="424"/>
      <c r="O389" s="424"/>
      <c r="P389" s="424"/>
      <c r="Q389" s="424"/>
      <c r="R389" s="424"/>
      <c r="S389" s="425"/>
      <c r="T389" s="379" t="s">
        <v>948</v>
      </c>
      <c r="U389" s="401" t="s">
        <v>949</v>
      </c>
      <c r="V389" s="402"/>
      <c r="W389" s="402"/>
      <c r="X389" s="402"/>
      <c r="Y389" s="403"/>
      <c r="Z389" s="379" t="s">
        <v>950</v>
      </c>
    </row>
    <row r="390" spans="2:26" ht="15.75">
      <c r="B390">
        <v>3</v>
      </c>
      <c r="C390" s="363"/>
      <c r="D390" s="364"/>
      <c r="E390" s="363"/>
      <c r="F390" s="363"/>
      <c r="G390" s="380"/>
      <c r="H390" s="404"/>
      <c r="I390" s="406"/>
      <c r="J390" s="363"/>
      <c r="K390" s="407"/>
      <c r="L390" s="408"/>
      <c r="M390" s="408"/>
      <c r="N390" s="408"/>
      <c r="O390" s="408"/>
      <c r="P390" s="408"/>
      <c r="Q390" s="408"/>
      <c r="R390" s="408"/>
      <c r="S390" s="409"/>
      <c r="T390" s="379" t="s">
        <v>951</v>
      </c>
      <c r="U390" s="404"/>
      <c r="V390" s="405"/>
      <c r="W390" s="405"/>
      <c r="X390" s="405"/>
      <c r="Y390" s="406"/>
      <c r="Z390" s="379" t="s">
        <v>952</v>
      </c>
    </row>
    <row r="391" spans="2:26" ht="15.75">
      <c r="B391">
        <v>3</v>
      </c>
      <c r="C391" s="363"/>
      <c r="D391" s="387" t="s">
        <v>493</v>
      </c>
      <c r="E391" s="363"/>
      <c r="F391" s="363"/>
      <c r="G391" s="380"/>
      <c r="H391" s="404"/>
      <c r="I391" s="406"/>
      <c r="J391" s="363"/>
      <c r="K391" s="407"/>
      <c r="L391" s="408"/>
      <c r="M391" s="408"/>
      <c r="N391" s="408"/>
      <c r="O391" s="408"/>
      <c r="P391" s="408"/>
      <c r="Q391" s="408"/>
      <c r="R391" s="408"/>
      <c r="S391" s="409"/>
      <c r="T391" s="379" t="s">
        <v>953</v>
      </c>
      <c r="U391" s="404"/>
      <c r="V391" s="405"/>
      <c r="W391" s="405"/>
      <c r="X391" s="405"/>
      <c r="Y391" s="406"/>
      <c r="Z391" s="379" t="s">
        <v>954</v>
      </c>
    </row>
    <row r="392" spans="2:26">
      <c r="B392">
        <v>3</v>
      </c>
      <c r="C392" s="363"/>
      <c r="D392" s="364"/>
      <c r="E392" s="363"/>
      <c r="F392" s="363"/>
      <c r="G392" s="380"/>
      <c r="H392" s="404"/>
      <c r="I392" s="406"/>
      <c r="J392" s="363"/>
      <c r="K392" s="407"/>
      <c r="L392" s="408"/>
      <c r="M392" s="408"/>
      <c r="N392" s="408"/>
      <c r="O392" s="408"/>
      <c r="P392" s="408"/>
      <c r="Q392" s="408"/>
      <c r="R392" s="408"/>
      <c r="S392" s="409"/>
      <c r="T392" s="364"/>
      <c r="U392" s="404"/>
      <c r="V392" s="405"/>
      <c r="W392" s="405"/>
      <c r="X392" s="405"/>
      <c r="Y392" s="406"/>
      <c r="Z392" s="364"/>
    </row>
    <row r="393" spans="2:26">
      <c r="B393">
        <v>3</v>
      </c>
      <c r="C393" s="374"/>
      <c r="D393" s="388" t="s">
        <v>501</v>
      </c>
      <c r="E393" s="374"/>
      <c r="F393" s="374"/>
      <c r="G393" s="381"/>
      <c r="H393" s="440"/>
      <c r="I393" s="442"/>
      <c r="J393" s="374"/>
      <c r="K393" s="443"/>
      <c r="L393" s="444"/>
      <c r="M393" s="444"/>
      <c r="N393" s="444"/>
      <c r="O393" s="444"/>
      <c r="P393" s="444"/>
      <c r="Q393" s="444"/>
      <c r="R393" s="444"/>
      <c r="S393" s="445"/>
      <c r="T393" s="375"/>
      <c r="U393" s="440"/>
      <c r="V393" s="441"/>
      <c r="W393" s="441"/>
      <c r="X393" s="441"/>
      <c r="Y393" s="442"/>
      <c r="Z393" s="375"/>
    </row>
    <row r="394" spans="2:26" ht="46.5" customHeight="1">
      <c r="B394">
        <v>3</v>
      </c>
      <c r="C394" s="357" t="s">
        <v>78</v>
      </c>
      <c r="D394" s="387" t="s">
        <v>955</v>
      </c>
      <c r="E394" s="357"/>
      <c r="F394" s="357" t="s">
        <v>956</v>
      </c>
      <c r="G394" s="379" t="s">
        <v>957</v>
      </c>
      <c r="H394" s="401" t="s">
        <v>958</v>
      </c>
      <c r="I394" s="403"/>
      <c r="J394" s="379" t="s">
        <v>959</v>
      </c>
      <c r="K394" s="401" t="s">
        <v>960</v>
      </c>
      <c r="L394" s="402"/>
      <c r="M394" s="402"/>
      <c r="N394" s="402"/>
      <c r="O394" s="402"/>
      <c r="P394" s="402"/>
      <c r="Q394" s="402"/>
      <c r="R394" s="402"/>
      <c r="S394" s="403"/>
      <c r="T394" s="357" t="s">
        <v>961</v>
      </c>
      <c r="U394" s="401" t="s">
        <v>962</v>
      </c>
      <c r="V394" s="402"/>
      <c r="W394" s="402"/>
      <c r="X394" s="402"/>
      <c r="Y394" s="403"/>
      <c r="Z394" s="378" t="s">
        <v>963</v>
      </c>
    </row>
    <row r="395" spans="2:26" ht="15.75">
      <c r="B395">
        <v>3</v>
      </c>
      <c r="C395" s="363"/>
      <c r="D395" s="364"/>
      <c r="E395" s="363"/>
      <c r="F395" s="363"/>
      <c r="G395" s="379" t="s">
        <v>964</v>
      </c>
      <c r="H395" s="404" t="s">
        <v>965</v>
      </c>
      <c r="I395" s="406"/>
      <c r="J395" s="379" t="s">
        <v>966</v>
      </c>
      <c r="K395" s="404" t="s">
        <v>967</v>
      </c>
      <c r="L395" s="405"/>
      <c r="M395" s="405"/>
      <c r="N395" s="405"/>
      <c r="O395" s="405"/>
      <c r="P395" s="405"/>
      <c r="Q395" s="405"/>
      <c r="R395" s="405"/>
      <c r="S395" s="406"/>
      <c r="T395" s="363"/>
      <c r="U395" s="404" t="s">
        <v>968</v>
      </c>
      <c r="V395" s="405"/>
      <c r="W395" s="405"/>
      <c r="X395" s="405"/>
      <c r="Y395" s="406"/>
      <c r="Z395" s="380"/>
    </row>
    <row r="396" spans="2:26">
      <c r="B396">
        <v>3</v>
      </c>
      <c r="C396" s="363"/>
      <c r="D396" s="387" t="s">
        <v>969</v>
      </c>
      <c r="E396" s="363"/>
      <c r="F396" s="363"/>
      <c r="G396" s="364"/>
      <c r="H396" s="397"/>
      <c r="I396" s="399"/>
      <c r="J396" s="364"/>
      <c r="K396" s="397"/>
      <c r="L396" s="398"/>
      <c r="M396" s="398"/>
      <c r="N396" s="398"/>
      <c r="O396" s="398"/>
      <c r="P396" s="398"/>
      <c r="Q396" s="398"/>
      <c r="R396" s="398"/>
      <c r="S396" s="399"/>
      <c r="T396" s="363"/>
      <c r="U396" s="397"/>
      <c r="V396" s="398"/>
      <c r="W396" s="398"/>
      <c r="X396" s="398"/>
      <c r="Y396" s="399"/>
      <c r="Z396" s="380"/>
    </row>
    <row r="397" spans="2:26">
      <c r="B397">
        <v>3</v>
      </c>
      <c r="C397" s="363"/>
      <c r="D397" s="364"/>
      <c r="E397" s="363"/>
      <c r="F397" s="363"/>
      <c r="G397" s="364"/>
      <c r="H397" s="397"/>
      <c r="I397" s="399"/>
      <c r="J397" s="364"/>
      <c r="K397" s="397"/>
      <c r="L397" s="398"/>
      <c r="M397" s="398"/>
      <c r="N397" s="398"/>
      <c r="O397" s="398"/>
      <c r="P397" s="398"/>
      <c r="Q397" s="398"/>
      <c r="R397" s="398"/>
      <c r="S397" s="399"/>
      <c r="T397" s="363"/>
      <c r="U397" s="397"/>
      <c r="V397" s="398"/>
      <c r="W397" s="398"/>
      <c r="X397" s="398"/>
      <c r="Y397" s="399"/>
      <c r="Z397" s="380"/>
    </row>
    <row r="398" spans="2:26">
      <c r="B398">
        <v>3</v>
      </c>
      <c r="C398" s="363"/>
      <c r="D398" s="387" t="s">
        <v>970</v>
      </c>
      <c r="E398" s="363"/>
      <c r="F398" s="363"/>
      <c r="G398" s="364"/>
      <c r="H398" s="397"/>
      <c r="I398" s="399"/>
      <c r="J398" s="364"/>
      <c r="K398" s="397"/>
      <c r="L398" s="398"/>
      <c r="M398" s="398"/>
      <c r="N398" s="398"/>
      <c r="O398" s="398"/>
      <c r="P398" s="398"/>
      <c r="Q398" s="398"/>
      <c r="R398" s="398"/>
      <c r="S398" s="399"/>
      <c r="T398" s="363"/>
      <c r="U398" s="397"/>
      <c r="V398" s="398"/>
      <c r="W398" s="398"/>
      <c r="X398" s="398"/>
      <c r="Y398" s="399"/>
      <c r="Z398" s="380"/>
    </row>
    <row r="399" spans="2:26">
      <c r="B399">
        <v>3</v>
      </c>
      <c r="C399" s="363"/>
      <c r="D399" s="364"/>
      <c r="E399" s="363"/>
      <c r="F399" s="363"/>
      <c r="G399" s="364"/>
      <c r="H399" s="397"/>
      <c r="I399" s="399"/>
      <c r="J399" s="364"/>
      <c r="K399" s="397"/>
      <c r="L399" s="398"/>
      <c r="M399" s="398"/>
      <c r="N399" s="398"/>
      <c r="O399" s="398"/>
      <c r="P399" s="398"/>
      <c r="Q399" s="398"/>
      <c r="R399" s="398"/>
      <c r="S399" s="399"/>
      <c r="T399" s="363"/>
      <c r="U399" s="397"/>
      <c r="V399" s="398"/>
      <c r="W399" s="398"/>
      <c r="X399" s="398"/>
      <c r="Y399" s="399"/>
      <c r="Z399" s="380"/>
    </row>
    <row r="400" spans="2:26">
      <c r="B400">
        <v>3</v>
      </c>
      <c r="C400" s="363"/>
      <c r="D400" s="387" t="s">
        <v>971</v>
      </c>
      <c r="E400" s="363"/>
      <c r="F400" s="363"/>
      <c r="G400" s="364"/>
      <c r="H400" s="397"/>
      <c r="I400" s="399"/>
      <c r="J400" s="364"/>
      <c r="K400" s="397"/>
      <c r="L400" s="398"/>
      <c r="M400" s="398"/>
      <c r="N400" s="398"/>
      <c r="O400" s="398"/>
      <c r="P400" s="398"/>
      <c r="Q400" s="398"/>
      <c r="R400" s="398"/>
      <c r="S400" s="399"/>
      <c r="T400" s="363"/>
      <c r="U400" s="397"/>
      <c r="V400" s="398"/>
      <c r="W400" s="398"/>
      <c r="X400" s="398"/>
      <c r="Y400" s="399"/>
      <c r="Z400" s="380"/>
    </row>
    <row r="401" spans="2:26">
      <c r="B401">
        <v>3</v>
      </c>
      <c r="C401" s="363"/>
      <c r="D401" s="364"/>
      <c r="E401" s="363"/>
      <c r="F401" s="363"/>
      <c r="G401" s="364"/>
      <c r="H401" s="397"/>
      <c r="I401" s="399"/>
      <c r="J401" s="364"/>
      <c r="K401" s="397"/>
      <c r="L401" s="398"/>
      <c r="M401" s="398"/>
      <c r="N401" s="398"/>
      <c r="O401" s="398"/>
      <c r="P401" s="398"/>
      <c r="Q401" s="398"/>
      <c r="R401" s="398"/>
      <c r="S401" s="399"/>
      <c r="T401" s="363"/>
      <c r="U401" s="397"/>
      <c r="V401" s="398"/>
      <c r="W401" s="398"/>
      <c r="X401" s="398"/>
      <c r="Y401" s="399"/>
      <c r="Z401" s="380"/>
    </row>
    <row r="402" spans="2:26" ht="15.75">
      <c r="B402">
        <v>3</v>
      </c>
      <c r="C402" s="374"/>
      <c r="D402" s="385"/>
      <c r="E402" s="374"/>
      <c r="F402" s="374"/>
      <c r="G402" s="375"/>
      <c r="H402" s="417"/>
      <c r="I402" s="419"/>
      <c r="J402" s="375"/>
      <c r="K402" s="417"/>
      <c r="L402" s="418"/>
      <c r="M402" s="418"/>
      <c r="N402" s="418"/>
      <c r="O402" s="418"/>
      <c r="P402" s="418"/>
      <c r="Q402" s="418"/>
      <c r="R402" s="418"/>
      <c r="S402" s="419"/>
      <c r="T402" s="374"/>
      <c r="U402" s="417"/>
      <c r="V402" s="418"/>
      <c r="W402" s="418"/>
      <c r="X402" s="418"/>
      <c r="Y402" s="419"/>
      <c r="Z402" s="381"/>
    </row>
    <row r="403" spans="2:26" ht="15.75">
      <c r="B403">
        <v>3</v>
      </c>
      <c r="C403" s="357" t="s">
        <v>94</v>
      </c>
      <c r="D403" s="387" t="s">
        <v>539</v>
      </c>
      <c r="E403" s="465" t="s">
        <v>972</v>
      </c>
      <c r="F403" s="357" t="s">
        <v>973</v>
      </c>
      <c r="G403" s="379" t="s">
        <v>974</v>
      </c>
      <c r="H403" s="401" t="s">
        <v>975</v>
      </c>
      <c r="I403" s="403"/>
      <c r="J403" s="379" t="s">
        <v>976</v>
      </c>
      <c r="K403" s="401" t="s">
        <v>977</v>
      </c>
      <c r="L403" s="402"/>
      <c r="M403" s="402"/>
      <c r="N403" s="402"/>
      <c r="O403" s="402"/>
      <c r="P403" s="402"/>
      <c r="Q403" s="402"/>
      <c r="R403" s="402"/>
      <c r="S403" s="403"/>
      <c r="T403" s="378" t="s">
        <v>978</v>
      </c>
      <c r="U403" s="401" t="s">
        <v>979</v>
      </c>
      <c r="V403" s="402"/>
      <c r="W403" s="402"/>
      <c r="X403" s="402"/>
      <c r="Y403" s="403"/>
      <c r="Z403" s="379" t="s">
        <v>980</v>
      </c>
    </row>
    <row r="404" spans="2:26" ht="15.75">
      <c r="B404">
        <v>3</v>
      </c>
      <c r="C404" s="363"/>
      <c r="D404" s="364"/>
      <c r="E404" s="469"/>
      <c r="F404" s="363"/>
      <c r="G404" s="379" t="s">
        <v>981</v>
      </c>
      <c r="H404" s="404" t="s">
        <v>982</v>
      </c>
      <c r="I404" s="406"/>
      <c r="J404" s="379" t="s">
        <v>983</v>
      </c>
      <c r="K404" s="404" t="s">
        <v>984</v>
      </c>
      <c r="L404" s="405"/>
      <c r="M404" s="405"/>
      <c r="N404" s="405"/>
      <c r="O404" s="405"/>
      <c r="P404" s="405"/>
      <c r="Q404" s="405"/>
      <c r="R404" s="405"/>
      <c r="S404" s="406"/>
      <c r="T404" s="380"/>
      <c r="U404" s="404" t="s">
        <v>985</v>
      </c>
      <c r="V404" s="405"/>
      <c r="W404" s="405"/>
      <c r="X404" s="405"/>
      <c r="Y404" s="406"/>
      <c r="Z404" s="379" t="s">
        <v>986</v>
      </c>
    </row>
    <row r="405" spans="2:26">
      <c r="B405">
        <v>3</v>
      </c>
      <c r="C405" s="363"/>
      <c r="D405" s="387" t="s">
        <v>525</v>
      </c>
      <c r="E405" s="469"/>
      <c r="F405" s="363"/>
      <c r="G405" s="364"/>
      <c r="H405" s="397"/>
      <c r="I405" s="399"/>
      <c r="J405" s="364"/>
      <c r="K405" s="397"/>
      <c r="L405" s="398"/>
      <c r="M405" s="398"/>
      <c r="N405" s="398"/>
      <c r="O405" s="398"/>
      <c r="P405" s="398"/>
      <c r="Q405" s="398"/>
      <c r="R405" s="398"/>
      <c r="S405" s="399"/>
      <c r="T405" s="380"/>
      <c r="U405" s="420" t="s">
        <v>987</v>
      </c>
      <c r="V405" s="421"/>
      <c r="W405" s="421"/>
      <c r="X405" s="421"/>
      <c r="Y405" s="422"/>
      <c r="Z405" s="364"/>
    </row>
    <row r="406" spans="2:26">
      <c r="B406">
        <v>3</v>
      </c>
      <c r="C406" s="363"/>
      <c r="D406" s="364"/>
      <c r="E406" s="469"/>
      <c r="F406" s="363"/>
      <c r="G406" s="364"/>
      <c r="H406" s="397"/>
      <c r="I406" s="399"/>
      <c r="J406" s="364"/>
      <c r="K406" s="397"/>
      <c r="L406" s="398"/>
      <c r="M406" s="398"/>
      <c r="N406" s="398"/>
      <c r="O406" s="398"/>
      <c r="P406" s="398"/>
      <c r="Q406" s="398"/>
      <c r="R406" s="398"/>
      <c r="S406" s="399"/>
      <c r="T406" s="380"/>
      <c r="U406" s="397"/>
      <c r="V406" s="398"/>
      <c r="W406" s="398"/>
      <c r="X406" s="398"/>
      <c r="Y406" s="399"/>
      <c r="Z406" s="364"/>
    </row>
    <row r="407" spans="2:26">
      <c r="B407">
        <v>3</v>
      </c>
      <c r="C407" s="374"/>
      <c r="D407" s="388" t="s">
        <v>988</v>
      </c>
      <c r="E407" s="472"/>
      <c r="F407" s="374"/>
      <c r="G407" s="375"/>
      <c r="H407" s="417"/>
      <c r="I407" s="419"/>
      <c r="J407" s="375"/>
      <c r="K407" s="417"/>
      <c r="L407" s="418"/>
      <c r="M407" s="418"/>
      <c r="N407" s="418"/>
      <c r="O407" s="418"/>
      <c r="P407" s="418"/>
      <c r="Q407" s="418"/>
      <c r="R407" s="418"/>
      <c r="S407" s="419"/>
      <c r="T407" s="381"/>
      <c r="U407" s="417"/>
      <c r="V407" s="418"/>
      <c r="W407" s="418"/>
      <c r="X407" s="418"/>
      <c r="Y407" s="419"/>
      <c r="Z407" s="375"/>
    </row>
    <row r="408" spans="2:26" ht="15.75">
      <c r="B408">
        <v>3</v>
      </c>
      <c r="C408" s="357" t="s">
        <v>106</v>
      </c>
      <c r="D408" s="384" t="s">
        <v>989</v>
      </c>
      <c r="E408" s="357"/>
      <c r="F408" s="357" t="s">
        <v>990</v>
      </c>
      <c r="G408" s="379" t="s">
        <v>991</v>
      </c>
      <c r="H408" s="401" t="s">
        <v>992</v>
      </c>
      <c r="I408" s="403"/>
      <c r="J408" s="379" t="s">
        <v>993</v>
      </c>
      <c r="K408" s="423"/>
      <c r="L408" s="424"/>
      <c r="M408" s="424"/>
      <c r="N408" s="424"/>
      <c r="O408" s="424"/>
      <c r="P408" s="424"/>
      <c r="Q408" s="424"/>
      <c r="R408" s="424"/>
      <c r="S408" s="425"/>
      <c r="T408" s="379" t="s">
        <v>994</v>
      </c>
      <c r="U408" s="401" t="s">
        <v>995</v>
      </c>
      <c r="V408" s="402"/>
      <c r="W408" s="402"/>
      <c r="X408" s="402"/>
      <c r="Y408" s="403"/>
      <c r="Z408" s="379" t="s">
        <v>996</v>
      </c>
    </row>
    <row r="409" spans="2:26" ht="15.75">
      <c r="B409">
        <v>3</v>
      </c>
      <c r="C409" s="363"/>
      <c r="D409" s="364"/>
      <c r="E409" s="363"/>
      <c r="F409" s="363"/>
      <c r="G409" s="379" t="s">
        <v>997</v>
      </c>
      <c r="H409" s="404" t="s">
        <v>998</v>
      </c>
      <c r="I409" s="406"/>
      <c r="J409" s="379" t="s">
        <v>999</v>
      </c>
      <c r="K409" s="449"/>
      <c r="L409" s="450"/>
      <c r="M409" s="450"/>
      <c r="N409" s="450"/>
      <c r="O409" s="450"/>
      <c r="P409" s="450"/>
      <c r="Q409" s="450"/>
      <c r="R409" s="450"/>
      <c r="S409" s="451"/>
      <c r="T409" s="379" t="s">
        <v>1000</v>
      </c>
      <c r="U409" s="404" t="s">
        <v>1001</v>
      </c>
      <c r="V409" s="405"/>
      <c r="W409" s="405"/>
      <c r="X409" s="405"/>
      <c r="Y409" s="406"/>
      <c r="Z409" s="379" t="s">
        <v>1002</v>
      </c>
    </row>
    <row r="410" spans="2:26" ht="77.849999999999994" customHeight="1">
      <c r="B410">
        <v>3</v>
      </c>
      <c r="C410" s="363"/>
      <c r="D410" s="387" t="s">
        <v>1003</v>
      </c>
      <c r="E410" s="363"/>
      <c r="F410" s="363"/>
      <c r="G410" s="379" t="s">
        <v>1004</v>
      </c>
      <c r="H410" s="404" t="s">
        <v>1005</v>
      </c>
      <c r="I410" s="406"/>
      <c r="J410" s="379" t="s">
        <v>1006</v>
      </c>
      <c r="K410" s="404" t="s">
        <v>1007</v>
      </c>
      <c r="L410" s="405"/>
      <c r="M410" s="405"/>
      <c r="N410" s="405"/>
      <c r="O410" s="405"/>
      <c r="P410" s="405"/>
      <c r="Q410" s="405"/>
      <c r="R410" s="405"/>
      <c r="S410" s="406"/>
      <c r="T410" s="364"/>
      <c r="U410" s="404" t="s">
        <v>1008</v>
      </c>
      <c r="V410" s="405"/>
      <c r="W410" s="405"/>
      <c r="X410" s="405"/>
      <c r="Y410" s="406"/>
      <c r="Z410" s="364"/>
    </row>
    <row r="411" spans="2:26" ht="15.6" customHeight="1">
      <c r="B411">
        <v>3</v>
      </c>
      <c r="C411" s="363"/>
      <c r="D411" s="364"/>
      <c r="E411" s="363"/>
      <c r="F411" s="363"/>
      <c r="G411" s="364"/>
      <c r="H411" s="397"/>
      <c r="I411" s="399"/>
      <c r="J411" s="364"/>
      <c r="K411" s="404" t="s">
        <v>1009</v>
      </c>
      <c r="L411" s="405"/>
      <c r="M411" s="405"/>
      <c r="N411" s="405"/>
      <c r="O411" s="405"/>
      <c r="P411" s="405"/>
      <c r="Q411" s="405"/>
      <c r="R411" s="405"/>
      <c r="S411" s="406"/>
      <c r="T411" s="364"/>
      <c r="U411" s="397"/>
      <c r="V411" s="398"/>
      <c r="W411" s="398"/>
      <c r="X411" s="398"/>
      <c r="Y411" s="399"/>
      <c r="Z411" s="364"/>
    </row>
    <row r="412" spans="2:26">
      <c r="B412">
        <v>3</v>
      </c>
      <c r="C412" s="363"/>
      <c r="D412" s="387" t="s">
        <v>597</v>
      </c>
      <c r="E412" s="363"/>
      <c r="F412" s="363"/>
      <c r="G412" s="364"/>
      <c r="H412" s="397"/>
      <c r="I412" s="399"/>
      <c r="J412" s="364"/>
      <c r="K412" s="397"/>
      <c r="L412" s="398"/>
      <c r="M412" s="398"/>
      <c r="N412" s="398"/>
      <c r="O412" s="398"/>
      <c r="P412" s="398"/>
      <c r="Q412" s="398"/>
      <c r="R412" s="398"/>
      <c r="S412" s="399"/>
      <c r="T412" s="364"/>
      <c r="U412" s="397"/>
      <c r="V412" s="398"/>
      <c r="W412" s="398"/>
      <c r="X412" s="398"/>
      <c r="Y412" s="399"/>
      <c r="Z412" s="364"/>
    </row>
    <row r="413" spans="2:26">
      <c r="B413">
        <v>3</v>
      </c>
      <c r="C413" s="363"/>
      <c r="D413" s="364"/>
      <c r="E413" s="363"/>
      <c r="F413" s="363"/>
      <c r="G413" s="364"/>
      <c r="H413" s="397"/>
      <c r="I413" s="399"/>
      <c r="J413" s="364"/>
      <c r="K413" s="397"/>
      <c r="L413" s="398"/>
      <c r="M413" s="398"/>
      <c r="N413" s="398"/>
      <c r="O413" s="398"/>
      <c r="P413" s="398"/>
      <c r="Q413" s="398"/>
      <c r="R413" s="398"/>
      <c r="S413" s="399"/>
      <c r="T413" s="364"/>
      <c r="U413" s="397"/>
      <c r="V413" s="398"/>
      <c r="W413" s="398"/>
      <c r="X413" s="398"/>
      <c r="Y413" s="399"/>
      <c r="Z413" s="364"/>
    </row>
    <row r="414" spans="2:26">
      <c r="B414">
        <v>3</v>
      </c>
      <c r="C414" s="363"/>
      <c r="D414" s="387" t="s">
        <v>626</v>
      </c>
      <c r="E414" s="363"/>
      <c r="F414" s="363"/>
      <c r="G414" s="364"/>
      <c r="H414" s="397"/>
      <c r="I414" s="399"/>
      <c r="J414" s="364"/>
      <c r="K414" s="397"/>
      <c r="L414" s="398"/>
      <c r="M414" s="398"/>
      <c r="N414" s="398"/>
      <c r="O414" s="398"/>
      <c r="P414" s="398"/>
      <c r="Q414" s="398"/>
      <c r="R414" s="398"/>
      <c r="S414" s="399"/>
      <c r="T414" s="364"/>
      <c r="U414" s="397"/>
      <c r="V414" s="398"/>
      <c r="W414" s="398"/>
      <c r="X414" s="398"/>
      <c r="Y414" s="399"/>
      <c r="Z414" s="364"/>
    </row>
    <row r="415" spans="2:26">
      <c r="B415">
        <v>3</v>
      </c>
      <c r="C415" s="363"/>
      <c r="D415" s="364"/>
      <c r="E415" s="363"/>
      <c r="F415" s="363"/>
      <c r="G415" s="364"/>
      <c r="H415" s="397"/>
      <c r="I415" s="399"/>
      <c r="J415" s="364"/>
      <c r="K415" s="397"/>
      <c r="L415" s="398"/>
      <c r="M415" s="398"/>
      <c r="N415" s="398"/>
      <c r="O415" s="398"/>
      <c r="P415" s="398"/>
      <c r="Q415" s="398"/>
      <c r="R415" s="398"/>
      <c r="S415" s="399"/>
      <c r="T415" s="364"/>
      <c r="U415" s="397"/>
      <c r="V415" s="398"/>
      <c r="W415" s="398"/>
      <c r="X415" s="398"/>
      <c r="Y415" s="399"/>
      <c r="Z415" s="364"/>
    </row>
    <row r="416" spans="2:26">
      <c r="B416">
        <v>3</v>
      </c>
      <c r="C416" s="363"/>
      <c r="D416" s="387" t="s">
        <v>566</v>
      </c>
      <c r="E416" s="363"/>
      <c r="F416" s="363"/>
      <c r="G416" s="364"/>
      <c r="H416" s="397"/>
      <c r="I416" s="399"/>
      <c r="J416" s="364"/>
      <c r="K416" s="397"/>
      <c r="L416" s="398"/>
      <c r="M416" s="398"/>
      <c r="N416" s="398"/>
      <c r="O416" s="398"/>
      <c r="P416" s="398"/>
      <c r="Q416" s="398"/>
      <c r="R416" s="398"/>
      <c r="S416" s="399"/>
      <c r="T416" s="364"/>
      <c r="U416" s="397"/>
      <c r="V416" s="398"/>
      <c r="W416" s="398"/>
      <c r="X416" s="398"/>
      <c r="Y416" s="399"/>
      <c r="Z416" s="364"/>
    </row>
    <row r="417" spans="2:26">
      <c r="B417">
        <v>3</v>
      </c>
      <c r="C417" s="363"/>
      <c r="D417" s="364"/>
      <c r="E417" s="363"/>
      <c r="F417" s="363"/>
      <c r="G417" s="364"/>
      <c r="H417" s="397"/>
      <c r="I417" s="399"/>
      <c r="J417" s="364"/>
      <c r="K417" s="397"/>
      <c r="L417" s="398"/>
      <c r="M417" s="398"/>
      <c r="N417" s="398"/>
      <c r="O417" s="398"/>
      <c r="P417" s="398"/>
      <c r="Q417" s="398"/>
      <c r="R417" s="398"/>
      <c r="S417" s="399"/>
      <c r="T417" s="364"/>
      <c r="U417" s="397"/>
      <c r="V417" s="398"/>
      <c r="W417" s="398"/>
      <c r="X417" s="398"/>
      <c r="Y417" s="399"/>
      <c r="Z417" s="364"/>
    </row>
    <row r="418" spans="2:26">
      <c r="B418">
        <v>3</v>
      </c>
      <c r="C418" s="374"/>
      <c r="D418" s="388" t="s">
        <v>641</v>
      </c>
      <c r="E418" s="374"/>
      <c r="F418" s="374"/>
      <c r="G418" s="375"/>
      <c r="H418" s="417"/>
      <c r="I418" s="419"/>
      <c r="J418" s="375"/>
      <c r="K418" s="417"/>
      <c r="L418" s="418"/>
      <c r="M418" s="418"/>
      <c r="N418" s="418"/>
      <c r="O418" s="418"/>
      <c r="P418" s="418"/>
      <c r="Q418" s="418"/>
      <c r="R418" s="418"/>
      <c r="S418" s="419"/>
      <c r="T418" s="375"/>
      <c r="U418" s="417"/>
      <c r="V418" s="418"/>
      <c r="W418" s="418"/>
      <c r="X418" s="418"/>
      <c r="Y418" s="419"/>
      <c r="Z418" s="375"/>
    </row>
    <row r="419" spans="2:26" ht="15.75">
      <c r="B419">
        <v>3</v>
      </c>
      <c r="C419" s="357" t="s">
        <v>106</v>
      </c>
      <c r="D419" s="384" t="s">
        <v>1010</v>
      </c>
      <c r="E419" s="387" t="s">
        <v>1011</v>
      </c>
      <c r="F419" s="357" t="s">
        <v>1012</v>
      </c>
      <c r="G419" s="379" t="s">
        <v>1013</v>
      </c>
      <c r="H419" s="401" t="s">
        <v>1014</v>
      </c>
      <c r="I419" s="403"/>
      <c r="J419" s="379" t="s">
        <v>1015</v>
      </c>
      <c r="K419" s="401" t="s">
        <v>1016</v>
      </c>
      <c r="L419" s="402"/>
      <c r="M419" s="402"/>
      <c r="N419" s="402"/>
      <c r="O419" s="402"/>
      <c r="P419" s="402"/>
      <c r="Q419" s="402"/>
      <c r="R419" s="402"/>
      <c r="S419" s="403"/>
      <c r="T419" s="379" t="s">
        <v>1017</v>
      </c>
      <c r="U419" s="401" t="s">
        <v>1018</v>
      </c>
      <c r="V419" s="402"/>
      <c r="W419" s="402"/>
      <c r="X419" s="402"/>
      <c r="Y419" s="403"/>
      <c r="Z419" s="357" t="s">
        <v>1019</v>
      </c>
    </row>
    <row r="420" spans="2:26" ht="15.75">
      <c r="B420">
        <v>3</v>
      </c>
      <c r="C420" s="363"/>
      <c r="D420" s="364"/>
      <c r="E420" s="364"/>
      <c r="F420" s="363"/>
      <c r="G420" s="379" t="s">
        <v>1020</v>
      </c>
      <c r="H420" s="404" t="s">
        <v>1021</v>
      </c>
      <c r="I420" s="406"/>
      <c r="J420" s="379" t="s">
        <v>1022</v>
      </c>
      <c r="K420" s="404" t="s">
        <v>1023</v>
      </c>
      <c r="L420" s="405"/>
      <c r="M420" s="405"/>
      <c r="N420" s="405"/>
      <c r="O420" s="405"/>
      <c r="P420" s="405"/>
      <c r="Q420" s="405"/>
      <c r="R420" s="405"/>
      <c r="S420" s="406"/>
      <c r="T420" s="379" t="s">
        <v>1024</v>
      </c>
      <c r="U420" s="404" t="s">
        <v>1025</v>
      </c>
      <c r="V420" s="405"/>
      <c r="W420" s="405"/>
      <c r="X420" s="405"/>
      <c r="Y420" s="406"/>
      <c r="Z420" s="363"/>
    </row>
    <row r="421" spans="2:26" ht="15.75">
      <c r="B421">
        <v>3</v>
      </c>
      <c r="C421" s="363"/>
      <c r="D421" s="387" t="s">
        <v>558</v>
      </c>
      <c r="E421" s="387" t="s">
        <v>1026</v>
      </c>
      <c r="F421" s="363"/>
      <c r="G421" s="379" t="s">
        <v>1027</v>
      </c>
      <c r="H421" s="404" t="s">
        <v>1028</v>
      </c>
      <c r="I421" s="406"/>
      <c r="J421" s="364"/>
      <c r="K421" s="404" t="s">
        <v>1029</v>
      </c>
      <c r="L421" s="405"/>
      <c r="M421" s="405"/>
      <c r="N421" s="405"/>
      <c r="O421" s="405"/>
      <c r="P421" s="405"/>
      <c r="Q421" s="405"/>
      <c r="R421" s="405"/>
      <c r="S421" s="406"/>
      <c r="T421" s="379" t="s">
        <v>1030</v>
      </c>
      <c r="U421" s="404" t="s">
        <v>1031</v>
      </c>
      <c r="V421" s="405"/>
      <c r="W421" s="405"/>
      <c r="X421" s="405"/>
      <c r="Y421" s="406"/>
      <c r="Z421" s="363"/>
    </row>
    <row r="422" spans="2:26" ht="15.75">
      <c r="B422">
        <v>3</v>
      </c>
      <c r="C422" s="363"/>
      <c r="D422" s="364"/>
      <c r="E422" s="364"/>
      <c r="F422" s="363"/>
      <c r="G422" s="364"/>
      <c r="H422" s="397"/>
      <c r="I422" s="399"/>
      <c r="J422" s="364"/>
      <c r="K422" s="404" t="s">
        <v>1032</v>
      </c>
      <c r="L422" s="405"/>
      <c r="M422" s="405"/>
      <c r="N422" s="405"/>
      <c r="O422" s="405"/>
      <c r="P422" s="405"/>
      <c r="Q422" s="405"/>
      <c r="R422" s="405"/>
      <c r="S422" s="406"/>
      <c r="T422" s="379" t="s">
        <v>1033</v>
      </c>
      <c r="U422" s="397"/>
      <c r="V422" s="398"/>
      <c r="W422" s="398"/>
      <c r="X422" s="398"/>
      <c r="Y422" s="399"/>
      <c r="Z422" s="363"/>
    </row>
    <row r="423" spans="2:26" ht="15.75">
      <c r="B423">
        <v>3</v>
      </c>
      <c r="C423" s="363"/>
      <c r="D423" s="387" t="s">
        <v>1034</v>
      </c>
      <c r="E423" s="364"/>
      <c r="F423" s="363"/>
      <c r="G423" s="364"/>
      <c r="H423" s="397"/>
      <c r="I423" s="399"/>
      <c r="J423" s="364"/>
      <c r="K423" s="404" t="s">
        <v>1035</v>
      </c>
      <c r="L423" s="405"/>
      <c r="M423" s="405"/>
      <c r="N423" s="405"/>
      <c r="O423" s="405"/>
      <c r="P423" s="405"/>
      <c r="Q423" s="405"/>
      <c r="R423" s="405"/>
      <c r="S423" s="406"/>
      <c r="T423" s="379" t="s">
        <v>1036</v>
      </c>
      <c r="U423" s="397"/>
      <c r="V423" s="398"/>
      <c r="W423" s="398"/>
      <c r="X423" s="398"/>
      <c r="Y423" s="399"/>
      <c r="Z423" s="363"/>
    </row>
    <row r="424" spans="2:26" ht="15.75">
      <c r="B424">
        <v>3</v>
      </c>
      <c r="C424" s="363"/>
      <c r="D424" s="364"/>
      <c r="E424" s="364"/>
      <c r="F424" s="363"/>
      <c r="G424" s="364"/>
      <c r="H424" s="397"/>
      <c r="I424" s="399"/>
      <c r="J424" s="364"/>
      <c r="K424" s="407"/>
      <c r="L424" s="408"/>
      <c r="M424" s="408"/>
      <c r="N424" s="408"/>
      <c r="O424" s="408"/>
      <c r="P424" s="408"/>
      <c r="Q424" s="408"/>
      <c r="R424" s="408"/>
      <c r="S424" s="409"/>
      <c r="T424" s="364"/>
      <c r="U424" s="397"/>
      <c r="V424" s="398"/>
      <c r="W424" s="398"/>
      <c r="X424" s="398"/>
      <c r="Y424" s="399"/>
      <c r="Z424" s="363"/>
    </row>
    <row r="425" spans="2:26" ht="15.75">
      <c r="B425">
        <v>3</v>
      </c>
      <c r="C425" s="363"/>
      <c r="D425" s="387" t="s">
        <v>611</v>
      </c>
      <c r="E425" s="364"/>
      <c r="F425" s="363"/>
      <c r="G425" s="364"/>
      <c r="H425" s="397"/>
      <c r="I425" s="399"/>
      <c r="J425" s="364"/>
      <c r="K425" s="407"/>
      <c r="L425" s="408"/>
      <c r="M425" s="408"/>
      <c r="N425" s="408"/>
      <c r="O425" s="408"/>
      <c r="P425" s="408"/>
      <c r="Q425" s="408"/>
      <c r="R425" s="408"/>
      <c r="S425" s="409"/>
      <c r="T425" s="364"/>
      <c r="U425" s="397"/>
      <c r="V425" s="398"/>
      <c r="W425" s="398"/>
      <c r="X425" s="398"/>
      <c r="Y425" s="399"/>
      <c r="Z425" s="363"/>
    </row>
    <row r="426" spans="2:26" ht="15.75">
      <c r="B426">
        <v>3</v>
      </c>
      <c r="C426" s="363"/>
      <c r="D426" s="364"/>
      <c r="E426" s="364"/>
      <c r="F426" s="363"/>
      <c r="G426" s="364"/>
      <c r="H426" s="397"/>
      <c r="I426" s="399"/>
      <c r="J426" s="364"/>
      <c r="K426" s="407"/>
      <c r="L426" s="408"/>
      <c r="M426" s="408"/>
      <c r="N426" s="408"/>
      <c r="O426" s="408"/>
      <c r="P426" s="408"/>
      <c r="Q426" s="408"/>
      <c r="R426" s="408"/>
      <c r="S426" s="409"/>
      <c r="T426" s="364"/>
      <c r="U426" s="397"/>
      <c r="V426" s="398"/>
      <c r="W426" s="398"/>
      <c r="X426" s="398"/>
      <c r="Y426" s="399"/>
      <c r="Z426" s="363"/>
    </row>
    <row r="427" spans="2:26" ht="15.75">
      <c r="B427">
        <v>3</v>
      </c>
      <c r="C427" s="363"/>
      <c r="D427" s="387" t="s">
        <v>1037</v>
      </c>
      <c r="E427" s="364"/>
      <c r="F427" s="363"/>
      <c r="G427" s="364"/>
      <c r="H427" s="397"/>
      <c r="I427" s="399"/>
      <c r="J427" s="364"/>
      <c r="K427" s="407"/>
      <c r="L427" s="408"/>
      <c r="M427" s="408"/>
      <c r="N427" s="408"/>
      <c r="O427" s="408"/>
      <c r="P427" s="408"/>
      <c r="Q427" s="408"/>
      <c r="R427" s="408"/>
      <c r="S427" s="409"/>
      <c r="T427" s="364"/>
      <c r="U427" s="397"/>
      <c r="V427" s="398"/>
      <c r="W427" s="398"/>
      <c r="X427" s="398"/>
      <c r="Y427" s="399"/>
      <c r="Z427" s="363"/>
    </row>
    <row r="428" spans="2:26" ht="15.75">
      <c r="B428">
        <v>3</v>
      </c>
      <c r="C428" s="363"/>
      <c r="D428" s="364"/>
      <c r="E428" s="364"/>
      <c r="F428" s="363"/>
      <c r="G428" s="364"/>
      <c r="H428" s="397"/>
      <c r="I428" s="399"/>
      <c r="J428" s="364"/>
      <c r="K428" s="407"/>
      <c r="L428" s="408"/>
      <c r="M428" s="408"/>
      <c r="N428" s="408"/>
      <c r="O428" s="408"/>
      <c r="P428" s="408"/>
      <c r="Q428" s="408"/>
      <c r="R428" s="408"/>
      <c r="S428" s="409"/>
      <c r="T428" s="364"/>
      <c r="U428" s="397"/>
      <c r="V428" s="398"/>
      <c r="W428" s="398"/>
      <c r="X428" s="398"/>
      <c r="Y428" s="399"/>
      <c r="Z428" s="363"/>
    </row>
    <row r="429" spans="2:26" ht="15.75">
      <c r="B429">
        <v>3</v>
      </c>
      <c r="C429" s="374"/>
      <c r="D429" s="388" t="s">
        <v>1038</v>
      </c>
      <c r="E429" s="375"/>
      <c r="F429" s="374"/>
      <c r="G429" s="375"/>
      <c r="H429" s="417"/>
      <c r="I429" s="419"/>
      <c r="J429" s="375"/>
      <c r="K429" s="443"/>
      <c r="L429" s="444"/>
      <c r="M429" s="444"/>
      <c r="N429" s="444"/>
      <c r="O429" s="444"/>
      <c r="P429" s="444"/>
      <c r="Q429" s="444"/>
      <c r="R429" s="444"/>
      <c r="S429" s="445"/>
      <c r="T429" s="375"/>
      <c r="U429" s="417"/>
      <c r="V429" s="418"/>
      <c r="W429" s="418"/>
      <c r="X429" s="418"/>
      <c r="Y429" s="419"/>
      <c r="Z429" s="374"/>
    </row>
    <row r="430" spans="2:26" ht="15.75">
      <c r="B430">
        <v>3</v>
      </c>
      <c r="C430" s="357" t="s">
        <v>106</v>
      </c>
      <c r="D430" s="384" t="s">
        <v>1039</v>
      </c>
      <c r="E430" s="465" t="s">
        <v>1040</v>
      </c>
      <c r="F430" s="357" t="s">
        <v>1041</v>
      </c>
      <c r="G430" s="379" t="s">
        <v>1042</v>
      </c>
      <c r="H430" s="401" t="s">
        <v>1043</v>
      </c>
      <c r="I430" s="403"/>
      <c r="J430" s="379" t="s">
        <v>1044</v>
      </c>
      <c r="K430" s="401" t="s">
        <v>1045</v>
      </c>
      <c r="L430" s="402"/>
      <c r="M430" s="402"/>
      <c r="N430" s="402"/>
      <c r="O430" s="402"/>
      <c r="P430" s="402"/>
      <c r="Q430" s="402"/>
      <c r="R430" s="402"/>
      <c r="S430" s="403"/>
      <c r="T430" s="379" t="s">
        <v>1046</v>
      </c>
      <c r="U430" s="401" t="s">
        <v>1047</v>
      </c>
      <c r="V430" s="402"/>
      <c r="W430" s="402"/>
      <c r="X430" s="402"/>
      <c r="Y430" s="403"/>
      <c r="Z430" s="379" t="s">
        <v>1048</v>
      </c>
    </row>
    <row r="431" spans="2:26" ht="15.75">
      <c r="B431">
        <v>3</v>
      </c>
      <c r="C431" s="363"/>
      <c r="D431" s="364"/>
      <c r="E431" s="469"/>
      <c r="F431" s="363"/>
      <c r="G431" s="379" t="s">
        <v>1049</v>
      </c>
      <c r="H431" s="404" t="s">
        <v>1050</v>
      </c>
      <c r="I431" s="406"/>
      <c r="J431" s="379" t="s">
        <v>1051</v>
      </c>
      <c r="K431" s="404" t="s">
        <v>1052</v>
      </c>
      <c r="L431" s="405"/>
      <c r="M431" s="405"/>
      <c r="N431" s="405"/>
      <c r="O431" s="405"/>
      <c r="P431" s="405"/>
      <c r="Q431" s="405"/>
      <c r="R431" s="405"/>
      <c r="S431" s="406"/>
      <c r="T431" s="379" t="s">
        <v>1053</v>
      </c>
      <c r="U431" s="404" t="s">
        <v>1054</v>
      </c>
      <c r="V431" s="405"/>
      <c r="W431" s="405"/>
      <c r="X431" s="405"/>
      <c r="Y431" s="406"/>
      <c r="Z431" s="379" t="s">
        <v>1055</v>
      </c>
    </row>
    <row r="432" spans="2:26" ht="15.75">
      <c r="B432">
        <v>3</v>
      </c>
      <c r="C432" s="363"/>
      <c r="D432" s="387" t="s">
        <v>1056</v>
      </c>
      <c r="E432" s="469"/>
      <c r="F432" s="363"/>
      <c r="G432" s="379" t="s">
        <v>1057</v>
      </c>
      <c r="H432" s="404" t="s">
        <v>1058</v>
      </c>
      <c r="I432" s="406"/>
      <c r="J432" s="379" t="s">
        <v>1059</v>
      </c>
      <c r="K432" s="404" t="s">
        <v>1060</v>
      </c>
      <c r="L432" s="405"/>
      <c r="M432" s="405"/>
      <c r="N432" s="405"/>
      <c r="O432" s="405"/>
      <c r="P432" s="405"/>
      <c r="Q432" s="405"/>
      <c r="R432" s="405"/>
      <c r="S432" s="406"/>
      <c r="T432" s="379" t="s">
        <v>1061</v>
      </c>
      <c r="U432" s="404" t="s">
        <v>1062</v>
      </c>
      <c r="V432" s="405"/>
      <c r="W432" s="405"/>
      <c r="X432" s="405"/>
      <c r="Y432" s="406"/>
      <c r="Z432" s="379" t="s">
        <v>1063</v>
      </c>
    </row>
    <row r="433" spans="2:26" ht="15.75">
      <c r="B433">
        <v>3</v>
      </c>
      <c r="C433" s="363"/>
      <c r="D433" s="364"/>
      <c r="E433" s="469"/>
      <c r="F433" s="363"/>
      <c r="G433" s="364"/>
      <c r="H433" s="404" t="s">
        <v>1064</v>
      </c>
      <c r="I433" s="406"/>
      <c r="J433" s="379" t="s">
        <v>1065</v>
      </c>
      <c r="K433" s="404" t="s">
        <v>1066</v>
      </c>
      <c r="L433" s="405"/>
      <c r="M433" s="405"/>
      <c r="N433" s="405"/>
      <c r="O433" s="405"/>
      <c r="P433" s="405"/>
      <c r="Q433" s="405"/>
      <c r="R433" s="405"/>
      <c r="S433" s="406"/>
      <c r="T433" s="379" t="s">
        <v>1067</v>
      </c>
      <c r="U433" s="404" t="s">
        <v>1068</v>
      </c>
      <c r="V433" s="405"/>
      <c r="W433" s="405"/>
      <c r="X433" s="405"/>
      <c r="Y433" s="406"/>
      <c r="Z433" s="364"/>
    </row>
    <row r="434" spans="2:26" ht="15.6" customHeight="1">
      <c r="B434">
        <v>3</v>
      </c>
      <c r="C434" s="363"/>
      <c r="D434" s="387" t="s">
        <v>615</v>
      </c>
      <c r="E434" s="469"/>
      <c r="F434" s="363"/>
      <c r="G434" s="364"/>
      <c r="H434" s="404" t="s">
        <v>1069</v>
      </c>
      <c r="I434" s="406"/>
      <c r="J434" s="364"/>
      <c r="K434" s="407"/>
      <c r="L434" s="408"/>
      <c r="M434" s="408"/>
      <c r="N434" s="408"/>
      <c r="O434" s="408"/>
      <c r="P434" s="408"/>
      <c r="Q434" s="408"/>
      <c r="R434" s="408"/>
      <c r="S434" s="409"/>
      <c r="T434" s="364"/>
      <c r="U434" s="404" t="s">
        <v>1070</v>
      </c>
      <c r="V434" s="405"/>
      <c r="W434" s="405"/>
      <c r="X434" s="405"/>
      <c r="Y434" s="406"/>
      <c r="Z434" s="364"/>
    </row>
    <row r="435" spans="2:26" ht="46.5" customHeight="1">
      <c r="B435">
        <v>3</v>
      </c>
      <c r="C435" s="363"/>
      <c r="D435" s="364"/>
      <c r="E435" s="469"/>
      <c r="F435" s="363"/>
      <c r="G435" s="364"/>
      <c r="H435" s="404" t="s">
        <v>1071</v>
      </c>
      <c r="I435" s="406"/>
      <c r="J435" s="364"/>
      <c r="K435" s="407"/>
      <c r="L435" s="408"/>
      <c r="M435" s="408"/>
      <c r="N435" s="408"/>
      <c r="O435" s="408"/>
      <c r="P435" s="408"/>
      <c r="Q435" s="408"/>
      <c r="R435" s="408"/>
      <c r="S435" s="409"/>
      <c r="T435" s="364"/>
      <c r="U435" s="404" t="s">
        <v>1072</v>
      </c>
      <c r="V435" s="405"/>
      <c r="W435" s="405"/>
      <c r="X435" s="405"/>
      <c r="Y435" s="406"/>
      <c r="Z435" s="364"/>
    </row>
    <row r="436" spans="2:26" ht="31.35" customHeight="1">
      <c r="B436">
        <v>3</v>
      </c>
      <c r="C436" s="363"/>
      <c r="D436" s="387" t="s">
        <v>614</v>
      </c>
      <c r="E436" s="469"/>
      <c r="F436" s="363"/>
      <c r="G436" s="364"/>
      <c r="H436" s="397"/>
      <c r="I436" s="399"/>
      <c r="J436" s="364"/>
      <c r="K436" s="407"/>
      <c r="L436" s="408"/>
      <c r="M436" s="408"/>
      <c r="N436" s="408"/>
      <c r="O436" s="408"/>
      <c r="P436" s="408"/>
      <c r="Q436" s="408"/>
      <c r="R436" s="408"/>
      <c r="S436" s="409"/>
      <c r="T436" s="364"/>
      <c r="U436" s="404" t="s">
        <v>1073</v>
      </c>
      <c r="V436" s="405"/>
      <c r="W436" s="405"/>
      <c r="X436" s="405"/>
      <c r="Y436" s="406"/>
      <c r="Z436" s="364"/>
    </row>
    <row r="437" spans="2:26" ht="15.6" customHeight="1">
      <c r="B437">
        <v>3</v>
      </c>
      <c r="C437" s="363"/>
      <c r="D437" s="364"/>
      <c r="E437" s="469"/>
      <c r="F437" s="363"/>
      <c r="G437" s="364"/>
      <c r="H437" s="397"/>
      <c r="I437" s="399"/>
      <c r="J437" s="364"/>
      <c r="K437" s="407"/>
      <c r="L437" s="408"/>
      <c r="M437" s="408"/>
      <c r="N437" s="408"/>
      <c r="O437" s="408"/>
      <c r="P437" s="408"/>
      <c r="Q437" s="408"/>
      <c r="R437" s="408"/>
      <c r="S437" s="409"/>
      <c r="T437" s="364"/>
      <c r="U437" s="404" t="s">
        <v>1074</v>
      </c>
      <c r="V437" s="405"/>
      <c r="W437" s="405"/>
      <c r="X437" s="405"/>
      <c r="Y437" s="406"/>
      <c r="Z437" s="364"/>
    </row>
    <row r="438" spans="2:26" ht="15.75">
      <c r="B438">
        <v>3</v>
      </c>
      <c r="C438" s="363"/>
      <c r="D438" s="387" t="s">
        <v>1075</v>
      </c>
      <c r="E438" s="469"/>
      <c r="F438" s="363"/>
      <c r="G438" s="364"/>
      <c r="H438" s="397"/>
      <c r="I438" s="399"/>
      <c r="J438" s="364"/>
      <c r="K438" s="407"/>
      <c r="L438" s="408"/>
      <c r="M438" s="408"/>
      <c r="N438" s="408"/>
      <c r="O438" s="408"/>
      <c r="P438" s="408"/>
      <c r="Q438" s="408"/>
      <c r="R438" s="408"/>
      <c r="S438" s="409"/>
      <c r="T438" s="364"/>
      <c r="U438" s="404" t="s">
        <v>1076</v>
      </c>
      <c r="V438" s="405"/>
      <c r="W438" s="405"/>
      <c r="X438" s="405"/>
      <c r="Y438" s="406"/>
      <c r="Z438" s="364"/>
    </row>
    <row r="439" spans="2:26" ht="15.75">
      <c r="B439">
        <v>3</v>
      </c>
      <c r="C439" s="374"/>
      <c r="D439" s="375"/>
      <c r="E439" s="472"/>
      <c r="F439" s="374"/>
      <c r="G439" s="375"/>
      <c r="H439" s="417"/>
      <c r="I439" s="419"/>
      <c r="J439" s="375"/>
      <c r="K439" s="443"/>
      <c r="L439" s="444"/>
      <c r="M439" s="444"/>
      <c r="N439" s="444"/>
      <c r="O439" s="444"/>
      <c r="P439" s="444"/>
      <c r="Q439" s="444"/>
      <c r="R439" s="444"/>
      <c r="S439" s="445"/>
      <c r="T439" s="375"/>
      <c r="U439" s="440" t="s">
        <v>1077</v>
      </c>
      <c r="V439" s="441"/>
      <c r="W439" s="441"/>
      <c r="X439" s="441"/>
      <c r="Y439" s="442"/>
      <c r="Z439" s="375"/>
    </row>
    <row r="440" spans="2:26" ht="15.75">
      <c r="B440">
        <v>3</v>
      </c>
      <c r="C440" s="357" t="s">
        <v>180</v>
      </c>
      <c r="D440" s="357" t="s">
        <v>181</v>
      </c>
      <c r="E440" s="357"/>
      <c r="F440" s="357" t="s">
        <v>1078</v>
      </c>
      <c r="G440" s="384">
        <v>1</v>
      </c>
      <c r="H440" s="423" t="s">
        <v>1079</v>
      </c>
      <c r="I440" s="425"/>
      <c r="J440" s="384" t="s">
        <v>1080</v>
      </c>
      <c r="K440" s="423" t="s">
        <v>1081</v>
      </c>
      <c r="L440" s="424"/>
      <c r="M440" s="424"/>
      <c r="N440" s="424"/>
      <c r="O440" s="424"/>
      <c r="P440" s="424"/>
      <c r="Q440" s="424"/>
      <c r="R440" s="424"/>
      <c r="S440" s="425"/>
      <c r="T440" s="384" t="s">
        <v>1082</v>
      </c>
      <c r="U440" s="401" t="s">
        <v>1083</v>
      </c>
      <c r="V440" s="402"/>
      <c r="W440" s="402"/>
      <c r="X440" s="402"/>
      <c r="Y440" s="403"/>
      <c r="Z440" s="378" t="s">
        <v>1084</v>
      </c>
    </row>
    <row r="441" spans="2:26">
      <c r="B441">
        <v>3</v>
      </c>
      <c r="C441" s="363"/>
      <c r="D441" s="363"/>
      <c r="E441" s="363"/>
      <c r="F441" s="363"/>
      <c r="G441" s="364"/>
      <c r="H441" s="449"/>
      <c r="I441" s="451"/>
      <c r="J441" s="364"/>
      <c r="K441" s="397"/>
      <c r="L441" s="398"/>
      <c r="M441" s="398"/>
      <c r="N441" s="398"/>
      <c r="O441" s="398"/>
      <c r="P441" s="398"/>
      <c r="Q441" s="398"/>
      <c r="R441" s="398"/>
      <c r="S441" s="399"/>
      <c r="T441" s="364"/>
      <c r="U441" s="404"/>
      <c r="V441" s="405"/>
      <c r="W441" s="405"/>
      <c r="X441" s="405"/>
      <c r="Y441" s="406"/>
      <c r="Z441" s="380"/>
    </row>
    <row r="442" spans="2:26" ht="15.75">
      <c r="B442">
        <v>3</v>
      </c>
      <c r="C442" s="363"/>
      <c r="D442" s="363"/>
      <c r="E442" s="363"/>
      <c r="F442" s="363"/>
      <c r="G442" s="384" t="s">
        <v>1085</v>
      </c>
      <c r="H442" s="404" t="s">
        <v>1086</v>
      </c>
      <c r="I442" s="406"/>
      <c r="J442" s="384" t="s">
        <v>1087</v>
      </c>
      <c r="K442" s="407" t="s">
        <v>1088</v>
      </c>
      <c r="L442" s="408"/>
      <c r="M442" s="408"/>
      <c r="N442" s="408"/>
      <c r="O442" s="408"/>
      <c r="P442" s="408"/>
      <c r="Q442" s="408"/>
      <c r="R442" s="408"/>
      <c r="S442" s="409"/>
      <c r="T442" s="384" t="s">
        <v>1089</v>
      </c>
      <c r="U442" s="404"/>
      <c r="V442" s="405"/>
      <c r="W442" s="405"/>
      <c r="X442" s="405"/>
      <c r="Y442" s="406"/>
      <c r="Z442" s="380"/>
    </row>
    <row r="443" spans="2:26" ht="15.6" customHeight="1">
      <c r="B443">
        <v>3</v>
      </c>
      <c r="C443" s="363"/>
      <c r="D443" s="363"/>
      <c r="E443" s="363"/>
      <c r="F443" s="363"/>
      <c r="G443" s="364"/>
      <c r="H443" s="404" t="s">
        <v>1090</v>
      </c>
      <c r="I443" s="406"/>
      <c r="J443" s="364"/>
      <c r="K443" s="397"/>
      <c r="L443" s="398"/>
      <c r="M443" s="398"/>
      <c r="N443" s="398"/>
      <c r="O443" s="398"/>
      <c r="P443" s="398"/>
      <c r="Q443" s="398"/>
      <c r="R443" s="398"/>
      <c r="S443" s="399"/>
      <c r="T443" s="364"/>
      <c r="U443" s="404"/>
      <c r="V443" s="405"/>
      <c r="W443" s="405"/>
      <c r="X443" s="405"/>
      <c r="Y443" s="406"/>
      <c r="Z443" s="380"/>
    </row>
    <row r="444" spans="2:26" ht="15.75">
      <c r="B444">
        <v>3</v>
      </c>
      <c r="C444" s="374"/>
      <c r="D444" s="374"/>
      <c r="E444" s="374"/>
      <c r="F444" s="374"/>
      <c r="G444" s="385" t="s">
        <v>1091</v>
      </c>
      <c r="H444" s="417"/>
      <c r="I444" s="419"/>
      <c r="J444" s="375"/>
      <c r="K444" s="417"/>
      <c r="L444" s="418"/>
      <c r="M444" s="418"/>
      <c r="N444" s="418"/>
      <c r="O444" s="418"/>
      <c r="P444" s="418"/>
      <c r="Q444" s="418"/>
      <c r="R444" s="418"/>
      <c r="S444" s="419"/>
      <c r="T444" s="375"/>
      <c r="U444" s="440"/>
      <c r="V444" s="441"/>
      <c r="W444" s="441"/>
      <c r="X444" s="441"/>
      <c r="Y444" s="442"/>
      <c r="Z444" s="381"/>
    </row>
    <row r="445" spans="2:26" ht="15.75">
      <c r="B445">
        <v>3</v>
      </c>
      <c r="C445" s="357" t="s">
        <v>195</v>
      </c>
      <c r="D445" s="387" t="s">
        <v>1092</v>
      </c>
      <c r="E445" s="357"/>
      <c r="F445" s="357" t="s">
        <v>1093</v>
      </c>
      <c r="G445" s="379" t="s">
        <v>1094</v>
      </c>
      <c r="H445" s="401" t="s">
        <v>1095</v>
      </c>
      <c r="I445" s="403"/>
      <c r="J445" s="379" t="s">
        <v>1096</v>
      </c>
      <c r="K445" s="423" t="s">
        <v>1097</v>
      </c>
      <c r="L445" s="424"/>
      <c r="M445" s="424"/>
      <c r="N445" s="424"/>
      <c r="O445" s="424"/>
      <c r="P445" s="424"/>
      <c r="Q445" s="424"/>
      <c r="R445" s="424"/>
      <c r="S445" s="425"/>
      <c r="T445" s="379" t="s">
        <v>1098</v>
      </c>
      <c r="U445" s="401" t="s">
        <v>1099</v>
      </c>
      <c r="V445" s="402"/>
      <c r="W445" s="402"/>
      <c r="X445" s="402"/>
      <c r="Y445" s="403"/>
      <c r="Z445" s="379" t="s">
        <v>1100</v>
      </c>
    </row>
    <row r="446" spans="2:26" ht="15.75">
      <c r="B446">
        <v>3</v>
      </c>
      <c r="C446" s="363"/>
      <c r="D446" s="364"/>
      <c r="E446" s="363"/>
      <c r="F446" s="363"/>
      <c r="G446" s="379" t="s">
        <v>1101</v>
      </c>
      <c r="H446" s="404" t="s">
        <v>1102</v>
      </c>
      <c r="I446" s="406"/>
      <c r="J446" s="379" t="s">
        <v>1103</v>
      </c>
      <c r="K446" s="449"/>
      <c r="L446" s="450"/>
      <c r="M446" s="450"/>
      <c r="N446" s="450"/>
      <c r="O446" s="450"/>
      <c r="P446" s="450"/>
      <c r="Q446" s="450"/>
      <c r="R446" s="450"/>
      <c r="S446" s="451"/>
      <c r="T446" s="364"/>
      <c r="U446" s="404" t="s">
        <v>1104</v>
      </c>
      <c r="V446" s="405"/>
      <c r="W446" s="405"/>
      <c r="X446" s="405"/>
      <c r="Y446" s="406"/>
      <c r="Z446" s="379" t="s">
        <v>1105</v>
      </c>
    </row>
    <row r="447" spans="2:26" ht="15.75">
      <c r="B447">
        <v>3</v>
      </c>
      <c r="C447" s="363"/>
      <c r="D447" s="387" t="s">
        <v>1106</v>
      </c>
      <c r="E447" s="363"/>
      <c r="F447" s="363"/>
      <c r="G447" s="379" t="s">
        <v>1107</v>
      </c>
      <c r="H447" s="407"/>
      <c r="I447" s="409"/>
      <c r="J447" s="379" t="s">
        <v>1108</v>
      </c>
      <c r="K447" s="404" t="s">
        <v>1109</v>
      </c>
      <c r="L447" s="405"/>
      <c r="M447" s="405"/>
      <c r="N447" s="405"/>
      <c r="O447" s="405"/>
      <c r="P447" s="405"/>
      <c r="Q447" s="405"/>
      <c r="R447" s="405"/>
      <c r="S447" s="406"/>
      <c r="T447" s="379" t="s">
        <v>1110</v>
      </c>
      <c r="U447" s="404" t="s">
        <v>1111</v>
      </c>
      <c r="V447" s="405"/>
      <c r="W447" s="405"/>
      <c r="X447" s="405"/>
      <c r="Y447" s="406"/>
      <c r="Z447" s="379" t="s">
        <v>1112</v>
      </c>
    </row>
    <row r="448" spans="2:26" ht="15.75">
      <c r="B448">
        <v>3</v>
      </c>
      <c r="C448" s="363"/>
      <c r="D448" s="364"/>
      <c r="E448" s="363"/>
      <c r="F448" s="363"/>
      <c r="G448" s="364"/>
      <c r="H448" s="407"/>
      <c r="I448" s="409"/>
      <c r="J448" s="379" t="s">
        <v>1113</v>
      </c>
      <c r="K448" s="404" t="s">
        <v>1114</v>
      </c>
      <c r="L448" s="405"/>
      <c r="M448" s="405"/>
      <c r="N448" s="405"/>
      <c r="O448" s="405"/>
      <c r="P448" s="405"/>
      <c r="Q448" s="405"/>
      <c r="R448" s="405"/>
      <c r="S448" s="406"/>
      <c r="T448" s="383"/>
      <c r="U448" s="407"/>
      <c r="V448" s="408"/>
      <c r="W448" s="408"/>
      <c r="X448" s="408"/>
      <c r="Y448" s="409"/>
      <c r="Z448" s="364"/>
    </row>
    <row r="449" spans="2:26" ht="15.75">
      <c r="B449">
        <v>3</v>
      </c>
      <c r="C449" s="363"/>
      <c r="D449" s="387" t="s">
        <v>1115</v>
      </c>
      <c r="E449" s="363"/>
      <c r="F449" s="363"/>
      <c r="G449" s="364"/>
      <c r="H449" s="407"/>
      <c r="I449" s="409"/>
      <c r="J449" s="379" t="s">
        <v>1116</v>
      </c>
      <c r="K449" s="404" t="s">
        <v>1117</v>
      </c>
      <c r="L449" s="405"/>
      <c r="M449" s="405"/>
      <c r="N449" s="405"/>
      <c r="O449" s="405"/>
      <c r="P449" s="405"/>
      <c r="Q449" s="405"/>
      <c r="R449" s="405"/>
      <c r="S449" s="406"/>
      <c r="T449" s="379" t="s">
        <v>1118</v>
      </c>
      <c r="U449" s="397"/>
      <c r="V449" s="398"/>
      <c r="W449" s="398"/>
      <c r="X449" s="398"/>
      <c r="Y449" s="399"/>
      <c r="Z449" s="364"/>
    </row>
    <row r="450" spans="2:26" ht="15.6" customHeight="1">
      <c r="B450">
        <v>3</v>
      </c>
      <c r="C450" s="363"/>
      <c r="D450" s="364"/>
      <c r="E450" s="363"/>
      <c r="F450" s="363"/>
      <c r="G450" s="364"/>
      <c r="H450" s="407"/>
      <c r="I450" s="409"/>
      <c r="J450" s="384"/>
      <c r="K450" s="404" t="s">
        <v>1119</v>
      </c>
      <c r="L450" s="405"/>
      <c r="M450" s="405"/>
      <c r="N450" s="405"/>
      <c r="O450" s="405"/>
      <c r="P450" s="405"/>
      <c r="Q450" s="405"/>
      <c r="R450" s="405"/>
      <c r="S450" s="406"/>
      <c r="T450" s="364"/>
      <c r="U450" s="397"/>
      <c r="V450" s="398"/>
      <c r="W450" s="398"/>
      <c r="X450" s="398"/>
      <c r="Y450" s="399"/>
      <c r="Z450" s="364"/>
    </row>
    <row r="451" spans="2:26" ht="15.75">
      <c r="B451">
        <v>3</v>
      </c>
      <c r="C451" s="363"/>
      <c r="D451" s="387" t="s">
        <v>234</v>
      </c>
      <c r="E451" s="363"/>
      <c r="F451" s="363"/>
      <c r="G451" s="364"/>
      <c r="H451" s="407"/>
      <c r="I451" s="409"/>
      <c r="J451" s="384"/>
      <c r="K451" s="449"/>
      <c r="L451" s="450"/>
      <c r="M451" s="450"/>
      <c r="N451" s="450"/>
      <c r="O451" s="450"/>
      <c r="P451" s="450"/>
      <c r="Q451" s="450"/>
      <c r="R451" s="450"/>
      <c r="S451" s="451"/>
      <c r="T451" s="379" t="s">
        <v>1120</v>
      </c>
      <c r="U451" s="407"/>
      <c r="V451" s="408"/>
      <c r="W451" s="408"/>
      <c r="X451" s="408"/>
      <c r="Y451" s="409"/>
      <c r="Z451" s="364"/>
    </row>
    <row r="452" spans="2:26" ht="15.6" customHeight="1">
      <c r="B452">
        <v>3</v>
      </c>
      <c r="C452" s="363"/>
      <c r="D452" s="364"/>
      <c r="E452" s="363"/>
      <c r="F452" s="363"/>
      <c r="G452" s="364"/>
      <c r="H452" s="407"/>
      <c r="I452" s="409"/>
      <c r="J452" s="384"/>
      <c r="K452" s="404" t="s">
        <v>1121</v>
      </c>
      <c r="L452" s="405"/>
      <c r="M452" s="405"/>
      <c r="N452" s="405"/>
      <c r="O452" s="405"/>
      <c r="P452" s="405"/>
      <c r="Q452" s="405"/>
      <c r="R452" s="405"/>
      <c r="S452" s="406"/>
      <c r="T452" s="364"/>
      <c r="U452" s="397"/>
      <c r="V452" s="398"/>
      <c r="W452" s="398"/>
      <c r="X452" s="398"/>
      <c r="Y452" s="399"/>
      <c r="Z452" s="364"/>
    </row>
    <row r="453" spans="2:26" ht="15.75">
      <c r="B453">
        <v>3</v>
      </c>
      <c r="C453" s="363"/>
      <c r="D453" s="364"/>
      <c r="E453" s="363"/>
      <c r="F453" s="363"/>
      <c r="G453" s="364"/>
      <c r="H453" s="407"/>
      <c r="I453" s="409"/>
      <c r="J453" s="384"/>
      <c r="K453" s="397"/>
      <c r="L453" s="398"/>
      <c r="M453" s="398"/>
      <c r="N453" s="398"/>
      <c r="O453" s="398"/>
      <c r="P453" s="398"/>
      <c r="Q453" s="398"/>
      <c r="R453" s="398"/>
      <c r="S453" s="399"/>
      <c r="T453" s="364"/>
      <c r="U453" s="397"/>
      <c r="V453" s="398"/>
      <c r="W453" s="398"/>
      <c r="X453" s="398"/>
      <c r="Y453" s="399"/>
      <c r="Z453" s="364"/>
    </row>
    <row r="454" spans="2:26" ht="15.6" customHeight="1">
      <c r="B454">
        <v>3</v>
      </c>
      <c r="C454" s="363"/>
      <c r="D454" s="364"/>
      <c r="E454" s="363"/>
      <c r="F454" s="363"/>
      <c r="G454" s="364"/>
      <c r="H454" s="407"/>
      <c r="I454" s="409"/>
      <c r="J454" s="384"/>
      <c r="K454" s="404" t="s">
        <v>1122</v>
      </c>
      <c r="L454" s="405"/>
      <c r="M454" s="405"/>
      <c r="N454" s="405"/>
      <c r="O454" s="405"/>
      <c r="P454" s="405"/>
      <c r="Q454" s="405"/>
      <c r="R454" s="405"/>
      <c r="S454" s="406"/>
      <c r="T454" s="364"/>
      <c r="U454" s="397"/>
      <c r="V454" s="398"/>
      <c r="W454" s="398"/>
      <c r="X454" s="398"/>
      <c r="Y454" s="399"/>
      <c r="Z454" s="364"/>
    </row>
    <row r="455" spans="2:26" ht="15.75">
      <c r="B455">
        <v>3</v>
      </c>
      <c r="C455" s="363"/>
      <c r="D455" s="364"/>
      <c r="E455" s="363"/>
      <c r="F455" s="363"/>
      <c r="G455" s="364"/>
      <c r="H455" s="407"/>
      <c r="I455" s="409"/>
      <c r="J455" s="384"/>
      <c r="K455" s="397"/>
      <c r="L455" s="398"/>
      <c r="M455" s="398"/>
      <c r="N455" s="398"/>
      <c r="O455" s="398"/>
      <c r="P455" s="398"/>
      <c r="Q455" s="398"/>
      <c r="R455" s="398"/>
      <c r="S455" s="399"/>
      <c r="T455" s="364"/>
      <c r="U455" s="397"/>
      <c r="V455" s="398"/>
      <c r="W455" s="398"/>
      <c r="X455" s="398"/>
      <c r="Y455" s="399"/>
      <c r="Z455" s="364"/>
    </row>
    <row r="456" spans="2:26" ht="15.6" customHeight="1">
      <c r="B456">
        <v>3</v>
      </c>
      <c r="C456" s="363"/>
      <c r="D456" s="364"/>
      <c r="E456" s="363"/>
      <c r="F456" s="363"/>
      <c r="G456" s="364"/>
      <c r="H456" s="407"/>
      <c r="I456" s="409"/>
      <c r="J456" s="384"/>
      <c r="K456" s="404" t="s">
        <v>1123</v>
      </c>
      <c r="L456" s="405"/>
      <c r="M456" s="405"/>
      <c r="N456" s="405"/>
      <c r="O456" s="405"/>
      <c r="P456" s="405"/>
      <c r="Q456" s="405"/>
      <c r="R456" s="405"/>
      <c r="S456" s="406"/>
      <c r="T456" s="364"/>
      <c r="U456" s="397"/>
      <c r="V456" s="398"/>
      <c r="W456" s="398"/>
      <c r="X456" s="398"/>
      <c r="Y456" s="399"/>
      <c r="Z456" s="364"/>
    </row>
    <row r="457" spans="2:26" ht="15.75">
      <c r="B457">
        <v>3</v>
      </c>
      <c r="C457" s="363"/>
      <c r="D457" s="364"/>
      <c r="E457" s="363"/>
      <c r="F457" s="363"/>
      <c r="G457" s="364"/>
      <c r="H457" s="407"/>
      <c r="I457" s="409"/>
      <c r="J457" s="384"/>
      <c r="K457" s="397"/>
      <c r="L457" s="398"/>
      <c r="M457" s="398"/>
      <c r="N457" s="398"/>
      <c r="O457" s="398"/>
      <c r="P457" s="398"/>
      <c r="Q457" s="398"/>
      <c r="R457" s="398"/>
      <c r="S457" s="399"/>
      <c r="T457" s="364"/>
      <c r="U457" s="397"/>
      <c r="V457" s="398"/>
      <c r="W457" s="398"/>
      <c r="X457" s="398"/>
      <c r="Y457" s="399"/>
      <c r="Z457" s="364"/>
    </row>
    <row r="458" spans="2:26" ht="15.6" customHeight="1">
      <c r="B458">
        <v>3</v>
      </c>
      <c r="C458" s="363"/>
      <c r="D458" s="364"/>
      <c r="E458" s="363"/>
      <c r="F458" s="363"/>
      <c r="G458" s="364"/>
      <c r="H458" s="407"/>
      <c r="I458" s="409"/>
      <c r="J458" s="384"/>
      <c r="K458" s="404" t="s">
        <v>1124</v>
      </c>
      <c r="L458" s="405"/>
      <c r="M458" s="405"/>
      <c r="N458" s="405"/>
      <c r="O458" s="405"/>
      <c r="P458" s="405"/>
      <c r="Q458" s="405"/>
      <c r="R458" s="405"/>
      <c r="S458" s="406"/>
      <c r="T458" s="364"/>
      <c r="U458" s="397"/>
      <c r="V458" s="398"/>
      <c r="W458" s="398"/>
      <c r="X458" s="398"/>
      <c r="Y458" s="399"/>
      <c r="Z458" s="364"/>
    </row>
    <row r="459" spans="2:26" ht="15.75">
      <c r="B459">
        <v>3</v>
      </c>
      <c r="C459" s="363"/>
      <c r="D459" s="364"/>
      <c r="E459" s="363"/>
      <c r="F459" s="363"/>
      <c r="G459" s="364"/>
      <c r="H459" s="407"/>
      <c r="I459" s="409"/>
      <c r="J459" s="384"/>
      <c r="K459" s="397"/>
      <c r="L459" s="398"/>
      <c r="M459" s="398"/>
      <c r="N459" s="398"/>
      <c r="O459" s="398"/>
      <c r="P459" s="398"/>
      <c r="Q459" s="398"/>
      <c r="R459" s="398"/>
      <c r="S459" s="399"/>
      <c r="T459" s="364"/>
      <c r="U459" s="397"/>
      <c r="V459" s="398"/>
      <c r="W459" s="398"/>
      <c r="X459" s="398"/>
      <c r="Y459" s="399"/>
      <c r="Z459" s="364"/>
    </row>
    <row r="460" spans="2:26" ht="15.6" customHeight="1">
      <c r="B460">
        <v>3</v>
      </c>
      <c r="C460" s="363"/>
      <c r="D460" s="364"/>
      <c r="E460" s="363"/>
      <c r="F460" s="363"/>
      <c r="G460" s="364"/>
      <c r="H460" s="407"/>
      <c r="I460" s="409"/>
      <c r="J460" s="384"/>
      <c r="K460" s="404" t="s">
        <v>1125</v>
      </c>
      <c r="L460" s="405"/>
      <c r="M460" s="405"/>
      <c r="N460" s="405"/>
      <c r="O460" s="405"/>
      <c r="P460" s="405"/>
      <c r="Q460" s="405"/>
      <c r="R460" s="405"/>
      <c r="S460" s="406"/>
      <c r="T460" s="364"/>
      <c r="U460" s="397"/>
      <c r="V460" s="398"/>
      <c r="W460" s="398"/>
      <c r="X460" s="398"/>
      <c r="Y460" s="399"/>
      <c r="Z460" s="364"/>
    </row>
    <row r="461" spans="2:26" ht="15.75">
      <c r="B461">
        <v>3</v>
      </c>
      <c r="C461" s="363"/>
      <c r="D461" s="364"/>
      <c r="E461" s="363"/>
      <c r="F461" s="363"/>
      <c r="G461" s="364"/>
      <c r="H461" s="407"/>
      <c r="I461" s="409"/>
      <c r="J461" s="384"/>
      <c r="K461" s="449"/>
      <c r="L461" s="450"/>
      <c r="M461" s="450"/>
      <c r="N461" s="450"/>
      <c r="O461" s="450"/>
      <c r="P461" s="450"/>
      <c r="Q461" s="450"/>
      <c r="R461" s="450"/>
      <c r="S461" s="451"/>
      <c r="T461" s="364"/>
      <c r="U461" s="397"/>
      <c r="V461" s="398"/>
      <c r="W461" s="398"/>
      <c r="X461" s="398"/>
      <c r="Y461" s="399"/>
      <c r="Z461" s="364"/>
    </row>
    <row r="462" spans="2:26" ht="15.6" customHeight="1">
      <c r="B462">
        <v>3</v>
      </c>
      <c r="C462" s="363"/>
      <c r="D462" s="364"/>
      <c r="E462" s="363"/>
      <c r="F462" s="363"/>
      <c r="G462" s="364"/>
      <c r="H462" s="407"/>
      <c r="I462" s="409"/>
      <c r="J462" s="384"/>
      <c r="K462" s="404" t="s">
        <v>1126</v>
      </c>
      <c r="L462" s="405"/>
      <c r="M462" s="405"/>
      <c r="N462" s="405"/>
      <c r="O462" s="405"/>
      <c r="P462" s="405"/>
      <c r="Q462" s="405"/>
      <c r="R462" s="405"/>
      <c r="S462" s="406"/>
      <c r="T462" s="364"/>
      <c r="U462" s="397"/>
      <c r="V462" s="398"/>
      <c r="W462" s="398"/>
      <c r="X462" s="398"/>
      <c r="Y462" s="399"/>
      <c r="Z462" s="364"/>
    </row>
    <row r="463" spans="2:26" ht="15.6" customHeight="1">
      <c r="B463">
        <v>3</v>
      </c>
      <c r="C463" s="363"/>
      <c r="D463" s="364"/>
      <c r="E463" s="363"/>
      <c r="F463" s="363"/>
      <c r="G463" s="364"/>
      <c r="H463" s="407"/>
      <c r="I463" s="409"/>
      <c r="J463" s="384"/>
      <c r="K463" s="404" t="s">
        <v>1127</v>
      </c>
      <c r="L463" s="405"/>
      <c r="M463" s="405"/>
      <c r="N463" s="405"/>
      <c r="O463" s="405"/>
      <c r="P463" s="405"/>
      <c r="Q463" s="405"/>
      <c r="R463" s="405"/>
      <c r="S463" s="406"/>
      <c r="T463" s="364"/>
      <c r="U463" s="397"/>
      <c r="V463" s="398"/>
      <c r="W463" s="398"/>
      <c r="X463" s="398"/>
      <c r="Y463" s="399"/>
      <c r="Z463" s="364"/>
    </row>
    <row r="464" spans="2:26" ht="15.6" customHeight="1">
      <c r="B464">
        <v>3</v>
      </c>
      <c r="C464" s="363"/>
      <c r="D464" s="364"/>
      <c r="E464" s="363"/>
      <c r="F464" s="363"/>
      <c r="G464" s="364"/>
      <c r="H464" s="407"/>
      <c r="I464" s="409"/>
      <c r="J464" s="384"/>
      <c r="K464" s="404" t="s">
        <v>1128</v>
      </c>
      <c r="L464" s="405"/>
      <c r="M464" s="405"/>
      <c r="N464" s="405"/>
      <c r="O464" s="405"/>
      <c r="P464" s="405"/>
      <c r="Q464" s="405"/>
      <c r="R464" s="405"/>
      <c r="S464" s="406"/>
      <c r="T464" s="364"/>
      <c r="U464" s="397"/>
      <c r="V464" s="398"/>
      <c r="W464" s="398"/>
      <c r="X464" s="398"/>
      <c r="Y464" s="399"/>
      <c r="Z464" s="364"/>
    </row>
    <row r="465" spans="2:26" ht="15.6" customHeight="1">
      <c r="B465">
        <v>3</v>
      </c>
      <c r="C465" s="363"/>
      <c r="D465" s="364"/>
      <c r="E465" s="363"/>
      <c r="F465" s="363"/>
      <c r="G465" s="364"/>
      <c r="H465" s="407"/>
      <c r="I465" s="409"/>
      <c r="J465" s="384"/>
      <c r="K465" s="404" t="s">
        <v>1129</v>
      </c>
      <c r="L465" s="405"/>
      <c r="M465" s="405"/>
      <c r="N465" s="405"/>
      <c r="O465" s="405"/>
      <c r="P465" s="405"/>
      <c r="Q465" s="405"/>
      <c r="R465" s="405"/>
      <c r="S465" s="406"/>
      <c r="T465" s="364"/>
      <c r="U465" s="397"/>
      <c r="V465" s="398"/>
      <c r="W465" s="398"/>
      <c r="X465" s="398"/>
      <c r="Y465" s="399"/>
      <c r="Z465" s="364"/>
    </row>
    <row r="466" spans="2:26" ht="15.75">
      <c r="B466">
        <v>3</v>
      </c>
      <c r="C466" s="363"/>
      <c r="D466" s="364"/>
      <c r="E466" s="363"/>
      <c r="F466" s="363"/>
      <c r="G466" s="364"/>
      <c r="H466" s="407"/>
      <c r="I466" s="409"/>
      <c r="J466" s="384"/>
      <c r="K466" s="449"/>
      <c r="L466" s="450"/>
      <c r="M466" s="450"/>
      <c r="N466" s="450"/>
      <c r="O466" s="450"/>
      <c r="P466" s="450"/>
      <c r="Q466" s="450"/>
      <c r="R466" s="450"/>
      <c r="S466" s="451"/>
      <c r="T466" s="364"/>
      <c r="U466" s="397"/>
      <c r="V466" s="398"/>
      <c r="W466" s="398"/>
      <c r="X466" s="398"/>
      <c r="Y466" s="399"/>
      <c r="Z466" s="364"/>
    </row>
    <row r="467" spans="2:26" ht="15.6" customHeight="1">
      <c r="B467">
        <v>3</v>
      </c>
      <c r="C467" s="363"/>
      <c r="D467" s="364"/>
      <c r="E467" s="363"/>
      <c r="F467" s="363"/>
      <c r="G467" s="364"/>
      <c r="H467" s="407"/>
      <c r="I467" s="409"/>
      <c r="J467" s="384"/>
      <c r="K467" s="404" t="s">
        <v>1130</v>
      </c>
      <c r="L467" s="405"/>
      <c r="M467" s="405"/>
      <c r="N467" s="405"/>
      <c r="O467" s="405"/>
      <c r="P467" s="405"/>
      <c r="Q467" s="405"/>
      <c r="R467" s="405"/>
      <c r="S467" s="406"/>
      <c r="T467" s="364"/>
      <c r="U467" s="397"/>
      <c r="V467" s="398"/>
      <c r="W467" s="398"/>
      <c r="X467" s="398"/>
      <c r="Y467" s="399"/>
      <c r="Z467" s="364"/>
    </row>
    <row r="468" spans="2:26" ht="15.6" customHeight="1">
      <c r="B468">
        <v>3</v>
      </c>
      <c r="C468" s="363"/>
      <c r="D468" s="364"/>
      <c r="E468" s="363"/>
      <c r="F468" s="363"/>
      <c r="G468" s="364"/>
      <c r="H468" s="407"/>
      <c r="I468" s="409"/>
      <c r="J468" s="384"/>
      <c r="K468" s="404" t="s">
        <v>1131</v>
      </c>
      <c r="L468" s="405"/>
      <c r="M468" s="405"/>
      <c r="N468" s="405"/>
      <c r="O468" s="405"/>
      <c r="P468" s="405"/>
      <c r="Q468" s="405"/>
      <c r="R468" s="405"/>
      <c r="S468" s="406"/>
      <c r="T468" s="364"/>
      <c r="U468" s="397"/>
      <c r="V468" s="398"/>
      <c r="W468" s="398"/>
      <c r="X468" s="398"/>
      <c r="Y468" s="399"/>
      <c r="Z468" s="364"/>
    </row>
    <row r="469" spans="2:26" ht="15.6" customHeight="1">
      <c r="B469">
        <v>3</v>
      </c>
      <c r="C469" s="363"/>
      <c r="D469" s="364"/>
      <c r="E469" s="363"/>
      <c r="F469" s="363"/>
      <c r="G469" s="364"/>
      <c r="H469" s="407"/>
      <c r="I469" s="409"/>
      <c r="J469" s="384"/>
      <c r="K469" s="404" t="s">
        <v>1132</v>
      </c>
      <c r="L469" s="405"/>
      <c r="M469" s="405"/>
      <c r="N469" s="405"/>
      <c r="O469" s="405"/>
      <c r="P469" s="405"/>
      <c r="Q469" s="405"/>
      <c r="R469" s="405"/>
      <c r="S469" s="406"/>
      <c r="T469" s="364"/>
      <c r="U469" s="397"/>
      <c r="V469" s="398"/>
      <c r="W469" s="398"/>
      <c r="X469" s="398"/>
      <c r="Y469" s="399"/>
      <c r="Z469" s="364"/>
    </row>
    <row r="470" spans="2:26" ht="15.6" customHeight="1">
      <c r="B470">
        <v>3</v>
      </c>
      <c r="C470" s="363"/>
      <c r="D470" s="364"/>
      <c r="E470" s="363"/>
      <c r="F470" s="363"/>
      <c r="G470" s="364"/>
      <c r="H470" s="407"/>
      <c r="I470" s="409"/>
      <c r="J470" s="384"/>
      <c r="K470" s="404" t="s">
        <v>1133</v>
      </c>
      <c r="L470" s="405"/>
      <c r="M470" s="405"/>
      <c r="N470" s="405"/>
      <c r="O470" s="405"/>
      <c r="P470" s="405"/>
      <c r="Q470" s="405"/>
      <c r="R470" s="405"/>
      <c r="S470" s="406"/>
      <c r="T470" s="364"/>
      <c r="U470" s="397"/>
      <c r="V470" s="398"/>
      <c r="W470" s="398"/>
      <c r="X470" s="398"/>
      <c r="Y470" s="399"/>
      <c r="Z470" s="364"/>
    </row>
    <row r="471" spans="2:26" ht="15.6" customHeight="1">
      <c r="B471">
        <v>3</v>
      </c>
      <c r="C471" s="363"/>
      <c r="D471" s="364"/>
      <c r="E471" s="363"/>
      <c r="F471" s="363"/>
      <c r="G471" s="364"/>
      <c r="H471" s="407"/>
      <c r="I471" s="409"/>
      <c r="J471" s="384"/>
      <c r="K471" s="404" t="s">
        <v>1134</v>
      </c>
      <c r="L471" s="405"/>
      <c r="M471" s="405"/>
      <c r="N471" s="405"/>
      <c r="O471" s="405"/>
      <c r="P471" s="405"/>
      <c r="Q471" s="405"/>
      <c r="R471" s="405"/>
      <c r="S471" s="406"/>
      <c r="T471" s="364"/>
      <c r="U471" s="397"/>
      <c r="V471" s="398"/>
      <c r="W471" s="398"/>
      <c r="X471" s="398"/>
      <c r="Y471" s="399"/>
      <c r="Z471" s="364"/>
    </row>
    <row r="472" spans="2:26" ht="15.75">
      <c r="B472">
        <v>3</v>
      </c>
      <c r="C472" s="363"/>
      <c r="D472" s="364"/>
      <c r="E472" s="363"/>
      <c r="F472" s="363"/>
      <c r="G472" s="364"/>
      <c r="H472" s="407"/>
      <c r="I472" s="409"/>
      <c r="J472" s="384"/>
      <c r="K472" s="449"/>
      <c r="L472" s="450"/>
      <c r="M472" s="450"/>
      <c r="N472" s="450"/>
      <c r="O472" s="450"/>
      <c r="P472" s="450"/>
      <c r="Q472" s="450"/>
      <c r="R472" s="450"/>
      <c r="S472" s="451"/>
      <c r="T472" s="364"/>
      <c r="U472" s="397"/>
      <c r="V472" s="398"/>
      <c r="W472" s="398"/>
      <c r="X472" s="398"/>
      <c r="Y472" s="399"/>
      <c r="Z472" s="364"/>
    </row>
    <row r="473" spans="2:26" ht="15.6" customHeight="1">
      <c r="B473">
        <v>3</v>
      </c>
      <c r="C473" s="363"/>
      <c r="D473" s="364"/>
      <c r="E473" s="363"/>
      <c r="F473" s="363"/>
      <c r="G473" s="364"/>
      <c r="H473" s="407"/>
      <c r="I473" s="409"/>
      <c r="J473" s="384"/>
      <c r="K473" s="404" t="s">
        <v>1135</v>
      </c>
      <c r="L473" s="405"/>
      <c r="M473" s="405"/>
      <c r="N473" s="405"/>
      <c r="O473" s="405"/>
      <c r="P473" s="405"/>
      <c r="Q473" s="405"/>
      <c r="R473" s="405"/>
      <c r="S473" s="406"/>
      <c r="T473" s="364"/>
      <c r="U473" s="397"/>
      <c r="V473" s="398"/>
      <c r="W473" s="398"/>
      <c r="X473" s="398"/>
      <c r="Y473" s="399"/>
      <c r="Z473" s="364"/>
    </row>
    <row r="474" spans="2:26" ht="15.6" customHeight="1">
      <c r="B474">
        <v>3</v>
      </c>
      <c r="C474" s="363"/>
      <c r="D474" s="364"/>
      <c r="E474" s="363"/>
      <c r="F474" s="363"/>
      <c r="G474" s="364"/>
      <c r="H474" s="407"/>
      <c r="I474" s="409"/>
      <c r="J474" s="384"/>
      <c r="K474" s="404" t="s">
        <v>1136</v>
      </c>
      <c r="L474" s="405"/>
      <c r="M474" s="405"/>
      <c r="N474" s="405"/>
      <c r="O474" s="405"/>
      <c r="P474" s="405"/>
      <c r="Q474" s="405"/>
      <c r="R474" s="405"/>
      <c r="S474" s="406"/>
      <c r="T474" s="364"/>
      <c r="U474" s="397"/>
      <c r="V474" s="398"/>
      <c r="W474" s="398"/>
      <c r="X474" s="398"/>
      <c r="Y474" s="399"/>
      <c r="Z474" s="364"/>
    </row>
    <row r="475" spans="2:26" ht="15.6" customHeight="1">
      <c r="B475">
        <v>3</v>
      </c>
      <c r="C475" s="363"/>
      <c r="D475" s="364"/>
      <c r="E475" s="363"/>
      <c r="F475" s="363"/>
      <c r="G475" s="364"/>
      <c r="H475" s="407"/>
      <c r="I475" s="409"/>
      <c r="J475" s="384"/>
      <c r="K475" s="404" t="s">
        <v>1137</v>
      </c>
      <c r="L475" s="405"/>
      <c r="M475" s="405"/>
      <c r="N475" s="405"/>
      <c r="O475" s="405"/>
      <c r="P475" s="405"/>
      <c r="Q475" s="405"/>
      <c r="R475" s="405"/>
      <c r="S475" s="406"/>
      <c r="T475" s="364"/>
      <c r="U475" s="397"/>
      <c r="V475" s="398"/>
      <c r="W475" s="398"/>
      <c r="X475" s="398"/>
      <c r="Y475" s="399"/>
      <c r="Z475" s="364"/>
    </row>
    <row r="476" spans="2:26" ht="15.6" customHeight="1">
      <c r="B476">
        <v>3</v>
      </c>
      <c r="C476" s="363"/>
      <c r="D476" s="364"/>
      <c r="E476" s="363"/>
      <c r="F476" s="363"/>
      <c r="G476" s="364"/>
      <c r="H476" s="407"/>
      <c r="I476" s="409"/>
      <c r="J476" s="384"/>
      <c r="K476" s="404" t="s">
        <v>1138</v>
      </c>
      <c r="L476" s="405"/>
      <c r="M476" s="405"/>
      <c r="N476" s="405"/>
      <c r="O476" s="405"/>
      <c r="P476" s="405"/>
      <c r="Q476" s="405"/>
      <c r="R476" s="405"/>
      <c r="S476" s="406"/>
      <c r="T476" s="364"/>
      <c r="U476" s="397"/>
      <c r="V476" s="398"/>
      <c r="W476" s="398"/>
      <c r="X476" s="398"/>
      <c r="Y476" s="399"/>
      <c r="Z476" s="364"/>
    </row>
    <row r="477" spans="2:26" ht="15.75">
      <c r="B477">
        <v>3</v>
      </c>
      <c r="C477" s="363"/>
      <c r="D477" s="364"/>
      <c r="E477" s="363"/>
      <c r="F477" s="363"/>
      <c r="G477" s="364"/>
      <c r="H477" s="407"/>
      <c r="I477" s="409"/>
      <c r="J477" s="384"/>
      <c r="K477" s="397"/>
      <c r="L477" s="398"/>
      <c r="M477" s="398"/>
      <c r="N477" s="398"/>
      <c r="O477" s="398"/>
      <c r="P477" s="398"/>
      <c r="Q477" s="398"/>
      <c r="R477" s="398"/>
      <c r="S477" s="399"/>
      <c r="T477" s="364"/>
      <c r="U477" s="397"/>
      <c r="V477" s="398"/>
      <c r="W477" s="398"/>
      <c r="X477" s="398"/>
      <c r="Y477" s="399"/>
      <c r="Z477" s="364"/>
    </row>
    <row r="478" spans="2:26" ht="15.6" customHeight="1">
      <c r="B478">
        <v>3</v>
      </c>
      <c r="C478" s="363"/>
      <c r="D478" s="364"/>
      <c r="E478" s="363"/>
      <c r="F478" s="363"/>
      <c r="G478" s="364"/>
      <c r="H478" s="407"/>
      <c r="I478" s="409"/>
      <c r="J478" s="384"/>
      <c r="K478" s="407" t="s">
        <v>1139</v>
      </c>
      <c r="L478" s="408"/>
      <c r="M478" s="408"/>
      <c r="N478" s="408"/>
      <c r="O478" s="408"/>
      <c r="P478" s="408"/>
      <c r="Q478" s="408"/>
      <c r="R478" s="408"/>
      <c r="S478" s="409"/>
      <c r="T478" s="364"/>
      <c r="U478" s="397"/>
      <c r="V478" s="398"/>
      <c r="W478" s="398"/>
      <c r="X478" s="398"/>
      <c r="Y478" s="399"/>
      <c r="Z478" s="364"/>
    </row>
    <row r="479" spans="2:26" ht="15.75">
      <c r="B479">
        <v>3</v>
      </c>
      <c r="C479" s="363"/>
      <c r="D479" s="364"/>
      <c r="E479" s="363"/>
      <c r="F479" s="363"/>
      <c r="G479" s="364"/>
      <c r="H479" s="407"/>
      <c r="I479" s="409"/>
      <c r="J479" s="384"/>
      <c r="K479" s="397"/>
      <c r="L479" s="398"/>
      <c r="M479" s="398"/>
      <c r="N479" s="398"/>
      <c r="O479" s="398"/>
      <c r="P479" s="398"/>
      <c r="Q479" s="398"/>
      <c r="R479" s="398"/>
      <c r="S479" s="399"/>
      <c r="T479" s="364"/>
      <c r="U479" s="397"/>
      <c r="V479" s="398"/>
      <c r="W479" s="398"/>
      <c r="X479" s="398"/>
      <c r="Y479" s="399"/>
      <c r="Z479" s="364"/>
    </row>
    <row r="480" spans="2:26" ht="15.6" customHeight="1">
      <c r="B480">
        <v>3</v>
      </c>
      <c r="C480" s="363"/>
      <c r="D480" s="364"/>
      <c r="E480" s="363"/>
      <c r="F480" s="363"/>
      <c r="G480" s="364"/>
      <c r="H480" s="407"/>
      <c r="I480" s="409"/>
      <c r="J480" s="384"/>
      <c r="K480" s="407" t="s">
        <v>1140</v>
      </c>
      <c r="L480" s="408"/>
      <c r="M480" s="408"/>
      <c r="N480" s="408"/>
      <c r="O480" s="408"/>
      <c r="P480" s="408"/>
      <c r="Q480" s="408"/>
      <c r="R480" s="408"/>
      <c r="S480" s="409"/>
      <c r="T480" s="364"/>
      <c r="U480" s="397"/>
      <c r="V480" s="398"/>
      <c r="W480" s="398"/>
      <c r="X480" s="398"/>
      <c r="Y480" s="399"/>
      <c r="Z480" s="364"/>
    </row>
    <row r="481" spans="2:26" ht="15.75">
      <c r="B481">
        <v>3</v>
      </c>
      <c r="C481" s="363"/>
      <c r="D481" s="364"/>
      <c r="E481" s="363"/>
      <c r="F481" s="363"/>
      <c r="G481" s="364"/>
      <c r="H481" s="407"/>
      <c r="I481" s="409"/>
      <c r="J481" s="384"/>
      <c r="K481" s="407"/>
      <c r="L481" s="408"/>
      <c r="M481" s="408"/>
      <c r="N481" s="408"/>
      <c r="O481" s="408"/>
      <c r="P481" s="408"/>
      <c r="Q481" s="408"/>
      <c r="R481" s="408"/>
      <c r="S481" s="409"/>
      <c r="T481" s="364"/>
      <c r="U481" s="397"/>
      <c r="V481" s="398"/>
      <c r="W481" s="398"/>
      <c r="X481" s="398"/>
      <c r="Y481" s="399"/>
      <c r="Z481" s="364"/>
    </row>
    <row r="482" spans="2:26" ht="15.75">
      <c r="B482">
        <v>3</v>
      </c>
      <c r="C482" s="374"/>
      <c r="D482" s="375"/>
      <c r="E482" s="374"/>
      <c r="F482" s="374"/>
      <c r="G482" s="375"/>
      <c r="H482" s="443"/>
      <c r="I482" s="445"/>
      <c r="J482" s="385"/>
      <c r="K482" s="443"/>
      <c r="L482" s="444"/>
      <c r="M482" s="444"/>
      <c r="N482" s="444"/>
      <c r="O482" s="444"/>
      <c r="P482" s="444"/>
      <c r="Q482" s="444"/>
      <c r="R482" s="444"/>
      <c r="S482" s="445"/>
      <c r="T482" s="375"/>
      <c r="U482" s="417"/>
      <c r="V482" s="418"/>
      <c r="W482" s="418"/>
      <c r="X482" s="418"/>
      <c r="Y482" s="419"/>
      <c r="Z482" s="375"/>
    </row>
    <row r="483" spans="2:26" ht="15.75">
      <c r="B483">
        <v>3</v>
      </c>
      <c r="C483" s="357" t="s">
        <v>238</v>
      </c>
      <c r="D483" s="387" t="s">
        <v>257</v>
      </c>
      <c r="E483" s="357"/>
      <c r="F483" s="357" t="s">
        <v>1141</v>
      </c>
      <c r="G483" s="357" t="s">
        <v>1142</v>
      </c>
      <c r="H483" s="401" t="s">
        <v>1143</v>
      </c>
      <c r="I483" s="403"/>
      <c r="J483" s="379" t="s">
        <v>1144</v>
      </c>
      <c r="K483" s="401" t="s">
        <v>1145</v>
      </c>
      <c r="L483" s="402"/>
      <c r="M483" s="402"/>
      <c r="N483" s="402"/>
      <c r="O483" s="402"/>
      <c r="P483" s="402"/>
      <c r="Q483" s="402"/>
      <c r="R483" s="402"/>
      <c r="S483" s="403"/>
      <c r="T483" s="384" t="s">
        <v>1146</v>
      </c>
      <c r="U483" s="423"/>
      <c r="V483" s="424"/>
      <c r="W483" s="424"/>
      <c r="X483" s="424"/>
      <c r="Y483" s="425"/>
      <c r="Z483" s="384" t="s">
        <v>1147</v>
      </c>
    </row>
    <row r="484" spans="2:26" ht="15.75">
      <c r="B484">
        <v>3</v>
      </c>
      <c r="C484" s="363"/>
      <c r="D484" s="364"/>
      <c r="E484" s="363"/>
      <c r="F484" s="363"/>
      <c r="G484" s="363"/>
      <c r="H484" s="404"/>
      <c r="I484" s="406"/>
      <c r="J484" s="379" t="s">
        <v>1148</v>
      </c>
      <c r="K484" s="404" t="s">
        <v>1149</v>
      </c>
      <c r="L484" s="405"/>
      <c r="M484" s="405"/>
      <c r="N484" s="405"/>
      <c r="O484" s="405"/>
      <c r="P484" s="405"/>
      <c r="Q484" s="405"/>
      <c r="R484" s="405"/>
      <c r="S484" s="406"/>
      <c r="T484" s="364"/>
      <c r="U484" s="407"/>
      <c r="V484" s="408"/>
      <c r="W484" s="408"/>
      <c r="X484" s="408"/>
      <c r="Y484" s="409"/>
      <c r="Z484" s="364"/>
    </row>
    <row r="485" spans="2:26" ht="15.75">
      <c r="B485">
        <v>3</v>
      </c>
      <c r="C485" s="363"/>
      <c r="D485" s="387" t="s">
        <v>254</v>
      </c>
      <c r="E485" s="363"/>
      <c r="F485" s="363"/>
      <c r="G485" s="363"/>
      <c r="H485" s="404"/>
      <c r="I485" s="406"/>
      <c r="J485" s="364"/>
      <c r="K485" s="404" t="s">
        <v>1150</v>
      </c>
      <c r="L485" s="405"/>
      <c r="M485" s="405"/>
      <c r="N485" s="405"/>
      <c r="O485" s="405"/>
      <c r="P485" s="405"/>
      <c r="Q485" s="405"/>
      <c r="R485" s="405"/>
      <c r="S485" s="406"/>
      <c r="T485" s="384" t="s">
        <v>1151</v>
      </c>
      <c r="U485" s="407"/>
      <c r="V485" s="408"/>
      <c r="W485" s="408"/>
      <c r="X485" s="408"/>
      <c r="Y485" s="409"/>
      <c r="Z485" s="364"/>
    </row>
    <row r="486" spans="2:26" ht="15.75">
      <c r="B486">
        <v>3</v>
      </c>
      <c r="C486" s="363"/>
      <c r="D486" s="364"/>
      <c r="E486" s="363"/>
      <c r="F486" s="363"/>
      <c r="G486" s="363"/>
      <c r="H486" s="404"/>
      <c r="I486" s="406"/>
      <c r="J486" s="364"/>
      <c r="K486" s="404" t="s">
        <v>1152</v>
      </c>
      <c r="L486" s="405"/>
      <c r="M486" s="405"/>
      <c r="N486" s="405"/>
      <c r="O486" s="405"/>
      <c r="P486" s="405"/>
      <c r="Q486" s="405"/>
      <c r="R486" s="405"/>
      <c r="S486" s="406"/>
      <c r="T486" s="364"/>
      <c r="U486" s="407"/>
      <c r="V486" s="408"/>
      <c r="W486" s="408"/>
      <c r="X486" s="408"/>
      <c r="Y486" s="409"/>
      <c r="Z486" s="384" t="s">
        <v>1153</v>
      </c>
    </row>
    <row r="487" spans="2:26" ht="15.75">
      <c r="B487">
        <v>3</v>
      </c>
      <c r="C487" s="363"/>
      <c r="D487" s="387" t="s">
        <v>1154</v>
      </c>
      <c r="E487" s="363"/>
      <c r="F487" s="363"/>
      <c r="G487" s="363"/>
      <c r="H487" s="404"/>
      <c r="I487" s="406"/>
      <c r="J487" s="364"/>
      <c r="K487" s="397"/>
      <c r="L487" s="398"/>
      <c r="M487" s="398"/>
      <c r="N487" s="398"/>
      <c r="O487" s="398"/>
      <c r="P487" s="398"/>
      <c r="Q487" s="398"/>
      <c r="R487" s="398"/>
      <c r="S487" s="399"/>
      <c r="T487" s="384"/>
      <c r="U487" s="407"/>
      <c r="V487" s="408"/>
      <c r="W487" s="408"/>
      <c r="X487" s="408"/>
      <c r="Y487" s="409"/>
      <c r="Z487" s="364"/>
    </row>
    <row r="488" spans="2:26">
      <c r="B488">
        <v>3</v>
      </c>
      <c r="C488" s="374"/>
      <c r="D488" s="375"/>
      <c r="E488" s="374"/>
      <c r="F488" s="374"/>
      <c r="G488" s="374"/>
      <c r="H488" s="440"/>
      <c r="I488" s="442"/>
      <c r="J488" s="375"/>
      <c r="K488" s="417"/>
      <c r="L488" s="418"/>
      <c r="M488" s="418"/>
      <c r="N488" s="418"/>
      <c r="O488" s="418"/>
      <c r="P488" s="418"/>
      <c r="Q488" s="418"/>
      <c r="R488" s="418"/>
      <c r="S488" s="419"/>
      <c r="T488" s="375"/>
      <c r="U488" s="443"/>
      <c r="V488" s="444"/>
      <c r="W488" s="444"/>
      <c r="X488" s="444"/>
      <c r="Y488" s="445"/>
      <c r="Z488" s="375"/>
    </row>
    <row r="489" spans="2:26" ht="15.75">
      <c r="B489">
        <v>3</v>
      </c>
      <c r="C489" s="357" t="s">
        <v>259</v>
      </c>
      <c r="D489" s="387" t="s">
        <v>740</v>
      </c>
      <c r="E489" s="465" t="s">
        <v>1155</v>
      </c>
      <c r="F489" s="357" t="s">
        <v>1156</v>
      </c>
      <c r="G489" s="357" t="s">
        <v>1157</v>
      </c>
      <c r="H489" s="401" t="s">
        <v>1158</v>
      </c>
      <c r="I489" s="403"/>
      <c r="J489" s="379" t="s">
        <v>1159</v>
      </c>
      <c r="K489" s="423" t="s">
        <v>1160</v>
      </c>
      <c r="L489" s="424"/>
      <c r="M489" s="424"/>
      <c r="N489" s="424"/>
      <c r="O489" s="424"/>
      <c r="P489" s="424"/>
      <c r="Q489" s="424"/>
      <c r="R489" s="424"/>
      <c r="S489" s="425"/>
      <c r="T489" s="379" t="s">
        <v>1161</v>
      </c>
      <c r="U489" s="401" t="s">
        <v>1162</v>
      </c>
      <c r="V489" s="402"/>
      <c r="W489" s="402"/>
      <c r="X489" s="402"/>
      <c r="Y489" s="403"/>
      <c r="Z489" s="379" t="s">
        <v>1163</v>
      </c>
    </row>
    <row r="490" spans="2:26" ht="15.75">
      <c r="B490">
        <v>3</v>
      </c>
      <c r="C490" s="363"/>
      <c r="D490" s="364"/>
      <c r="E490" s="469"/>
      <c r="F490" s="363"/>
      <c r="G490" s="363"/>
      <c r="H490" s="404" t="s">
        <v>1164</v>
      </c>
      <c r="I490" s="406"/>
      <c r="J490" s="379" t="s">
        <v>1165</v>
      </c>
      <c r="K490" s="397"/>
      <c r="L490" s="398"/>
      <c r="M490" s="398"/>
      <c r="N490" s="398"/>
      <c r="O490" s="398"/>
      <c r="P490" s="398"/>
      <c r="Q490" s="398"/>
      <c r="R490" s="398"/>
      <c r="S490" s="399"/>
      <c r="T490" s="379" t="s">
        <v>1166</v>
      </c>
      <c r="U490" s="404" t="s">
        <v>1167</v>
      </c>
      <c r="V490" s="405"/>
      <c r="W490" s="405"/>
      <c r="X490" s="405"/>
      <c r="Y490" s="406"/>
      <c r="Z490" s="379" t="s">
        <v>1168</v>
      </c>
    </row>
    <row r="491" spans="2:26" ht="15.75">
      <c r="B491">
        <v>3</v>
      </c>
      <c r="C491" s="363"/>
      <c r="D491" s="387" t="s">
        <v>260</v>
      </c>
      <c r="E491" s="469"/>
      <c r="F491" s="363"/>
      <c r="G491" s="363"/>
      <c r="H491" s="404" t="s">
        <v>1169</v>
      </c>
      <c r="I491" s="406"/>
      <c r="J491" s="379" t="s">
        <v>1170</v>
      </c>
      <c r="K491" s="407" t="s">
        <v>1171</v>
      </c>
      <c r="L491" s="408"/>
      <c r="M491" s="408"/>
      <c r="N491" s="408"/>
      <c r="O491" s="408"/>
      <c r="P491" s="408"/>
      <c r="Q491" s="408"/>
      <c r="R491" s="408"/>
      <c r="S491" s="409"/>
      <c r="T491" s="364"/>
      <c r="U491" s="404" t="s">
        <v>1172</v>
      </c>
      <c r="V491" s="405"/>
      <c r="W491" s="405"/>
      <c r="X491" s="405"/>
      <c r="Y491" s="406"/>
      <c r="Z491" s="379" t="s">
        <v>1173</v>
      </c>
    </row>
    <row r="492" spans="2:26" ht="15.75">
      <c r="B492">
        <v>3</v>
      </c>
      <c r="C492" s="363"/>
      <c r="D492" s="364"/>
      <c r="E492" s="469"/>
      <c r="F492" s="363"/>
      <c r="G492" s="363"/>
      <c r="H492" s="404" t="s">
        <v>1174</v>
      </c>
      <c r="I492" s="406"/>
      <c r="J492" s="379" t="s">
        <v>1175</v>
      </c>
      <c r="K492" s="397"/>
      <c r="L492" s="398"/>
      <c r="M492" s="398"/>
      <c r="N492" s="398"/>
      <c r="O492" s="398"/>
      <c r="P492" s="398"/>
      <c r="Q492" s="398"/>
      <c r="R492" s="398"/>
      <c r="S492" s="399"/>
      <c r="T492" s="384"/>
      <c r="U492" s="404" t="s">
        <v>1176</v>
      </c>
      <c r="V492" s="405"/>
      <c r="W492" s="405"/>
      <c r="X492" s="405"/>
      <c r="Y492" s="406"/>
      <c r="Z492" s="364"/>
    </row>
    <row r="493" spans="2:26" ht="15.75">
      <c r="B493">
        <v>3</v>
      </c>
      <c r="C493" s="363"/>
      <c r="D493" s="387" t="s">
        <v>1177</v>
      </c>
      <c r="E493" s="469"/>
      <c r="F493" s="363"/>
      <c r="G493" s="363"/>
      <c r="H493" s="404" t="s">
        <v>1178</v>
      </c>
      <c r="I493" s="406"/>
      <c r="J493" s="379" t="s">
        <v>1179</v>
      </c>
      <c r="K493" s="407" t="s">
        <v>1180</v>
      </c>
      <c r="L493" s="408"/>
      <c r="M493" s="408"/>
      <c r="N493" s="408"/>
      <c r="O493" s="408"/>
      <c r="P493" s="408"/>
      <c r="Q493" s="408"/>
      <c r="R493" s="408"/>
      <c r="S493" s="409"/>
      <c r="T493" s="364"/>
      <c r="U493" s="404" t="s">
        <v>1181</v>
      </c>
      <c r="V493" s="405"/>
      <c r="W493" s="405"/>
      <c r="X493" s="405"/>
      <c r="Y493" s="406"/>
      <c r="Z493" s="384" t="s">
        <v>1182</v>
      </c>
    </row>
    <row r="494" spans="2:26" ht="15.75">
      <c r="B494">
        <v>3</v>
      </c>
      <c r="C494" s="363"/>
      <c r="D494" s="364"/>
      <c r="E494" s="469"/>
      <c r="F494" s="363"/>
      <c r="G494" s="363"/>
      <c r="H494" s="397"/>
      <c r="I494" s="399"/>
      <c r="J494" s="364"/>
      <c r="K494" s="397"/>
      <c r="L494" s="398"/>
      <c r="M494" s="398"/>
      <c r="N494" s="398"/>
      <c r="O494" s="398"/>
      <c r="P494" s="398"/>
      <c r="Q494" s="398"/>
      <c r="R494" s="398"/>
      <c r="S494" s="399"/>
      <c r="T494" s="384"/>
      <c r="U494" s="397"/>
      <c r="V494" s="398"/>
      <c r="W494" s="398"/>
      <c r="X494" s="398"/>
      <c r="Y494" s="399"/>
      <c r="Z494" s="364"/>
    </row>
    <row r="495" spans="2:26" ht="15.6" customHeight="1">
      <c r="B495">
        <v>3</v>
      </c>
      <c r="C495" s="363"/>
      <c r="D495" s="364"/>
      <c r="E495" s="469"/>
      <c r="F495" s="363"/>
      <c r="G495" s="363"/>
      <c r="H495" s="407"/>
      <c r="I495" s="409"/>
      <c r="J495" s="364"/>
      <c r="K495" s="407" t="s">
        <v>1183</v>
      </c>
      <c r="L495" s="408"/>
      <c r="M495" s="408"/>
      <c r="N495" s="408"/>
      <c r="O495" s="408"/>
      <c r="P495" s="408"/>
      <c r="Q495" s="408"/>
      <c r="R495" s="408"/>
      <c r="S495" s="409"/>
      <c r="T495" s="364"/>
      <c r="U495" s="407"/>
      <c r="V495" s="408"/>
      <c r="W495" s="408"/>
      <c r="X495" s="408"/>
      <c r="Y495" s="409"/>
      <c r="Z495" s="384"/>
    </row>
    <row r="496" spans="2:26">
      <c r="B496">
        <v>3</v>
      </c>
      <c r="C496" s="363"/>
      <c r="D496" s="364"/>
      <c r="E496" s="469"/>
      <c r="F496" s="363"/>
      <c r="G496" s="363"/>
      <c r="H496" s="417"/>
      <c r="I496" s="419"/>
      <c r="J496" s="364"/>
      <c r="K496" s="397"/>
      <c r="L496" s="398"/>
      <c r="M496" s="398"/>
      <c r="N496" s="398"/>
      <c r="O496" s="398"/>
      <c r="P496" s="398"/>
      <c r="Q496" s="398"/>
      <c r="R496" s="398"/>
      <c r="S496" s="399"/>
      <c r="T496" s="364"/>
      <c r="U496" s="417"/>
      <c r="V496" s="418"/>
      <c r="W496" s="418"/>
      <c r="X496" s="418"/>
      <c r="Y496" s="419"/>
      <c r="Z496" s="364"/>
    </row>
    <row r="497" spans="2:26" ht="15.75">
      <c r="B497">
        <v>3</v>
      </c>
      <c r="C497" s="363"/>
      <c r="D497" s="364"/>
      <c r="E497" s="469"/>
      <c r="F497" s="363"/>
      <c r="G497" s="363"/>
      <c r="H497" s="446" t="s">
        <v>1184</v>
      </c>
      <c r="I497" s="446" t="s">
        <v>604</v>
      </c>
      <c r="J497" s="364"/>
      <c r="K497" s="407"/>
      <c r="L497" s="408"/>
      <c r="M497" s="408"/>
      <c r="N497" s="408"/>
      <c r="O497" s="408"/>
      <c r="P497" s="408"/>
      <c r="Q497" s="408"/>
      <c r="R497" s="408"/>
      <c r="S497" s="409"/>
      <c r="T497" s="364"/>
      <c r="U497" s="446" t="s">
        <v>1184</v>
      </c>
      <c r="V497" s="446" t="s">
        <v>604</v>
      </c>
      <c r="W497" s="446" t="s">
        <v>605</v>
      </c>
      <c r="X497" s="446" t="s">
        <v>606</v>
      </c>
      <c r="Y497" s="446" t="s">
        <v>1185</v>
      </c>
      <c r="Z497" s="384"/>
    </row>
    <row r="498" spans="2:26" ht="15.75">
      <c r="B498">
        <v>3</v>
      </c>
      <c r="C498" s="363"/>
      <c r="D498" s="364"/>
      <c r="E498" s="469"/>
      <c r="F498" s="363"/>
      <c r="G498" s="363"/>
      <c r="H498" s="385" t="s">
        <v>1186</v>
      </c>
      <c r="I498" s="473" t="s">
        <v>1187</v>
      </c>
      <c r="J498" s="364"/>
      <c r="K498" s="397"/>
      <c r="L498" s="398"/>
      <c r="M498" s="398"/>
      <c r="N498" s="398"/>
      <c r="O498" s="398"/>
      <c r="P498" s="398"/>
      <c r="Q498" s="398"/>
      <c r="R498" s="398"/>
      <c r="S498" s="399"/>
      <c r="T498" s="364"/>
      <c r="U498" s="385" t="s">
        <v>1186</v>
      </c>
      <c r="V498" s="385" t="s">
        <v>1187</v>
      </c>
      <c r="W498" s="385" t="s">
        <v>1188</v>
      </c>
      <c r="X498" s="385" t="s">
        <v>1189</v>
      </c>
      <c r="Y498" s="474">
        <v>0.72360000000000002</v>
      </c>
      <c r="Z498" s="364"/>
    </row>
    <row r="499" spans="2:26" ht="15.75">
      <c r="B499">
        <v>3</v>
      </c>
      <c r="C499" s="363"/>
      <c r="D499" s="364"/>
      <c r="E499" s="469"/>
      <c r="F499" s="363"/>
      <c r="G499" s="363"/>
      <c r="H499" s="385" t="s">
        <v>1190</v>
      </c>
      <c r="I499" s="473" t="s">
        <v>1191</v>
      </c>
      <c r="J499" s="364"/>
      <c r="K499" s="407"/>
      <c r="L499" s="408"/>
      <c r="M499" s="408"/>
      <c r="N499" s="408"/>
      <c r="O499" s="408"/>
      <c r="P499" s="408"/>
      <c r="Q499" s="408"/>
      <c r="R499" s="408"/>
      <c r="S499" s="409"/>
      <c r="T499" s="364"/>
      <c r="U499" s="385" t="s">
        <v>1190</v>
      </c>
      <c r="V499" s="385" t="s">
        <v>1191</v>
      </c>
      <c r="W499" s="385" t="s">
        <v>1192</v>
      </c>
      <c r="X499" s="385" t="s">
        <v>1193</v>
      </c>
      <c r="Y499" s="474">
        <v>0.83330000000000004</v>
      </c>
      <c r="Z499" s="364"/>
    </row>
    <row r="500" spans="2:26" ht="15.75">
      <c r="B500">
        <v>3</v>
      </c>
      <c r="C500" s="363"/>
      <c r="D500" s="364"/>
      <c r="E500" s="469"/>
      <c r="F500" s="363"/>
      <c r="G500" s="363"/>
      <c r="H500" s="385" t="s">
        <v>1194</v>
      </c>
      <c r="I500" s="473" t="s">
        <v>1195</v>
      </c>
      <c r="J500" s="364"/>
      <c r="K500" s="397"/>
      <c r="L500" s="398"/>
      <c r="M500" s="398"/>
      <c r="N500" s="398"/>
      <c r="O500" s="398"/>
      <c r="P500" s="398"/>
      <c r="Q500" s="398"/>
      <c r="R500" s="398"/>
      <c r="S500" s="399"/>
      <c r="T500" s="364"/>
      <c r="U500" s="385" t="s">
        <v>1194</v>
      </c>
      <c r="V500" s="385" t="s">
        <v>1195</v>
      </c>
      <c r="W500" s="385" t="s">
        <v>1196</v>
      </c>
      <c r="X500" s="385" t="s">
        <v>1197</v>
      </c>
      <c r="Y500" s="474">
        <v>0.70040000000000002</v>
      </c>
      <c r="Z500" s="364"/>
    </row>
    <row r="501" spans="2:26" ht="15.75">
      <c r="B501">
        <v>3</v>
      </c>
      <c r="C501" s="363"/>
      <c r="D501" s="364"/>
      <c r="E501" s="469"/>
      <c r="F501" s="363"/>
      <c r="G501" s="363"/>
      <c r="H501" s="385" t="s">
        <v>1198</v>
      </c>
      <c r="I501" s="473" t="s">
        <v>1199</v>
      </c>
      <c r="J501" s="364"/>
      <c r="K501" s="397"/>
      <c r="L501" s="398"/>
      <c r="M501" s="398"/>
      <c r="N501" s="398"/>
      <c r="O501" s="398"/>
      <c r="P501" s="398"/>
      <c r="Q501" s="398"/>
      <c r="R501" s="398"/>
      <c r="S501" s="399"/>
      <c r="T501" s="364"/>
      <c r="U501" s="385" t="s">
        <v>1198</v>
      </c>
      <c r="V501" s="385" t="s">
        <v>1199</v>
      </c>
      <c r="W501" s="385" t="s">
        <v>1200</v>
      </c>
      <c r="X501" s="385" t="s">
        <v>1199</v>
      </c>
      <c r="Y501" s="457">
        <v>1</v>
      </c>
      <c r="Z501" s="364"/>
    </row>
    <row r="502" spans="2:26" ht="15.75">
      <c r="B502">
        <v>3</v>
      </c>
      <c r="C502" s="363"/>
      <c r="D502" s="364"/>
      <c r="E502" s="469"/>
      <c r="F502" s="363"/>
      <c r="G502" s="363"/>
      <c r="H502" s="385" t="s">
        <v>1201</v>
      </c>
      <c r="I502" s="473" t="s">
        <v>1202</v>
      </c>
      <c r="J502" s="364"/>
      <c r="K502" s="397"/>
      <c r="L502" s="398"/>
      <c r="M502" s="398"/>
      <c r="N502" s="398"/>
      <c r="O502" s="398"/>
      <c r="P502" s="398"/>
      <c r="Q502" s="398"/>
      <c r="R502" s="398"/>
      <c r="S502" s="399"/>
      <c r="T502" s="364"/>
      <c r="U502" s="385" t="s">
        <v>1201</v>
      </c>
      <c r="V502" s="385" t="s">
        <v>1202</v>
      </c>
      <c r="W502" s="385" t="s">
        <v>1203</v>
      </c>
      <c r="X502" s="385" t="s">
        <v>1204</v>
      </c>
      <c r="Y502" s="474">
        <v>7.9399999999999998E-2</v>
      </c>
      <c r="Z502" s="364"/>
    </row>
    <row r="503" spans="2:26">
      <c r="B503">
        <v>3</v>
      </c>
      <c r="C503" s="363"/>
      <c r="D503" s="364"/>
      <c r="E503" s="469"/>
      <c r="F503" s="363"/>
      <c r="G503" s="363"/>
      <c r="H503" s="475"/>
      <c r="I503" s="476"/>
      <c r="J503" s="364"/>
      <c r="K503" s="397"/>
      <c r="L503" s="398"/>
      <c r="M503" s="398"/>
      <c r="N503" s="398"/>
      <c r="O503" s="398"/>
      <c r="P503" s="398"/>
      <c r="Q503" s="398"/>
      <c r="R503" s="398"/>
      <c r="S503" s="399"/>
      <c r="T503" s="364"/>
      <c r="U503" s="475"/>
      <c r="V503" s="477"/>
      <c r="W503" s="477"/>
      <c r="X503" s="477"/>
      <c r="Y503" s="476"/>
      <c r="Z503" s="364"/>
    </row>
    <row r="504" spans="2:26" ht="15.75">
      <c r="B504">
        <v>3</v>
      </c>
      <c r="C504" s="374"/>
      <c r="D504" s="375"/>
      <c r="E504" s="472"/>
      <c r="F504" s="374"/>
      <c r="G504" s="374"/>
      <c r="H504" s="417"/>
      <c r="I504" s="419"/>
      <c r="J504" s="375"/>
      <c r="K504" s="417"/>
      <c r="L504" s="418"/>
      <c r="M504" s="418"/>
      <c r="N504" s="418"/>
      <c r="O504" s="418"/>
      <c r="P504" s="418"/>
      <c r="Q504" s="418"/>
      <c r="R504" s="418"/>
      <c r="S504" s="419"/>
      <c r="T504" s="375"/>
      <c r="U504" s="478"/>
      <c r="V504" s="479"/>
      <c r="W504" s="479"/>
      <c r="X504" s="479"/>
      <c r="Y504" s="480"/>
      <c r="Z504" s="375"/>
    </row>
    <row r="505" spans="2:26" ht="15.75">
      <c r="B505">
        <v>3</v>
      </c>
      <c r="C505" s="357" t="s">
        <v>1205</v>
      </c>
      <c r="D505" s="387" t="s">
        <v>283</v>
      </c>
      <c r="E505" s="465" t="s">
        <v>1206</v>
      </c>
      <c r="F505" s="357" t="s">
        <v>1207</v>
      </c>
      <c r="G505" s="357" t="s">
        <v>1208</v>
      </c>
      <c r="H505" s="423" t="s">
        <v>1209</v>
      </c>
      <c r="I505" s="425"/>
      <c r="J505" s="357" t="s">
        <v>1210</v>
      </c>
      <c r="K505" s="423" t="s">
        <v>1211</v>
      </c>
      <c r="L505" s="424"/>
      <c r="M505" s="424"/>
      <c r="N505" s="424"/>
      <c r="O505" s="424"/>
      <c r="P505" s="424"/>
      <c r="Q505" s="424"/>
      <c r="R505" s="424"/>
      <c r="S505" s="425"/>
      <c r="T505" s="357" t="s">
        <v>1212</v>
      </c>
      <c r="U505" s="423" t="s">
        <v>1213</v>
      </c>
      <c r="V505" s="424"/>
      <c r="W505" s="424"/>
      <c r="X505" s="424"/>
      <c r="Y505" s="425"/>
      <c r="Z505" s="384" t="s">
        <v>1214</v>
      </c>
    </row>
    <row r="506" spans="2:26">
      <c r="B506">
        <v>3</v>
      </c>
      <c r="C506" s="363"/>
      <c r="D506" s="364"/>
      <c r="E506" s="469"/>
      <c r="F506" s="363"/>
      <c r="G506" s="363"/>
      <c r="H506" s="407"/>
      <c r="I506" s="409"/>
      <c r="J506" s="363"/>
      <c r="K506" s="407"/>
      <c r="L506" s="408"/>
      <c r="M506" s="408"/>
      <c r="N506" s="408"/>
      <c r="O506" s="408"/>
      <c r="P506" s="408"/>
      <c r="Q506" s="408"/>
      <c r="R506" s="408"/>
      <c r="S506" s="409"/>
      <c r="T506" s="363"/>
      <c r="U506" s="407"/>
      <c r="V506" s="408"/>
      <c r="W506" s="408"/>
      <c r="X506" s="408"/>
      <c r="Y506" s="409"/>
      <c r="Z506" s="364"/>
    </row>
    <row r="507" spans="2:26" ht="15.75">
      <c r="B507">
        <v>3</v>
      </c>
      <c r="C507" s="363"/>
      <c r="D507" s="387" t="s">
        <v>1215</v>
      </c>
      <c r="E507" s="469"/>
      <c r="F507" s="363"/>
      <c r="G507" s="363"/>
      <c r="H507" s="407"/>
      <c r="I507" s="409"/>
      <c r="J507" s="363"/>
      <c r="K507" s="407"/>
      <c r="L507" s="408"/>
      <c r="M507" s="408"/>
      <c r="N507" s="408"/>
      <c r="O507" s="408"/>
      <c r="P507" s="408"/>
      <c r="Q507" s="408"/>
      <c r="R507" s="408"/>
      <c r="S507" s="409"/>
      <c r="T507" s="363"/>
      <c r="U507" s="407"/>
      <c r="V507" s="408"/>
      <c r="W507" s="408"/>
      <c r="X507" s="408"/>
      <c r="Y507" s="409"/>
      <c r="Z507" s="384" t="s">
        <v>1216</v>
      </c>
    </row>
    <row r="508" spans="2:26">
      <c r="B508">
        <v>3</v>
      </c>
      <c r="C508" s="363"/>
      <c r="D508" s="364"/>
      <c r="E508" s="469"/>
      <c r="F508" s="363"/>
      <c r="G508" s="363"/>
      <c r="H508" s="407"/>
      <c r="I508" s="409"/>
      <c r="J508" s="363"/>
      <c r="K508" s="407"/>
      <c r="L508" s="408"/>
      <c r="M508" s="408"/>
      <c r="N508" s="408"/>
      <c r="O508" s="408"/>
      <c r="P508" s="408"/>
      <c r="Q508" s="408"/>
      <c r="R508" s="408"/>
      <c r="S508" s="409"/>
      <c r="T508" s="363"/>
      <c r="U508" s="407"/>
      <c r="V508" s="408"/>
      <c r="W508" s="408"/>
      <c r="X508" s="408"/>
      <c r="Y508" s="409"/>
      <c r="Z508" s="364"/>
    </row>
    <row r="509" spans="2:26" ht="15.75">
      <c r="B509">
        <v>3</v>
      </c>
      <c r="C509" s="363"/>
      <c r="D509" s="387" t="s">
        <v>792</v>
      </c>
      <c r="E509" s="469"/>
      <c r="F509" s="363"/>
      <c r="G509" s="363"/>
      <c r="H509" s="407"/>
      <c r="I509" s="409"/>
      <c r="J509" s="363"/>
      <c r="K509" s="407"/>
      <c r="L509" s="408"/>
      <c r="M509" s="408"/>
      <c r="N509" s="408"/>
      <c r="O509" s="408"/>
      <c r="P509" s="408"/>
      <c r="Q509" s="408"/>
      <c r="R509" s="408"/>
      <c r="S509" s="409"/>
      <c r="T509" s="363"/>
      <c r="U509" s="407"/>
      <c r="V509" s="408"/>
      <c r="W509" s="408"/>
      <c r="X509" s="408"/>
      <c r="Y509" s="409"/>
      <c r="Z509" s="384" t="s">
        <v>1217</v>
      </c>
    </row>
    <row r="510" spans="2:26">
      <c r="B510">
        <v>3</v>
      </c>
      <c r="C510" s="363"/>
      <c r="D510" s="364"/>
      <c r="E510" s="469"/>
      <c r="F510" s="363"/>
      <c r="G510" s="363"/>
      <c r="H510" s="407"/>
      <c r="I510" s="409"/>
      <c r="J510" s="363"/>
      <c r="K510" s="407"/>
      <c r="L510" s="408"/>
      <c r="M510" s="408"/>
      <c r="N510" s="408"/>
      <c r="O510" s="408"/>
      <c r="P510" s="408"/>
      <c r="Q510" s="408"/>
      <c r="R510" s="408"/>
      <c r="S510" s="409"/>
      <c r="T510" s="363"/>
      <c r="U510" s="407"/>
      <c r="V510" s="408"/>
      <c r="W510" s="408"/>
      <c r="X510" s="408"/>
      <c r="Y510" s="409"/>
      <c r="Z510" s="364"/>
    </row>
    <row r="511" spans="2:26">
      <c r="B511">
        <v>3</v>
      </c>
      <c r="C511" s="363"/>
      <c r="D511" s="387" t="s">
        <v>306</v>
      </c>
      <c r="E511" s="469"/>
      <c r="F511" s="363"/>
      <c r="G511" s="363"/>
      <c r="H511" s="407"/>
      <c r="I511" s="409"/>
      <c r="J511" s="363"/>
      <c r="K511" s="407"/>
      <c r="L511" s="408"/>
      <c r="M511" s="408"/>
      <c r="N511" s="408"/>
      <c r="O511" s="408"/>
      <c r="P511" s="408"/>
      <c r="Q511" s="408"/>
      <c r="R511" s="408"/>
      <c r="S511" s="409"/>
      <c r="T511" s="363"/>
      <c r="U511" s="407"/>
      <c r="V511" s="408"/>
      <c r="W511" s="408"/>
      <c r="X511" s="408"/>
      <c r="Y511" s="409"/>
      <c r="Z511" s="364"/>
    </row>
    <row r="512" spans="2:26">
      <c r="B512">
        <v>3</v>
      </c>
      <c r="C512" s="363"/>
      <c r="D512" s="364"/>
      <c r="E512" s="469"/>
      <c r="F512" s="363"/>
      <c r="G512" s="363"/>
      <c r="H512" s="407"/>
      <c r="I512" s="409"/>
      <c r="J512" s="363"/>
      <c r="K512" s="407"/>
      <c r="L512" s="408"/>
      <c r="M512" s="408"/>
      <c r="N512" s="408"/>
      <c r="O512" s="408"/>
      <c r="P512" s="408"/>
      <c r="Q512" s="408"/>
      <c r="R512" s="408"/>
      <c r="S512" s="409"/>
      <c r="T512" s="363"/>
      <c r="U512" s="407"/>
      <c r="V512" s="408"/>
      <c r="W512" s="408"/>
      <c r="X512" s="408"/>
      <c r="Y512" s="409"/>
      <c r="Z512" s="364"/>
    </row>
    <row r="513" spans="2:26">
      <c r="B513">
        <v>3</v>
      </c>
      <c r="C513" s="374"/>
      <c r="D513" s="388" t="s">
        <v>295</v>
      </c>
      <c r="E513" s="472"/>
      <c r="F513" s="374"/>
      <c r="G513" s="374"/>
      <c r="H513" s="443"/>
      <c r="I513" s="445"/>
      <c r="J513" s="374"/>
      <c r="K513" s="443"/>
      <c r="L513" s="444"/>
      <c r="M513" s="444"/>
      <c r="N513" s="444"/>
      <c r="O513" s="444"/>
      <c r="P513" s="444"/>
      <c r="Q513" s="444"/>
      <c r="R513" s="444"/>
      <c r="S513" s="445"/>
      <c r="T513" s="374"/>
      <c r="U513" s="443"/>
      <c r="V513" s="444"/>
      <c r="W513" s="444"/>
      <c r="X513" s="444"/>
      <c r="Y513" s="445"/>
      <c r="Z513" s="375"/>
    </row>
    <row r="514" spans="2:26" ht="15.75">
      <c r="B514">
        <v>3</v>
      </c>
      <c r="C514" s="357" t="s">
        <v>1218</v>
      </c>
      <c r="D514" s="387" t="s">
        <v>790</v>
      </c>
      <c r="E514" s="465" t="s">
        <v>1219</v>
      </c>
      <c r="F514" s="357" t="s">
        <v>1220</v>
      </c>
      <c r="G514" s="357" t="s">
        <v>1221</v>
      </c>
      <c r="H514" s="423" t="s">
        <v>1222</v>
      </c>
      <c r="I514" s="425"/>
      <c r="J514" s="357" t="s">
        <v>1223</v>
      </c>
      <c r="K514" s="423" t="s">
        <v>1224</v>
      </c>
      <c r="L514" s="424"/>
      <c r="M514" s="424"/>
      <c r="N514" s="424"/>
      <c r="O514" s="424"/>
      <c r="P514" s="424"/>
      <c r="Q514" s="424"/>
      <c r="R514" s="424"/>
      <c r="S514" s="425"/>
      <c r="T514" s="357" t="s">
        <v>1225</v>
      </c>
      <c r="U514" s="423" t="s">
        <v>1226</v>
      </c>
      <c r="V514" s="424"/>
      <c r="W514" s="424"/>
      <c r="X514" s="424"/>
      <c r="Y514" s="425"/>
      <c r="Z514" s="384" t="s">
        <v>1227</v>
      </c>
    </row>
    <row r="515" spans="2:26">
      <c r="B515">
        <v>3</v>
      </c>
      <c r="C515" s="363"/>
      <c r="D515" s="364"/>
      <c r="E515" s="469"/>
      <c r="F515" s="363"/>
      <c r="G515" s="363"/>
      <c r="H515" s="407"/>
      <c r="I515" s="409"/>
      <c r="J515" s="363"/>
      <c r="K515" s="407"/>
      <c r="L515" s="408"/>
      <c r="M515" s="408"/>
      <c r="N515" s="408"/>
      <c r="O515" s="408"/>
      <c r="P515" s="408"/>
      <c r="Q515" s="408"/>
      <c r="R515" s="408"/>
      <c r="S515" s="409"/>
      <c r="T515" s="363"/>
      <c r="U515" s="407"/>
      <c r="V515" s="408"/>
      <c r="W515" s="408"/>
      <c r="X515" s="408"/>
      <c r="Y515" s="409"/>
      <c r="Z515" s="364"/>
    </row>
    <row r="516" spans="2:26" ht="15.75">
      <c r="B516">
        <v>3</v>
      </c>
      <c r="C516" s="363"/>
      <c r="D516" s="387" t="s">
        <v>774</v>
      </c>
      <c r="E516" s="469"/>
      <c r="F516" s="363"/>
      <c r="G516" s="363"/>
      <c r="H516" s="407"/>
      <c r="I516" s="409"/>
      <c r="J516" s="363"/>
      <c r="K516" s="407"/>
      <c r="L516" s="408"/>
      <c r="M516" s="408"/>
      <c r="N516" s="408"/>
      <c r="O516" s="408"/>
      <c r="P516" s="408"/>
      <c r="Q516" s="408"/>
      <c r="R516" s="408"/>
      <c r="S516" s="409"/>
      <c r="T516" s="363"/>
      <c r="U516" s="407"/>
      <c r="V516" s="408"/>
      <c r="W516" s="408"/>
      <c r="X516" s="408"/>
      <c r="Y516" s="409"/>
      <c r="Z516" s="384" t="s">
        <v>1228</v>
      </c>
    </row>
    <row r="517" spans="2:26">
      <c r="B517">
        <v>3</v>
      </c>
      <c r="C517" s="363"/>
      <c r="D517" s="364"/>
      <c r="E517" s="469"/>
      <c r="F517" s="363"/>
      <c r="G517" s="363"/>
      <c r="H517" s="407"/>
      <c r="I517" s="409"/>
      <c r="J517" s="363"/>
      <c r="K517" s="407"/>
      <c r="L517" s="408"/>
      <c r="M517" s="408"/>
      <c r="N517" s="408"/>
      <c r="O517" s="408"/>
      <c r="P517" s="408"/>
      <c r="Q517" s="408"/>
      <c r="R517" s="408"/>
      <c r="S517" s="409"/>
      <c r="T517" s="363"/>
      <c r="U517" s="407"/>
      <c r="V517" s="408"/>
      <c r="W517" s="408"/>
      <c r="X517" s="408"/>
      <c r="Y517" s="409"/>
      <c r="Z517" s="364"/>
    </row>
    <row r="518" spans="2:26" ht="15.75">
      <c r="B518">
        <v>3</v>
      </c>
      <c r="C518" s="363"/>
      <c r="D518" s="387" t="s">
        <v>770</v>
      </c>
      <c r="E518" s="469"/>
      <c r="F518" s="363"/>
      <c r="G518" s="363"/>
      <c r="H518" s="407"/>
      <c r="I518" s="409"/>
      <c r="J518" s="363"/>
      <c r="K518" s="407"/>
      <c r="L518" s="408"/>
      <c r="M518" s="408"/>
      <c r="N518" s="408"/>
      <c r="O518" s="408"/>
      <c r="P518" s="408"/>
      <c r="Q518" s="408"/>
      <c r="R518" s="408"/>
      <c r="S518" s="409"/>
      <c r="T518" s="363"/>
      <c r="U518" s="407"/>
      <c r="V518" s="408"/>
      <c r="W518" s="408"/>
      <c r="X518" s="408"/>
      <c r="Y518" s="409"/>
      <c r="Z518" s="384" t="s">
        <v>1229</v>
      </c>
    </row>
    <row r="519" spans="2:26">
      <c r="B519">
        <v>3</v>
      </c>
      <c r="C519" s="363"/>
      <c r="D519" s="364"/>
      <c r="E519" s="469"/>
      <c r="F519" s="363"/>
      <c r="G519" s="363"/>
      <c r="H519" s="407"/>
      <c r="I519" s="409"/>
      <c r="J519" s="363"/>
      <c r="K519" s="407"/>
      <c r="L519" s="408"/>
      <c r="M519" s="408"/>
      <c r="N519" s="408"/>
      <c r="O519" s="408"/>
      <c r="P519" s="408"/>
      <c r="Q519" s="408"/>
      <c r="R519" s="408"/>
      <c r="S519" s="409"/>
      <c r="T519" s="363"/>
      <c r="U519" s="407"/>
      <c r="V519" s="408"/>
      <c r="W519" s="408"/>
      <c r="X519" s="408"/>
      <c r="Y519" s="409"/>
      <c r="Z519" s="364"/>
    </row>
    <row r="520" spans="2:26" ht="15.75">
      <c r="B520">
        <v>3</v>
      </c>
      <c r="C520" s="363"/>
      <c r="D520" s="387" t="s">
        <v>766</v>
      </c>
      <c r="E520" s="469"/>
      <c r="F520" s="363"/>
      <c r="G520" s="363"/>
      <c r="H520" s="407"/>
      <c r="I520" s="409"/>
      <c r="J520" s="363"/>
      <c r="K520" s="407"/>
      <c r="L520" s="408"/>
      <c r="M520" s="408"/>
      <c r="N520" s="408"/>
      <c r="O520" s="408"/>
      <c r="P520" s="408"/>
      <c r="Q520" s="408"/>
      <c r="R520" s="408"/>
      <c r="S520" s="409"/>
      <c r="T520" s="363"/>
      <c r="U520" s="407"/>
      <c r="V520" s="408"/>
      <c r="W520" s="408"/>
      <c r="X520" s="408"/>
      <c r="Y520" s="409"/>
      <c r="Z520" s="384"/>
    </row>
    <row r="521" spans="2:26">
      <c r="B521">
        <v>3</v>
      </c>
      <c r="C521" s="363"/>
      <c r="D521" s="364"/>
      <c r="E521" s="469"/>
      <c r="F521" s="363"/>
      <c r="G521" s="363"/>
      <c r="H521" s="407"/>
      <c r="I521" s="409"/>
      <c r="J521" s="363"/>
      <c r="K521" s="407"/>
      <c r="L521" s="408"/>
      <c r="M521" s="408"/>
      <c r="N521" s="408"/>
      <c r="O521" s="408"/>
      <c r="P521" s="408"/>
      <c r="Q521" s="408"/>
      <c r="R521" s="408"/>
      <c r="S521" s="409"/>
      <c r="T521" s="363"/>
      <c r="U521" s="407"/>
      <c r="V521" s="408"/>
      <c r="W521" s="408"/>
      <c r="X521" s="408"/>
      <c r="Y521" s="409"/>
      <c r="Z521" s="364"/>
    </row>
    <row r="522" spans="2:26" ht="15.75">
      <c r="B522">
        <v>3</v>
      </c>
      <c r="C522" s="374"/>
      <c r="D522" s="388" t="s">
        <v>794</v>
      </c>
      <c r="E522" s="472"/>
      <c r="F522" s="374"/>
      <c r="G522" s="374"/>
      <c r="H522" s="443"/>
      <c r="I522" s="445"/>
      <c r="J522" s="374"/>
      <c r="K522" s="443"/>
      <c r="L522" s="444"/>
      <c r="M522" s="444"/>
      <c r="N522" s="444"/>
      <c r="O522" s="444"/>
      <c r="P522" s="444"/>
      <c r="Q522" s="444"/>
      <c r="R522" s="444"/>
      <c r="S522" s="445"/>
      <c r="T522" s="374"/>
      <c r="U522" s="443"/>
      <c r="V522" s="444"/>
      <c r="W522" s="444"/>
      <c r="X522" s="444"/>
      <c r="Y522" s="445"/>
      <c r="Z522" s="385"/>
    </row>
    <row r="523" spans="2:26" ht="15.75">
      <c r="B523">
        <v>3</v>
      </c>
      <c r="C523" s="357" t="s">
        <v>313</v>
      </c>
      <c r="D523" s="384" t="s">
        <v>1230</v>
      </c>
      <c r="E523" s="357"/>
      <c r="F523" s="385" t="s">
        <v>1231</v>
      </c>
      <c r="G523" s="385" t="s">
        <v>1232</v>
      </c>
      <c r="H523" s="423"/>
      <c r="I523" s="425"/>
      <c r="J523" s="385" t="s">
        <v>1233</v>
      </c>
      <c r="K523" s="444" t="s">
        <v>1234</v>
      </c>
      <c r="L523" s="444"/>
      <c r="M523" s="444"/>
      <c r="N523" s="444"/>
      <c r="O523" s="445"/>
      <c r="P523" s="385"/>
      <c r="Q523" s="385"/>
      <c r="R523" s="385"/>
      <c r="S523" s="385"/>
      <c r="T523" s="385" t="s">
        <v>1235</v>
      </c>
      <c r="U523" s="423"/>
      <c r="V523" s="424"/>
      <c r="W523" s="424"/>
      <c r="X523" s="424"/>
      <c r="Y523" s="425"/>
      <c r="Z523" s="385" t="s">
        <v>1236</v>
      </c>
    </row>
    <row r="524" spans="2:26" ht="15.75">
      <c r="B524">
        <v>3</v>
      </c>
      <c r="C524" s="363"/>
      <c r="D524" s="364"/>
      <c r="E524" s="363"/>
      <c r="F524" s="447"/>
      <c r="G524" s="385" t="s">
        <v>1237</v>
      </c>
      <c r="H524" s="407"/>
      <c r="I524" s="409"/>
      <c r="J524" s="385" t="s">
        <v>1238</v>
      </c>
      <c r="K524" s="481" t="s">
        <v>1239</v>
      </c>
      <c r="L524" s="481"/>
      <c r="M524" s="481"/>
      <c r="N524" s="481"/>
      <c r="O524" s="482"/>
      <c r="P524" s="385"/>
      <c r="Q524" s="385"/>
      <c r="R524" s="385"/>
      <c r="S524" s="385"/>
      <c r="T524" s="385" t="s">
        <v>1240</v>
      </c>
      <c r="U524" s="397"/>
      <c r="V524" s="398"/>
      <c r="W524" s="398"/>
      <c r="X524" s="398"/>
      <c r="Y524" s="399"/>
      <c r="Z524" s="385" t="s">
        <v>808</v>
      </c>
    </row>
    <row r="525" spans="2:26" ht="15.75">
      <c r="B525">
        <v>3</v>
      </c>
      <c r="C525" s="363"/>
      <c r="D525" s="384" t="s">
        <v>1241</v>
      </c>
      <c r="E525" s="363"/>
      <c r="F525" s="447"/>
      <c r="G525" s="364"/>
      <c r="H525" s="407"/>
      <c r="I525" s="409"/>
      <c r="J525" s="364"/>
      <c r="K525" s="481" t="s">
        <v>1242</v>
      </c>
      <c r="L525" s="482"/>
      <c r="M525" s="385"/>
      <c r="N525" s="385"/>
      <c r="O525" s="385"/>
      <c r="P525" s="385"/>
      <c r="Q525" s="385"/>
      <c r="R525" s="385"/>
      <c r="S525" s="385"/>
      <c r="T525" s="364"/>
      <c r="U525" s="481" t="s">
        <v>1243</v>
      </c>
      <c r="V525" s="482"/>
      <c r="W525" s="483"/>
      <c r="X525" s="483"/>
      <c r="Y525" s="447"/>
      <c r="Z525" s="385" t="s">
        <v>811</v>
      </c>
    </row>
    <row r="526" spans="2:26" ht="15.75">
      <c r="B526">
        <v>3</v>
      </c>
      <c r="C526" s="363"/>
      <c r="D526" s="364"/>
      <c r="E526" s="363"/>
      <c r="F526" s="447"/>
      <c r="G526" s="364"/>
      <c r="H526" s="407"/>
      <c r="I526" s="409"/>
      <c r="J526" s="364"/>
      <c r="K526" s="481" t="s">
        <v>1244</v>
      </c>
      <c r="L526" s="481"/>
      <c r="M526" s="482"/>
      <c r="N526" s="385"/>
      <c r="O526" s="385"/>
      <c r="P526" s="385"/>
      <c r="Q526" s="385"/>
      <c r="R526" s="385"/>
      <c r="S526" s="385"/>
      <c r="T526" s="364"/>
      <c r="U526" s="385" t="s">
        <v>1245</v>
      </c>
      <c r="V526" s="385"/>
      <c r="W526" s="385"/>
      <c r="X526" s="385"/>
      <c r="Y526" s="447"/>
      <c r="Z526" s="364"/>
    </row>
    <row r="527" spans="2:26" ht="15.75">
      <c r="B527">
        <v>3</v>
      </c>
      <c r="C527" s="363"/>
      <c r="D527" s="384" t="s">
        <v>1246</v>
      </c>
      <c r="E527" s="363"/>
      <c r="F527" s="447"/>
      <c r="G527" s="364"/>
      <c r="H527" s="407"/>
      <c r="I527" s="409"/>
      <c r="J527" s="364"/>
      <c r="K527" s="481" t="s">
        <v>1247</v>
      </c>
      <c r="L527" s="481"/>
      <c r="M527" s="481"/>
      <c r="N527" s="482"/>
      <c r="O527" s="385"/>
      <c r="P527" s="385"/>
      <c r="Q527" s="385"/>
      <c r="R527" s="385"/>
      <c r="S527" s="385"/>
      <c r="T527" s="364"/>
      <c r="U527" s="385" t="s">
        <v>1248</v>
      </c>
      <c r="V527" s="385"/>
      <c r="W527" s="385"/>
      <c r="X527" s="385"/>
      <c r="Y527" s="447"/>
      <c r="Z527" s="364"/>
    </row>
    <row r="528" spans="2:26" ht="15.75">
      <c r="B528">
        <v>3</v>
      </c>
      <c r="C528" s="363"/>
      <c r="D528" s="364"/>
      <c r="E528" s="363"/>
      <c r="F528" s="447"/>
      <c r="G528" s="364"/>
      <c r="H528" s="407"/>
      <c r="I528" s="409"/>
      <c r="J528" s="364"/>
      <c r="K528" s="481" t="s">
        <v>1249</v>
      </c>
      <c r="L528" s="481"/>
      <c r="M528" s="481"/>
      <c r="N528" s="481"/>
      <c r="O528" s="481"/>
      <c r="P528" s="481"/>
      <c r="Q528" s="482"/>
      <c r="R528" s="385"/>
      <c r="S528" s="385"/>
      <c r="T528" s="364"/>
      <c r="U528" s="385" t="s">
        <v>1250</v>
      </c>
      <c r="V528" s="385"/>
      <c r="W528" s="385"/>
      <c r="X528" s="385"/>
      <c r="Y528" s="447"/>
      <c r="Z528" s="364"/>
    </row>
    <row r="529" spans="2:26" ht="15.75">
      <c r="B529">
        <v>3</v>
      </c>
      <c r="C529" s="363"/>
      <c r="D529" s="384" t="s">
        <v>1251</v>
      </c>
      <c r="E529" s="363"/>
      <c r="F529" s="447"/>
      <c r="G529" s="364"/>
      <c r="H529" s="407"/>
      <c r="I529" s="409"/>
      <c r="J529" s="364"/>
      <c r="K529" s="481" t="s">
        <v>1252</v>
      </c>
      <c r="L529" s="481"/>
      <c r="M529" s="481"/>
      <c r="N529" s="481"/>
      <c r="O529" s="481"/>
      <c r="P529" s="481"/>
      <c r="Q529" s="481"/>
      <c r="R529" s="481"/>
      <c r="S529" s="482"/>
      <c r="T529" s="364"/>
      <c r="U529" s="385" t="s">
        <v>1253</v>
      </c>
      <c r="V529" s="385"/>
      <c r="W529" s="385"/>
      <c r="X529" s="385"/>
      <c r="Y529" s="447"/>
      <c r="Z529" s="364"/>
    </row>
    <row r="530" spans="2:26" ht="15.75">
      <c r="B530">
        <v>3</v>
      </c>
      <c r="C530" s="363"/>
      <c r="D530" s="364"/>
      <c r="E530" s="363"/>
      <c r="F530" s="447"/>
      <c r="G530" s="364"/>
      <c r="H530" s="407"/>
      <c r="I530" s="409"/>
      <c r="J530" s="364"/>
      <c r="K530" s="481" t="s">
        <v>1254</v>
      </c>
      <c r="L530" s="482"/>
      <c r="M530" s="385"/>
      <c r="N530" s="385"/>
      <c r="O530" s="385"/>
      <c r="P530" s="385"/>
      <c r="Q530" s="385"/>
      <c r="R530" s="385"/>
      <c r="S530" s="385"/>
      <c r="T530" s="364"/>
      <c r="U530" s="397"/>
      <c r="V530" s="398"/>
      <c r="W530" s="398"/>
      <c r="X530" s="398"/>
      <c r="Y530" s="399"/>
      <c r="Z530" s="364"/>
    </row>
    <row r="531" spans="2:26" ht="15.75">
      <c r="B531">
        <v>3</v>
      </c>
      <c r="C531" s="363"/>
      <c r="D531" s="364"/>
      <c r="E531" s="363"/>
      <c r="F531" s="447"/>
      <c r="G531" s="364"/>
      <c r="H531" s="407"/>
      <c r="I531" s="409"/>
      <c r="J531" s="364"/>
      <c r="K531" s="385"/>
      <c r="L531" s="385"/>
      <c r="M531" s="385"/>
      <c r="N531" s="385"/>
      <c r="O531" s="385"/>
      <c r="P531" s="385"/>
      <c r="Q531" s="385"/>
      <c r="R531" s="385"/>
      <c r="S531" s="385"/>
      <c r="T531" s="364"/>
      <c r="U531" s="397"/>
      <c r="V531" s="398"/>
      <c r="W531" s="398"/>
      <c r="X531" s="398"/>
      <c r="Y531" s="399"/>
      <c r="Z531" s="364"/>
    </row>
    <row r="532" spans="2:26">
      <c r="B532">
        <v>3</v>
      </c>
      <c r="C532" s="374"/>
      <c r="D532" s="375"/>
      <c r="E532" s="374"/>
      <c r="F532" s="453"/>
      <c r="G532" s="375"/>
      <c r="H532" s="443"/>
      <c r="I532" s="445"/>
      <c r="J532" s="375"/>
      <c r="K532" s="484"/>
      <c r="L532" s="484"/>
      <c r="M532" s="484"/>
      <c r="N532" s="484"/>
      <c r="O532" s="484"/>
      <c r="P532" s="484"/>
      <c r="Q532" s="484"/>
      <c r="R532" s="484"/>
      <c r="S532" s="485"/>
      <c r="T532" s="375"/>
      <c r="U532" s="417"/>
      <c r="V532" s="418"/>
      <c r="W532" s="418"/>
      <c r="X532" s="418"/>
      <c r="Y532" s="419"/>
      <c r="Z532" s="375"/>
    </row>
    <row r="533" spans="2:26" ht="15.75">
      <c r="B533">
        <v>3</v>
      </c>
      <c r="C533" s="357" t="s">
        <v>342</v>
      </c>
      <c r="D533" s="387" t="s">
        <v>1255</v>
      </c>
      <c r="E533" s="357"/>
      <c r="F533" s="357" t="s">
        <v>1256</v>
      </c>
      <c r="G533" s="357" t="s">
        <v>1257</v>
      </c>
      <c r="H533" s="423"/>
      <c r="I533" s="425"/>
      <c r="J533" s="357" t="s">
        <v>1258</v>
      </c>
      <c r="K533" s="423" t="s">
        <v>1259</v>
      </c>
      <c r="L533" s="424"/>
      <c r="M533" s="424"/>
      <c r="N533" s="424"/>
      <c r="O533" s="424"/>
      <c r="P533" s="424"/>
      <c r="Q533" s="424"/>
      <c r="R533" s="424"/>
      <c r="S533" s="425"/>
      <c r="T533" s="378" t="s">
        <v>1260</v>
      </c>
      <c r="U533" s="423" t="s">
        <v>1261</v>
      </c>
      <c r="V533" s="424"/>
      <c r="W533" s="424"/>
      <c r="X533" s="424"/>
      <c r="Y533" s="425"/>
      <c r="Z533" s="379" t="s">
        <v>1262</v>
      </c>
    </row>
    <row r="534" spans="2:26" ht="15.75">
      <c r="B534">
        <v>3</v>
      </c>
      <c r="C534" s="363"/>
      <c r="D534" s="364"/>
      <c r="E534" s="363"/>
      <c r="F534" s="363"/>
      <c r="G534" s="363"/>
      <c r="H534" s="397"/>
      <c r="I534" s="399"/>
      <c r="J534" s="363"/>
      <c r="K534" s="397"/>
      <c r="L534" s="398"/>
      <c r="M534" s="398"/>
      <c r="N534" s="398"/>
      <c r="O534" s="398"/>
      <c r="P534" s="398"/>
      <c r="Q534" s="398"/>
      <c r="R534" s="398"/>
      <c r="S534" s="399"/>
      <c r="T534" s="380"/>
      <c r="U534" s="407"/>
      <c r="V534" s="408"/>
      <c r="W534" s="408"/>
      <c r="X534" s="408"/>
      <c r="Y534" s="409"/>
      <c r="Z534" s="379" t="s">
        <v>1263</v>
      </c>
    </row>
    <row r="535" spans="2:26" ht="46.5" customHeight="1">
      <c r="B535">
        <v>3</v>
      </c>
      <c r="C535" s="363"/>
      <c r="D535" s="387" t="s">
        <v>1264</v>
      </c>
      <c r="E535" s="363"/>
      <c r="F535" s="363"/>
      <c r="G535" s="363"/>
      <c r="H535" s="407" t="s">
        <v>1265</v>
      </c>
      <c r="I535" s="409"/>
      <c r="J535" s="363"/>
      <c r="K535" s="407" t="s">
        <v>1266</v>
      </c>
      <c r="L535" s="408"/>
      <c r="M535" s="408"/>
      <c r="N535" s="408"/>
      <c r="O535" s="408"/>
      <c r="P535" s="408"/>
      <c r="Q535" s="408"/>
      <c r="R535" s="408"/>
      <c r="S535" s="409"/>
      <c r="T535" s="380"/>
      <c r="U535" s="407"/>
      <c r="V535" s="408"/>
      <c r="W535" s="408"/>
      <c r="X535" s="408"/>
      <c r="Y535" s="409"/>
      <c r="Z535" s="364"/>
    </row>
    <row r="536" spans="2:26">
      <c r="B536">
        <v>3</v>
      </c>
      <c r="C536" s="363"/>
      <c r="D536" s="364"/>
      <c r="E536" s="363"/>
      <c r="F536" s="363"/>
      <c r="G536" s="363"/>
      <c r="H536" s="397"/>
      <c r="I536" s="399"/>
      <c r="J536" s="363"/>
      <c r="K536" s="397"/>
      <c r="L536" s="398"/>
      <c r="M536" s="398"/>
      <c r="N536" s="398"/>
      <c r="O536" s="398"/>
      <c r="P536" s="398"/>
      <c r="Q536" s="398"/>
      <c r="R536" s="398"/>
      <c r="S536" s="399"/>
      <c r="T536" s="380"/>
      <c r="U536" s="407"/>
      <c r="V536" s="408"/>
      <c r="W536" s="408"/>
      <c r="X536" s="408"/>
      <c r="Y536" s="409"/>
      <c r="Z536" s="364"/>
    </row>
    <row r="537" spans="2:26" ht="15.75">
      <c r="B537">
        <v>3</v>
      </c>
      <c r="C537" s="363"/>
      <c r="D537" s="384" t="s">
        <v>1267</v>
      </c>
      <c r="E537" s="363"/>
      <c r="F537" s="363"/>
      <c r="G537" s="363"/>
      <c r="H537" s="397"/>
      <c r="I537" s="399"/>
      <c r="J537" s="363"/>
      <c r="K537" s="407"/>
      <c r="L537" s="408"/>
      <c r="M537" s="408"/>
      <c r="N537" s="408"/>
      <c r="O537" s="408"/>
      <c r="P537" s="408"/>
      <c r="Q537" s="408"/>
      <c r="R537" s="408"/>
      <c r="S537" s="409"/>
      <c r="T537" s="380"/>
      <c r="U537" s="407"/>
      <c r="V537" s="408"/>
      <c r="W537" s="408"/>
      <c r="X537" s="408"/>
      <c r="Y537" s="409"/>
      <c r="Z537" s="364"/>
    </row>
    <row r="538" spans="2:26">
      <c r="B538">
        <v>3</v>
      </c>
      <c r="C538" s="363"/>
      <c r="D538" s="364"/>
      <c r="E538" s="363"/>
      <c r="F538" s="363"/>
      <c r="G538" s="363"/>
      <c r="H538" s="397"/>
      <c r="I538" s="399"/>
      <c r="J538" s="363"/>
      <c r="K538" s="397"/>
      <c r="L538" s="398"/>
      <c r="M538" s="398"/>
      <c r="N538" s="398"/>
      <c r="O538" s="398"/>
      <c r="P538" s="398"/>
      <c r="Q538" s="398"/>
      <c r="R538" s="398"/>
      <c r="S538" s="399"/>
      <c r="T538" s="380"/>
      <c r="U538" s="407"/>
      <c r="V538" s="408"/>
      <c r="W538" s="408"/>
      <c r="X538" s="408"/>
      <c r="Y538" s="409"/>
      <c r="Z538" s="364"/>
    </row>
    <row r="539" spans="2:26" ht="15.75">
      <c r="B539">
        <v>3</v>
      </c>
      <c r="C539" s="363"/>
      <c r="D539" s="384" t="s">
        <v>1268</v>
      </c>
      <c r="E539" s="363"/>
      <c r="F539" s="363"/>
      <c r="G539" s="363"/>
      <c r="H539" s="397"/>
      <c r="I539" s="399"/>
      <c r="J539" s="363"/>
      <c r="K539" s="397"/>
      <c r="L539" s="398"/>
      <c r="M539" s="398"/>
      <c r="N539" s="398"/>
      <c r="O539" s="398"/>
      <c r="P539" s="398"/>
      <c r="Q539" s="398"/>
      <c r="R539" s="398"/>
      <c r="S539" s="399"/>
      <c r="T539" s="380"/>
      <c r="U539" s="407"/>
      <c r="V539" s="408"/>
      <c r="W539" s="408"/>
      <c r="X539" s="408"/>
      <c r="Y539" s="409"/>
      <c r="Z539" s="364"/>
    </row>
    <row r="540" spans="2:26">
      <c r="B540">
        <v>3</v>
      </c>
      <c r="C540" s="363"/>
      <c r="D540" s="364"/>
      <c r="E540" s="363"/>
      <c r="F540" s="363"/>
      <c r="G540" s="363"/>
      <c r="H540" s="397"/>
      <c r="I540" s="399"/>
      <c r="J540" s="363"/>
      <c r="K540" s="397"/>
      <c r="L540" s="398"/>
      <c r="M540" s="398"/>
      <c r="N540" s="398"/>
      <c r="O540" s="398"/>
      <c r="P540" s="398"/>
      <c r="Q540" s="398"/>
      <c r="R540" s="398"/>
      <c r="S540" s="399"/>
      <c r="T540" s="380"/>
      <c r="U540" s="407"/>
      <c r="V540" s="408"/>
      <c r="W540" s="408"/>
      <c r="X540" s="408"/>
      <c r="Y540" s="409"/>
      <c r="Z540" s="364"/>
    </row>
    <row r="541" spans="2:26" ht="15.75">
      <c r="B541">
        <v>3</v>
      </c>
      <c r="C541" s="374"/>
      <c r="D541" s="385" t="s">
        <v>1269</v>
      </c>
      <c r="E541" s="374"/>
      <c r="F541" s="374"/>
      <c r="G541" s="374"/>
      <c r="H541" s="417"/>
      <c r="I541" s="419"/>
      <c r="J541" s="374"/>
      <c r="K541" s="417"/>
      <c r="L541" s="418"/>
      <c r="M541" s="418"/>
      <c r="N541" s="418"/>
      <c r="O541" s="418"/>
      <c r="P541" s="418"/>
      <c r="Q541" s="418"/>
      <c r="R541" s="418"/>
      <c r="S541" s="419"/>
      <c r="T541" s="381"/>
      <c r="U541" s="443"/>
      <c r="V541" s="444"/>
      <c r="W541" s="444"/>
      <c r="X541" s="444"/>
      <c r="Y541" s="445"/>
      <c r="Z541" s="375"/>
    </row>
    <row r="542" spans="2:26" ht="15.75">
      <c r="B542">
        <v>3</v>
      </c>
      <c r="C542" s="357" t="s">
        <v>393</v>
      </c>
      <c r="D542" s="387" t="s">
        <v>1270</v>
      </c>
      <c r="E542" s="357"/>
      <c r="F542" s="357" t="s">
        <v>1271</v>
      </c>
      <c r="G542" s="384" t="s">
        <v>1272</v>
      </c>
      <c r="H542" s="423" t="s">
        <v>1273</v>
      </c>
      <c r="I542" s="425"/>
      <c r="J542" s="384" t="s">
        <v>1274</v>
      </c>
      <c r="K542" s="401" t="s">
        <v>1275</v>
      </c>
      <c r="L542" s="402"/>
      <c r="M542" s="402"/>
      <c r="N542" s="402"/>
      <c r="O542" s="402"/>
      <c r="P542" s="402"/>
      <c r="Q542" s="402"/>
      <c r="R542" s="402"/>
      <c r="S542" s="403"/>
      <c r="T542" s="379" t="s">
        <v>1276</v>
      </c>
      <c r="U542" s="423" t="s">
        <v>1277</v>
      </c>
      <c r="V542" s="424"/>
      <c r="W542" s="424"/>
      <c r="X542" s="424"/>
      <c r="Y542" s="425"/>
      <c r="Z542" s="384" t="s">
        <v>1278</v>
      </c>
    </row>
    <row r="543" spans="2:26" ht="15.75">
      <c r="B543">
        <v>3</v>
      </c>
      <c r="C543" s="363"/>
      <c r="D543" s="364"/>
      <c r="E543" s="363"/>
      <c r="F543" s="363"/>
      <c r="G543" s="364"/>
      <c r="H543" s="397"/>
      <c r="I543" s="399"/>
      <c r="J543" s="364"/>
      <c r="K543" s="404" t="s">
        <v>1279</v>
      </c>
      <c r="L543" s="405"/>
      <c r="M543" s="405"/>
      <c r="N543" s="405"/>
      <c r="O543" s="405"/>
      <c r="P543" s="405"/>
      <c r="Q543" s="405"/>
      <c r="R543" s="405"/>
      <c r="S543" s="406"/>
      <c r="T543" s="379" t="s">
        <v>1280</v>
      </c>
      <c r="U543" s="397"/>
      <c r="V543" s="398"/>
      <c r="W543" s="398"/>
      <c r="X543" s="398"/>
      <c r="Y543" s="399"/>
      <c r="Z543" s="364"/>
    </row>
    <row r="544" spans="2:26" ht="15.75">
      <c r="B544">
        <v>3</v>
      </c>
      <c r="C544" s="363"/>
      <c r="D544" s="387" t="s">
        <v>1281</v>
      </c>
      <c r="E544" s="363"/>
      <c r="F544" s="363"/>
      <c r="G544" s="384"/>
      <c r="H544" s="407"/>
      <c r="I544" s="409"/>
      <c r="J544" s="384" t="s">
        <v>1282</v>
      </c>
      <c r="K544" s="404"/>
      <c r="L544" s="405"/>
      <c r="M544" s="405"/>
      <c r="N544" s="405"/>
      <c r="O544" s="405"/>
      <c r="P544" s="405"/>
      <c r="Q544" s="405"/>
      <c r="R544" s="405"/>
      <c r="S544" s="406"/>
      <c r="T544" s="364"/>
      <c r="U544" s="407"/>
      <c r="V544" s="408"/>
      <c r="W544" s="408"/>
      <c r="X544" s="408"/>
      <c r="Y544" s="409"/>
      <c r="Z544" s="384" t="s">
        <v>1283</v>
      </c>
    </row>
    <row r="545" spans="2:26" ht="15.75">
      <c r="B545">
        <v>3</v>
      </c>
      <c r="C545" s="363"/>
      <c r="D545" s="364"/>
      <c r="E545" s="363"/>
      <c r="F545" s="363"/>
      <c r="G545" s="364"/>
      <c r="H545" s="397"/>
      <c r="I545" s="399"/>
      <c r="J545" s="364"/>
      <c r="K545" s="407"/>
      <c r="L545" s="408"/>
      <c r="M545" s="408"/>
      <c r="N545" s="408"/>
      <c r="O545" s="408"/>
      <c r="P545" s="408"/>
      <c r="Q545" s="408"/>
      <c r="R545" s="408"/>
      <c r="S545" s="409"/>
      <c r="T545" s="364"/>
      <c r="U545" s="397"/>
      <c r="V545" s="398"/>
      <c r="W545" s="398"/>
      <c r="X545" s="398"/>
      <c r="Y545" s="399"/>
      <c r="Z545" s="364"/>
    </row>
    <row r="546" spans="2:26" ht="15.75">
      <c r="B546">
        <v>3</v>
      </c>
      <c r="C546" s="363"/>
      <c r="D546" s="387" t="s">
        <v>1284</v>
      </c>
      <c r="E546" s="363"/>
      <c r="F546" s="363"/>
      <c r="G546" s="384" t="s">
        <v>1285</v>
      </c>
      <c r="H546" s="407" t="s">
        <v>1286</v>
      </c>
      <c r="I546" s="409"/>
      <c r="J546" s="364"/>
      <c r="K546" s="407"/>
      <c r="L546" s="408"/>
      <c r="M546" s="408"/>
      <c r="N546" s="408"/>
      <c r="O546" s="408"/>
      <c r="P546" s="408"/>
      <c r="Q546" s="408"/>
      <c r="R546" s="408"/>
      <c r="S546" s="409"/>
      <c r="T546" s="364"/>
      <c r="U546" s="407" t="s">
        <v>1287</v>
      </c>
      <c r="V546" s="408"/>
      <c r="W546" s="408"/>
      <c r="X546" s="408"/>
      <c r="Y546" s="409"/>
      <c r="Z546" s="364"/>
    </row>
    <row r="547" spans="2:26" ht="15.75">
      <c r="B547">
        <v>3</v>
      </c>
      <c r="C547" s="363"/>
      <c r="D547" s="364"/>
      <c r="E547" s="363"/>
      <c r="F547" s="363"/>
      <c r="G547" s="364"/>
      <c r="H547" s="397"/>
      <c r="I547" s="399"/>
      <c r="J547" s="364"/>
      <c r="K547" s="407"/>
      <c r="L547" s="408"/>
      <c r="M547" s="408"/>
      <c r="N547" s="408"/>
      <c r="O547" s="408"/>
      <c r="P547" s="408"/>
      <c r="Q547" s="408"/>
      <c r="R547" s="408"/>
      <c r="S547" s="409"/>
      <c r="T547" s="364"/>
      <c r="U547" s="397"/>
      <c r="V547" s="398"/>
      <c r="W547" s="398"/>
      <c r="X547" s="398"/>
      <c r="Y547" s="399"/>
      <c r="Z547" s="364"/>
    </row>
    <row r="548" spans="2:26" ht="15.6" customHeight="1">
      <c r="B548">
        <v>3</v>
      </c>
      <c r="C548" s="363"/>
      <c r="D548" s="387" t="s">
        <v>1288</v>
      </c>
      <c r="E548" s="363"/>
      <c r="F548" s="363"/>
      <c r="G548" s="364"/>
      <c r="H548" s="407" t="s">
        <v>1289</v>
      </c>
      <c r="I548" s="409"/>
      <c r="J548" s="364"/>
      <c r="K548" s="407"/>
      <c r="L548" s="408"/>
      <c r="M548" s="408"/>
      <c r="N548" s="408"/>
      <c r="O548" s="408"/>
      <c r="P548" s="408"/>
      <c r="Q548" s="408"/>
      <c r="R548" s="408"/>
      <c r="S548" s="409"/>
      <c r="T548" s="364"/>
      <c r="U548" s="407" t="s">
        <v>1290</v>
      </c>
      <c r="V548" s="408"/>
      <c r="W548" s="408"/>
      <c r="X548" s="408"/>
      <c r="Y548" s="409"/>
      <c r="Z548" s="364"/>
    </row>
    <row r="549" spans="2:26" ht="15.75">
      <c r="B549">
        <v>3</v>
      </c>
      <c r="C549" s="363"/>
      <c r="D549" s="364"/>
      <c r="E549" s="363"/>
      <c r="F549" s="363"/>
      <c r="G549" s="364"/>
      <c r="H549" s="397"/>
      <c r="I549" s="399"/>
      <c r="J549" s="364"/>
      <c r="K549" s="407"/>
      <c r="L549" s="408"/>
      <c r="M549" s="408"/>
      <c r="N549" s="408"/>
      <c r="O549" s="408"/>
      <c r="P549" s="408"/>
      <c r="Q549" s="408"/>
      <c r="R549" s="408"/>
      <c r="S549" s="409"/>
      <c r="T549" s="364"/>
      <c r="U549" s="397"/>
      <c r="V549" s="398"/>
      <c r="W549" s="398"/>
      <c r="X549" s="398"/>
      <c r="Y549" s="399"/>
      <c r="Z549" s="364"/>
    </row>
    <row r="550" spans="2:26" ht="15.75">
      <c r="B550">
        <v>3</v>
      </c>
      <c r="C550" s="363"/>
      <c r="D550" s="364"/>
      <c r="E550" s="363"/>
      <c r="F550" s="363"/>
      <c r="G550" s="364"/>
      <c r="H550" s="407"/>
      <c r="I550" s="409"/>
      <c r="J550" s="364"/>
      <c r="K550" s="407"/>
      <c r="L550" s="408"/>
      <c r="M550" s="408"/>
      <c r="N550" s="408"/>
      <c r="O550" s="408"/>
      <c r="P550" s="408"/>
      <c r="Q550" s="408"/>
      <c r="R550" s="408"/>
      <c r="S550" s="409"/>
      <c r="T550" s="364"/>
      <c r="U550" s="407"/>
      <c r="V550" s="408"/>
      <c r="W550" s="408"/>
      <c r="X550" s="408"/>
      <c r="Y550" s="409"/>
      <c r="Z550" s="364"/>
    </row>
    <row r="551" spans="2:26" ht="15.75">
      <c r="B551">
        <v>3</v>
      </c>
      <c r="C551" s="363"/>
      <c r="D551" s="364"/>
      <c r="E551" s="363"/>
      <c r="F551" s="363"/>
      <c r="G551" s="364"/>
      <c r="H551" s="397"/>
      <c r="I551" s="399"/>
      <c r="J551" s="364"/>
      <c r="K551" s="407"/>
      <c r="L551" s="408"/>
      <c r="M551" s="408"/>
      <c r="N551" s="408"/>
      <c r="O551" s="408"/>
      <c r="P551" s="408"/>
      <c r="Q551" s="408"/>
      <c r="R551" s="408"/>
      <c r="S551" s="409"/>
      <c r="T551" s="364"/>
      <c r="U551" s="397"/>
      <c r="V551" s="398"/>
      <c r="W551" s="398"/>
      <c r="X551" s="398"/>
      <c r="Y551" s="399"/>
      <c r="Z551" s="364"/>
    </row>
    <row r="552" spans="2:26" ht="15.75">
      <c r="B552">
        <v>3</v>
      </c>
      <c r="C552" s="374"/>
      <c r="D552" s="375"/>
      <c r="E552" s="374"/>
      <c r="F552" s="374"/>
      <c r="G552" s="375"/>
      <c r="H552" s="443" t="s">
        <v>1291</v>
      </c>
      <c r="I552" s="445"/>
      <c r="J552" s="375"/>
      <c r="K552" s="443"/>
      <c r="L552" s="444"/>
      <c r="M552" s="444"/>
      <c r="N552" s="444"/>
      <c r="O552" s="444"/>
      <c r="P552" s="444"/>
      <c r="Q552" s="444"/>
      <c r="R552" s="444"/>
      <c r="S552" s="445"/>
      <c r="T552" s="375"/>
      <c r="U552" s="443" t="s">
        <v>1291</v>
      </c>
      <c r="V552" s="444"/>
      <c r="W552" s="444"/>
      <c r="X552" s="444"/>
      <c r="Y552" s="445"/>
      <c r="Z552" s="375"/>
    </row>
    <row r="553" spans="2:26" ht="15.75">
      <c r="B553">
        <v>3</v>
      </c>
      <c r="C553" s="357" t="s">
        <v>405</v>
      </c>
      <c r="D553" s="387" t="s">
        <v>1292</v>
      </c>
      <c r="E553" s="357"/>
      <c r="F553" s="357" t="s">
        <v>1293</v>
      </c>
      <c r="G553" s="357" t="s">
        <v>1294</v>
      </c>
      <c r="H553" s="423" t="s">
        <v>1295</v>
      </c>
      <c r="I553" s="425"/>
      <c r="J553" s="357" t="s">
        <v>1296</v>
      </c>
      <c r="K553" s="401" t="s">
        <v>1297</v>
      </c>
      <c r="L553" s="402"/>
      <c r="M553" s="402"/>
      <c r="N553" s="402"/>
      <c r="O553" s="402"/>
      <c r="P553" s="402"/>
      <c r="Q553" s="402"/>
      <c r="R553" s="402"/>
      <c r="S553" s="403"/>
      <c r="T553" s="384" t="s">
        <v>1298</v>
      </c>
      <c r="U553" s="423" t="s">
        <v>1299</v>
      </c>
      <c r="V553" s="424"/>
      <c r="W553" s="424"/>
      <c r="X553" s="424"/>
      <c r="Y553" s="425"/>
      <c r="Z553" s="384" t="s">
        <v>1300</v>
      </c>
    </row>
    <row r="554" spans="2:26" ht="15.6" customHeight="1">
      <c r="B554">
        <v>3</v>
      </c>
      <c r="C554" s="363"/>
      <c r="D554" s="364"/>
      <c r="E554" s="363"/>
      <c r="F554" s="363"/>
      <c r="G554" s="363"/>
      <c r="H554" s="397"/>
      <c r="I554" s="399"/>
      <c r="J554" s="363"/>
      <c r="K554" s="404" t="s">
        <v>1301</v>
      </c>
      <c r="L554" s="405"/>
      <c r="M554" s="405"/>
      <c r="N554" s="405"/>
      <c r="O554" s="405"/>
      <c r="P554" s="405"/>
      <c r="Q554" s="405"/>
      <c r="R554" s="405"/>
      <c r="S554" s="406"/>
      <c r="T554" s="364"/>
      <c r="U554" s="407"/>
      <c r="V554" s="408"/>
      <c r="W554" s="408"/>
      <c r="X554" s="408"/>
      <c r="Y554" s="409"/>
      <c r="Z554" s="364"/>
    </row>
    <row r="555" spans="2:26" ht="15.75">
      <c r="B555">
        <v>3</v>
      </c>
      <c r="C555" s="363"/>
      <c r="D555" s="387" t="s">
        <v>1302</v>
      </c>
      <c r="E555" s="363"/>
      <c r="F555" s="363"/>
      <c r="G555" s="363"/>
      <c r="H555" s="407" t="s">
        <v>1303</v>
      </c>
      <c r="I555" s="409"/>
      <c r="J555" s="363"/>
      <c r="K555" s="404" t="s">
        <v>1304</v>
      </c>
      <c r="L555" s="405"/>
      <c r="M555" s="405"/>
      <c r="N555" s="405"/>
      <c r="O555" s="405"/>
      <c r="P555" s="405"/>
      <c r="Q555" s="405"/>
      <c r="R555" s="405"/>
      <c r="S555" s="406"/>
      <c r="T555" s="384" t="s">
        <v>1305</v>
      </c>
      <c r="U555" s="407"/>
      <c r="V555" s="408"/>
      <c r="W555" s="408"/>
      <c r="X555" s="408"/>
      <c r="Y555" s="409"/>
      <c r="Z555" s="384" t="s">
        <v>1306</v>
      </c>
    </row>
    <row r="556" spans="2:26">
      <c r="B556">
        <v>3</v>
      </c>
      <c r="C556" s="363"/>
      <c r="D556" s="364"/>
      <c r="E556" s="363"/>
      <c r="F556" s="363"/>
      <c r="G556" s="363"/>
      <c r="H556" s="397"/>
      <c r="I556" s="399"/>
      <c r="J556" s="363"/>
      <c r="K556" s="397"/>
      <c r="L556" s="398"/>
      <c r="M556" s="398"/>
      <c r="N556" s="398"/>
      <c r="O556" s="398"/>
      <c r="P556" s="398"/>
      <c r="Q556" s="398"/>
      <c r="R556" s="398"/>
      <c r="S556" s="399"/>
      <c r="T556" s="364"/>
      <c r="U556" s="407"/>
      <c r="V556" s="408"/>
      <c r="W556" s="408"/>
      <c r="X556" s="408"/>
      <c r="Y556" s="409"/>
      <c r="Z556" s="364"/>
    </row>
    <row r="557" spans="2:26" ht="15.75">
      <c r="B557">
        <v>3</v>
      </c>
      <c r="C557" s="363"/>
      <c r="D557" s="387" t="s">
        <v>1307</v>
      </c>
      <c r="E557" s="363"/>
      <c r="F557" s="363"/>
      <c r="G557" s="363"/>
      <c r="H557" s="397"/>
      <c r="I557" s="399"/>
      <c r="J557" s="363"/>
      <c r="K557" s="407">
        <v>13.31</v>
      </c>
      <c r="L557" s="408"/>
      <c r="M557" s="408"/>
      <c r="N557" s="408"/>
      <c r="O557" s="408"/>
      <c r="P557" s="408"/>
      <c r="Q557" s="408"/>
      <c r="R557" s="408"/>
      <c r="S557" s="409"/>
      <c r="T557" s="384" t="s">
        <v>1308</v>
      </c>
      <c r="U557" s="407"/>
      <c r="V557" s="408"/>
      <c r="W557" s="408"/>
      <c r="X557" s="408"/>
      <c r="Y557" s="409"/>
      <c r="Z557" s="384"/>
    </row>
    <row r="558" spans="2:26">
      <c r="B558">
        <v>3</v>
      </c>
      <c r="C558" s="363"/>
      <c r="D558" s="364"/>
      <c r="E558" s="363"/>
      <c r="F558" s="363"/>
      <c r="G558" s="363"/>
      <c r="H558" s="397"/>
      <c r="I558" s="399"/>
      <c r="J558" s="363"/>
      <c r="K558" s="397"/>
      <c r="L558" s="398"/>
      <c r="M558" s="398"/>
      <c r="N558" s="398"/>
      <c r="O558" s="398"/>
      <c r="P558" s="398"/>
      <c r="Q558" s="398"/>
      <c r="R558" s="398"/>
      <c r="S558" s="399"/>
      <c r="T558" s="364"/>
      <c r="U558" s="407"/>
      <c r="V558" s="408"/>
      <c r="W558" s="408"/>
      <c r="X558" s="408"/>
      <c r="Y558" s="409"/>
      <c r="Z558" s="364"/>
    </row>
    <row r="559" spans="2:26" ht="15.75">
      <c r="B559">
        <v>3</v>
      </c>
      <c r="C559" s="374"/>
      <c r="D559" s="388" t="s">
        <v>1309</v>
      </c>
      <c r="E559" s="374"/>
      <c r="F559" s="374"/>
      <c r="G559" s="374"/>
      <c r="H559" s="417"/>
      <c r="I559" s="419"/>
      <c r="J559" s="374"/>
      <c r="K559" s="417"/>
      <c r="L559" s="418"/>
      <c r="M559" s="418"/>
      <c r="N559" s="418"/>
      <c r="O559" s="418"/>
      <c r="P559" s="418"/>
      <c r="Q559" s="418"/>
      <c r="R559" s="418"/>
      <c r="S559" s="419"/>
      <c r="T559" s="385">
        <v>13.44</v>
      </c>
      <c r="U559" s="443"/>
      <c r="V559" s="444"/>
      <c r="W559" s="444"/>
      <c r="X559" s="444"/>
      <c r="Y559" s="445"/>
      <c r="Z559" s="385">
        <v>14.45</v>
      </c>
    </row>
    <row r="560" spans="2:26" ht="15.75">
      <c r="B560">
        <v>3</v>
      </c>
      <c r="C560" s="357" t="s">
        <v>416</v>
      </c>
      <c r="D560" s="387" t="s">
        <v>1310</v>
      </c>
      <c r="E560" s="465" t="s">
        <v>1311</v>
      </c>
      <c r="F560" s="357" t="s">
        <v>1312</v>
      </c>
      <c r="G560" s="384" t="s">
        <v>1313</v>
      </c>
      <c r="H560" s="423" t="s">
        <v>1314</v>
      </c>
      <c r="I560" s="425"/>
      <c r="J560" s="384" t="s">
        <v>1315</v>
      </c>
      <c r="K560" s="423"/>
      <c r="L560" s="424"/>
      <c r="M560" s="424"/>
      <c r="N560" s="424"/>
      <c r="O560" s="424"/>
      <c r="P560" s="424"/>
      <c r="Q560" s="424"/>
      <c r="R560" s="424"/>
      <c r="S560" s="425"/>
      <c r="T560" s="384" t="s">
        <v>1316</v>
      </c>
      <c r="U560" s="423" t="s">
        <v>1317</v>
      </c>
      <c r="V560" s="424"/>
      <c r="W560" s="424"/>
      <c r="X560" s="424"/>
      <c r="Y560" s="425"/>
      <c r="Z560" s="379" t="s">
        <v>1318</v>
      </c>
    </row>
    <row r="561" spans="2:26" ht="15.75">
      <c r="B561">
        <v>3</v>
      </c>
      <c r="C561" s="363"/>
      <c r="D561" s="364"/>
      <c r="E561" s="469"/>
      <c r="F561" s="363"/>
      <c r="G561" s="364"/>
      <c r="H561" s="397"/>
      <c r="I561" s="399"/>
      <c r="J561" s="364"/>
      <c r="K561" s="407"/>
      <c r="L561" s="408"/>
      <c r="M561" s="408"/>
      <c r="N561" s="408"/>
      <c r="O561" s="408"/>
      <c r="P561" s="408"/>
      <c r="Q561" s="408"/>
      <c r="R561" s="408"/>
      <c r="S561" s="409"/>
      <c r="T561" s="364"/>
      <c r="U561" s="397"/>
      <c r="V561" s="398"/>
      <c r="W561" s="398"/>
      <c r="X561" s="398"/>
      <c r="Y561" s="399"/>
      <c r="Z561" s="379" t="s">
        <v>1319</v>
      </c>
    </row>
    <row r="562" spans="2:26" ht="15.75">
      <c r="B562">
        <v>3</v>
      </c>
      <c r="C562" s="363"/>
      <c r="D562" s="387" t="s">
        <v>1320</v>
      </c>
      <c r="E562" s="469"/>
      <c r="F562" s="363"/>
      <c r="G562" s="384" t="s">
        <v>1321</v>
      </c>
      <c r="H562" s="407" t="s">
        <v>1322</v>
      </c>
      <c r="I562" s="409"/>
      <c r="J562" s="384"/>
      <c r="K562" s="407"/>
      <c r="L562" s="408"/>
      <c r="M562" s="408"/>
      <c r="N562" s="408"/>
      <c r="O562" s="408"/>
      <c r="P562" s="408"/>
      <c r="Q562" s="408"/>
      <c r="R562" s="408"/>
      <c r="S562" s="409"/>
      <c r="T562" s="384"/>
      <c r="U562" s="407"/>
      <c r="V562" s="408"/>
      <c r="W562" s="408"/>
      <c r="X562" s="408"/>
      <c r="Y562" s="409"/>
      <c r="Z562" s="364"/>
    </row>
    <row r="563" spans="2:26">
      <c r="B563">
        <v>3</v>
      </c>
      <c r="C563" s="363"/>
      <c r="D563" s="364"/>
      <c r="E563" s="469"/>
      <c r="F563" s="363"/>
      <c r="G563" s="364"/>
      <c r="H563" s="397"/>
      <c r="I563" s="399"/>
      <c r="J563" s="364"/>
      <c r="K563" s="407"/>
      <c r="L563" s="408"/>
      <c r="M563" s="408"/>
      <c r="N563" s="408"/>
      <c r="O563" s="408"/>
      <c r="P563" s="408"/>
      <c r="Q563" s="408"/>
      <c r="R563" s="408"/>
      <c r="S563" s="409"/>
      <c r="T563" s="364"/>
      <c r="U563" s="397"/>
      <c r="V563" s="398"/>
      <c r="W563" s="398"/>
      <c r="X563" s="398"/>
      <c r="Y563" s="399"/>
      <c r="Z563" s="364"/>
    </row>
    <row r="564" spans="2:26" ht="15.75">
      <c r="B564">
        <v>3</v>
      </c>
      <c r="C564" s="363"/>
      <c r="D564" s="387" t="s">
        <v>1323</v>
      </c>
      <c r="E564" s="469"/>
      <c r="F564" s="363"/>
      <c r="G564" s="384"/>
      <c r="H564" s="397"/>
      <c r="I564" s="399"/>
      <c r="J564" s="384" t="s">
        <v>1324</v>
      </c>
      <c r="K564" s="407"/>
      <c r="L564" s="408"/>
      <c r="M564" s="408"/>
      <c r="N564" s="408"/>
      <c r="O564" s="408"/>
      <c r="P564" s="408"/>
      <c r="Q564" s="408"/>
      <c r="R564" s="408"/>
      <c r="S564" s="409"/>
      <c r="T564" s="384" t="s">
        <v>1325</v>
      </c>
      <c r="U564" s="407" t="s">
        <v>1326</v>
      </c>
      <c r="V564" s="408"/>
      <c r="W564" s="408"/>
      <c r="X564" s="408"/>
      <c r="Y564" s="409"/>
      <c r="Z564" s="364"/>
    </row>
    <row r="565" spans="2:26">
      <c r="B565">
        <v>3</v>
      </c>
      <c r="C565" s="363"/>
      <c r="D565" s="364"/>
      <c r="E565" s="469"/>
      <c r="F565" s="363"/>
      <c r="G565" s="364"/>
      <c r="H565" s="397"/>
      <c r="I565" s="399"/>
      <c r="J565" s="364"/>
      <c r="K565" s="407"/>
      <c r="L565" s="408"/>
      <c r="M565" s="408"/>
      <c r="N565" s="408"/>
      <c r="O565" s="408"/>
      <c r="P565" s="408"/>
      <c r="Q565" s="408"/>
      <c r="R565" s="408"/>
      <c r="S565" s="409"/>
      <c r="T565" s="364"/>
      <c r="U565" s="397"/>
      <c r="V565" s="398"/>
      <c r="W565" s="398"/>
      <c r="X565" s="398"/>
      <c r="Y565" s="399"/>
      <c r="Z565" s="364"/>
    </row>
    <row r="566" spans="2:26" ht="15.75">
      <c r="B566">
        <v>3</v>
      </c>
      <c r="C566" s="363"/>
      <c r="D566" s="364"/>
      <c r="E566" s="469"/>
      <c r="F566" s="363"/>
      <c r="G566" s="384"/>
      <c r="H566" s="397"/>
      <c r="I566" s="399"/>
      <c r="J566" s="364"/>
      <c r="K566" s="407"/>
      <c r="L566" s="408"/>
      <c r="M566" s="408"/>
      <c r="N566" s="408"/>
      <c r="O566" s="408"/>
      <c r="P566" s="408"/>
      <c r="Q566" s="408"/>
      <c r="R566" s="408"/>
      <c r="S566" s="409"/>
      <c r="T566" s="384"/>
      <c r="U566" s="407"/>
      <c r="V566" s="408"/>
      <c r="W566" s="408"/>
      <c r="X566" s="408"/>
      <c r="Y566" s="409"/>
      <c r="Z566" s="364"/>
    </row>
    <row r="567" spans="2:26">
      <c r="B567">
        <v>3</v>
      </c>
      <c r="C567" s="363"/>
      <c r="D567" s="364"/>
      <c r="E567" s="469"/>
      <c r="F567" s="363"/>
      <c r="G567" s="364"/>
      <c r="H567" s="397"/>
      <c r="I567" s="399"/>
      <c r="J567" s="364"/>
      <c r="K567" s="407"/>
      <c r="L567" s="408"/>
      <c r="M567" s="408"/>
      <c r="N567" s="408"/>
      <c r="O567" s="408"/>
      <c r="P567" s="408"/>
      <c r="Q567" s="408"/>
      <c r="R567" s="408"/>
      <c r="S567" s="409"/>
      <c r="T567" s="364"/>
      <c r="U567" s="397"/>
      <c r="V567" s="398"/>
      <c r="W567" s="398"/>
      <c r="X567" s="398"/>
      <c r="Y567" s="399"/>
      <c r="Z567" s="364"/>
    </row>
    <row r="568" spans="2:26" ht="15.75">
      <c r="B568">
        <v>3</v>
      </c>
      <c r="C568" s="363"/>
      <c r="D568" s="364"/>
      <c r="E568" s="469"/>
      <c r="F568" s="363"/>
      <c r="G568" s="364"/>
      <c r="H568" s="397"/>
      <c r="I568" s="399"/>
      <c r="J568" s="364"/>
      <c r="K568" s="407"/>
      <c r="L568" s="408"/>
      <c r="M568" s="408"/>
      <c r="N568" s="408"/>
      <c r="O568" s="408"/>
      <c r="P568" s="408"/>
      <c r="Q568" s="408"/>
      <c r="R568" s="408"/>
      <c r="S568" s="409"/>
      <c r="T568" s="384" t="s">
        <v>1327</v>
      </c>
      <c r="U568" s="407" t="s">
        <v>1328</v>
      </c>
      <c r="V568" s="408"/>
      <c r="W568" s="408"/>
      <c r="X568" s="408"/>
      <c r="Y568" s="409"/>
      <c r="Z568" s="364"/>
    </row>
    <row r="569" spans="2:26">
      <c r="B569">
        <v>3</v>
      </c>
      <c r="C569" s="363"/>
      <c r="D569" s="364"/>
      <c r="E569" s="469"/>
      <c r="F569" s="363"/>
      <c r="G569" s="364"/>
      <c r="H569" s="397"/>
      <c r="I569" s="399"/>
      <c r="J569" s="364"/>
      <c r="K569" s="407"/>
      <c r="L569" s="408"/>
      <c r="M569" s="408"/>
      <c r="N569" s="408"/>
      <c r="O569" s="408"/>
      <c r="P569" s="408"/>
      <c r="Q569" s="408"/>
      <c r="R569" s="408"/>
      <c r="S569" s="409"/>
      <c r="T569" s="364"/>
      <c r="U569" s="397"/>
      <c r="V569" s="398"/>
      <c r="W569" s="398"/>
      <c r="X569" s="398"/>
      <c r="Y569" s="399"/>
      <c r="Z569" s="364"/>
    </row>
    <row r="570" spans="2:26" ht="15.75">
      <c r="B570">
        <v>3</v>
      </c>
      <c r="C570" s="363"/>
      <c r="D570" s="364"/>
      <c r="E570" s="469"/>
      <c r="F570" s="363"/>
      <c r="G570" s="364"/>
      <c r="H570" s="397"/>
      <c r="I570" s="399"/>
      <c r="J570" s="364"/>
      <c r="K570" s="407"/>
      <c r="L570" s="408"/>
      <c r="M570" s="408"/>
      <c r="N570" s="408"/>
      <c r="O570" s="408"/>
      <c r="P570" s="408"/>
      <c r="Q570" s="408"/>
      <c r="R570" s="408"/>
      <c r="S570" s="409"/>
      <c r="T570" s="384"/>
      <c r="U570" s="397"/>
      <c r="V570" s="398"/>
      <c r="W570" s="398"/>
      <c r="X570" s="398"/>
      <c r="Y570" s="399"/>
      <c r="Z570" s="364"/>
    </row>
    <row r="571" spans="2:26">
      <c r="B571">
        <v>3</v>
      </c>
      <c r="C571" s="363"/>
      <c r="D571" s="364"/>
      <c r="E571" s="469"/>
      <c r="F571" s="363"/>
      <c r="G571" s="364"/>
      <c r="H571" s="397"/>
      <c r="I571" s="399"/>
      <c r="J571" s="364"/>
      <c r="K571" s="407"/>
      <c r="L571" s="408"/>
      <c r="M571" s="408"/>
      <c r="N571" s="408"/>
      <c r="O571" s="408"/>
      <c r="P571" s="408"/>
      <c r="Q571" s="408"/>
      <c r="R571" s="408"/>
      <c r="S571" s="409"/>
      <c r="T571" s="364"/>
      <c r="U571" s="397"/>
      <c r="V571" s="398"/>
      <c r="W571" s="398"/>
      <c r="X571" s="398"/>
      <c r="Y571" s="399"/>
      <c r="Z571" s="364"/>
    </row>
    <row r="572" spans="2:26" ht="15.75">
      <c r="B572">
        <v>3</v>
      </c>
      <c r="C572" s="374"/>
      <c r="D572" s="375"/>
      <c r="E572" s="472"/>
      <c r="F572" s="374"/>
      <c r="G572" s="375"/>
      <c r="H572" s="417"/>
      <c r="I572" s="419"/>
      <c r="J572" s="375"/>
      <c r="K572" s="443"/>
      <c r="L572" s="444"/>
      <c r="M572" s="444"/>
      <c r="N572" s="444"/>
      <c r="O572" s="444"/>
      <c r="P572" s="444"/>
      <c r="Q572" s="444"/>
      <c r="R572" s="444"/>
      <c r="S572" s="445"/>
      <c r="T572" s="385" t="s">
        <v>1329</v>
      </c>
      <c r="U572" s="417"/>
      <c r="V572" s="418"/>
      <c r="W572" s="418"/>
      <c r="X572" s="418"/>
      <c r="Y572" s="419"/>
      <c r="Z572" s="375"/>
    </row>
  </sheetData>
  <mergeCells count="940">
    <mergeCell ref="H572:I572"/>
    <mergeCell ref="U572:Y572"/>
    <mergeCell ref="U568:Y568"/>
    <mergeCell ref="H569:I569"/>
    <mergeCell ref="U569:Y569"/>
    <mergeCell ref="H570:I570"/>
    <mergeCell ref="U570:Y570"/>
    <mergeCell ref="H571:I571"/>
    <mergeCell ref="U571:Y571"/>
    <mergeCell ref="U564:Y564"/>
    <mergeCell ref="H565:I565"/>
    <mergeCell ref="U565:Y565"/>
    <mergeCell ref="H566:I566"/>
    <mergeCell ref="U566:Y566"/>
    <mergeCell ref="H567:I567"/>
    <mergeCell ref="U567:Y567"/>
    <mergeCell ref="U560:Y560"/>
    <mergeCell ref="H561:I561"/>
    <mergeCell ref="U561:Y561"/>
    <mergeCell ref="H562:I562"/>
    <mergeCell ref="U562:Y562"/>
    <mergeCell ref="H563:I563"/>
    <mergeCell ref="U563:Y563"/>
    <mergeCell ref="K558:S558"/>
    <mergeCell ref="H559:I559"/>
    <mergeCell ref="K559:S559"/>
    <mergeCell ref="C560:C572"/>
    <mergeCell ref="E560:E572"/>
    <mergeCell ref="F560:F572"/>
    <mergeCell ref="H560:I560"/>
    <mergeCell ref="K560:S572"/>
    <mergeCell ref="H564:I564"/>
    <mergeCell ref="H568:I568"/>
    <mergeCell ref="K553:S553"/>
    <mergeCell ref="U553:Y559"/>
    <mergeCell ref="H554:I554"/>
    <mergeCell ref="K554:S554"/>
    <mergeCell ref="H555:I555"/>
    <mergeCell ref="K555:S555"/>
    <mergeCell ref="H556:I556"/>
    <mergeCell ref="K556:S556"/>
    <mergeCell ref="H557:I557"/>
    <mergeCell ref="K557:S557"/>
    <mergeCell ref="C553:C559"/>
    <mergeCell ref="E553:E559"/>
    <mergeCell ref="F553:F559"/>
    <mergeCell ref="G553:G559"/>
    <mergeCell ref="H553:I553"/>
    <mergeCell ref="J553:J559"/>
    <mergeCell ref="H558:I558"/>
    <mergeCell ref="H551:I551"/>
    <mergeCell ref="K551:S551"/>
    <mergeCell ref="U551:Y551"/>
    <mergeCell ref="H552:I552"/>
    <mergeCell ref="K552:S552"/>
    <mergeCell ref="U552:Y552"/>
    <mergeCell ref="H549:I549"/>
    <mergeCell ref="K549:S549"/>
    <mergeCell ref="U549:Y549"/>
    <mergeCell ref="H550:I550"/>
    <mergeCell ref="K550:S550"/>
    <mergeCell ref="U550:Y550"/>
    <mergeCell ref="H547:I547"/>
    <mergeCell ref="K547:S547"/>
    <mergeCell ref="U547:Y547"/>
    <mergeCell ref="H548:I548"/>
    <mergeCell ref="K548:S548"/>
    <mergeCell ref="U548:Y548"/>
    <mergeCell ref="K544:S544"/>
    <mergeCell ref="U544:Y544"/>
    <mergeCell ref="H545:I545"/>
    <mergeCell ref="K545:S545"/>
    <mergeCell ref="U545:Y545"/>
    <mergeCell ref="H546:I546"/>
    <mergeCell ref="K546:S546"/>
    <mergeCell ref="U546:Y546"/>
    <mergeCell ref="C542:C552"/>
    <mergeCell ref="E542:E552"/>
    <mergeCell ref="F542:F552"/>
    <mergeCell ref="H542:I542"/>
    <mergeCell ref="K542:S542"/>
    <mergeCell ref="U542:Y542"/>
    <mergeCell ref="H543:I543"/>
    <mergeCell ref="K543:S543"/>
    <mergeCell ref="U543:Y543"/>
    <mergeCell ref="H544:I544"/>
    <mergeCell ref="K538:S538"/>
    <mergeCell ref="H539:I539"/>
    <mergeCell ref="K539:S539"/>
    <mergeCell ref="H540:I540"/>
    <mergeCell ref="K540:S540"/>
    <mergeCell ref="H541:I541"/>
    <mergeCell ref="K541:S541"/>
    <mergeCell ref="U533:Y541"/>
    <mergeCell ref="H534:I534"/>
    <mergeCell ref="K534:S534"/>
    <mergeCell ref="H535:I535"/>
    <mergeCell ref="K535:S535"/>
    <mergeCell ref="H536:I536"/>
    <mergeCell ref="K536:S536"/>
    <mergeCell ref="H537:I537"/>
    <mergeCell ref="K537:S537"/>
    <mergeCell ref="H538:I538"/>
    <mergeCell ref="U531:Y531"/>
    <mergeCell ref="U532:Y532"/>
    <mergeCell ref="C533:C541"/>
    <mergeCell ref="E533:E541"/>
    <mergeCell ref="F533:F541"/>
    <mergeCell ref="G533:G541"/>
    <mergeCell ref="H533:I533"/>
    <mergeCell ref="J533:J541"/>
    <mergeCell ref="K533:S533"/>
    <mergeCell ref="T533:T541"/>
    <mergeCell ref="K526:M526"/>
    <mergeCell ref="K527:N527"/>
    <mergeCell ref="K528:Q528"/>
    <mergeCell ref="K529:S529"/>
    <mergeCell ref="K530:L530"/>
    <mergeCell ref="U530:Y530"/>
    <mergeCell ref="U514:Y522"/>
    <mergeCell ref="C523:C532"/>
    <mergeCell ref="E523:E532"/>
    <mergeCell ref="H523:I532"/>
    <mergeCell ref="K523:O523"/>
    <mergeCell ref="U523:Y523"/>
    <mergeCell ref="K524:O524"/>
    <mergeCell ref="U524:Y524"/>
    <mergeCell ref="K525:L525"/>
    <mergeCell ref="U525:V525"/>
    <mergeCell ref="T505:T513"/>
    <mergeCell ref="U505:Y513"/>
    <mergeCell ref="C514:C522"/>
    <mergeCell ref="E514:E522"/>
    <mergeCell ref="F514:F522"/>
    <mergeCell ref="G514:G522"/>
    <mergeCell ref="H514:I522"/>
    <mergeCell ref="J514:J522"/>
    <mergeCell ref="K514:S522"/>
    <mergeCell ref="T514:T522"/>
    <mergeCell ref="H504:I504"/>
    <mergeCell ref="K504:S504"/>
    <mergeCell ref="U504:Y504"/>
    <mergeCell ref="C505:C513"/>
    <mergeCell ref="E505:E513"/>
    <mergeCell ref="F505:F513"/>
    <mergeCell ref="G505:G513"/>
    <mergeCell ref="H505:I513"/>
    <mergeCell ref="J505:J513"/>
    <mergeCell ref="K505:S513"/>
    <mergeCell ref="K500:S500"/>
    <mergeCell ref="K501:S501"/>
    <mergeCell ref="K502:S502"/>
    <mergeCell ref="H503:I503"/>
    <mergeCell ref="K503:S503"/>
    <mergeCell ref="U503:Y503"/>
    <mergeCell ref="H496:I496"/>
    <mergeCell ref="K496:S496"/>
    <mergeCell ref="U496:Y496"/>
    <mergeCell ref="K497:S497"/>
    <mergeCell ref="K498:S498"/>
    <mergeCell ref="K499:S499"/>
    <mergeCell ref="H494:I494"/>
    <mergeCell ref="K494:S494"/>
    <mergeCell ref="U494:Y494"/>
    <mergeCell ref="H495:I495"/>
    <mergeCell ref="K495:S495"/>
    <mergeCell ref="U495:Y495"/>
    <mergeCell ref="H492:I492"/>
    <mergeCell ref="K492:S492"/>
    <mergeCell ref="U492:Y492"/>
    <mergeCell ref="H493:I493"/>
    <mergeCell ref="K493:S493"/>
    <mergeCell ref="U493:Y493"/>
    <mergeCell ref="K489:S489"/>
    <mergeCell ref="U489:Y489"/>
    <mergeCell ref="H490:I490"/>
    <mergeCell ref="K490:S490"/>
    <mergeCell ref="U490:Y490"/>
    <mergeCell ref="H491:I491"/>
    <mergeCell ref="K491:S491"/>
    <mergeCell ref="U491:Y491"/>
    <mergeCell ref="K484:S484"/>
    <mergeCell ref="K485:S485"/>
    <mergeCell ref="K486:S486"/>
    <mergeCell ref="K487:S487"/>
    <mergeCell ref="K488:S488"/>
    <mergeCell ref="C489:C504"/>
    <mergeCell ref="E489:E504"/>
    <mergeCell ref="F489:F504"/>
    <mergeCell ref="G489:G504"/>
    <mergeCell ref="H489:I489"/>
    <mergeCell ref="H482:I482"/>
    <mergeCell ref="K482:S482"/>
    <mergeCell ref="U482:Y482"/>
    <mergeCell ref="C483:C488"/>
    <mergeCell ref="E483:E488"/>
    <mergeCell ref="F483:F488"/>
    <mergeCell ref="G483:G488"/>
    <mergeCell ref="H483:I488"/>
    <mergeCell ref="K483:S483"/>
    <mergeCell ref="U483:Y488"/>
    <mergeCell ref="H480:I480"/>
    <mergeCell ref="K480:S480"/>
    <mergeCell ref="U480:Y480"/>
    <mergeCell ref="H481:I481"/>
    <mergeCell ref="K481:S481"/>
    <mergeCell ref="U481:Y481"/>
    <mergeCell ref="H478:I478"/>
    <mergeCell ref="K478:S478"/>
    <mergeCell ref="U478:Y478"/>
    <mergeCell ref="H479:I479"/>
    <mergeCell ref="K479:S479"/>
    <mergeCell ref="U479:Y479"/>
    <mergeCell ref="H476:I476"/>
    <mergeCell ref="K476:S476"/>
    <mergeCell ref="U476:Y476"/>
    <mergeCell ref="H477:I477"/>
    <mergeCell ref="K477:S477"/>
    <mergeCell ref="U477:Y477"/>
    <mergeCell ref="H474:I474"/>
    <mergeCell ref="K474:S474"/>
    <mergeCell ref="U474:Y474"/>
    <mergeCell ref="H475:I475"/>
    <mergeCell ref="K475:S475"/>
    <mergeCell ref="U475:Y475"/>
    <mergeCell ref="H472:I472"/>
    <mergeCell ref="K472:S472"/>
    <mergeCell ref="U472:Y472"/>
    <mergeCell ref="H473:I473"/>
    <mergeCell ref="K473:S473"/>
    <mergeCell ref="U473:Y473"/>
    <mergeCell ref="H470:I470"/>
    <mergeCell ref="K470:S470"/>
    <mergeCell ref="U470:Y470"/>
    <mergeCell ref="H471:I471"/>
    <mergeCell ref="K471:S471"/>
    <mergeCell ref="U471:Y471"/>
    <mergeCell ref="H468:I468"/>
    <mergeCell ref="K468:S468"/>
    <mergeCell ref="U468:Y468"/>
    <mergeCell ref="H469:I469"/>
    <mergeCell ref="K469:S469"/>
    <mergeCell ref="U469:Y469"/>
    <mergeCell ref="H466:I466"/>
    <mergeCell ref="K466:S466"/>
    <mergeCell ref="U466:Y466"/>
    <mergeCell ref="H467:I467"/>
    <mergeCell ref="K467:S467"/>
    <mergeCell ref="U467:Y467"/>
    <mergeCell ref="H464:I464"/>
    <mergeCell ref="K464:S464"/>
    <mergeCell ref="U464:Y464"/>
    <mergeCell ref="H465:I465"/>
    <mergeCell ref="K465:S465"/>
    <mergeCell ref="U465:Y465"/>
    <mergeCell ref="H462:I462"/>
    <mergeCell ref="K462:S462"/>
    <mergeCell ref="U462:Y462"/>
    <mergeCell ref="H463:I463"/>
    <mergeCell ref="K463:S463"/>
    <mergeCell ref="U463:Y463"/>
    <mergeCell ref="H460:I460"/>
    <mergeCell ref="K460:S460"/>
    <mergeCell ref="U460:Y460"/>
    <mergeCell ref="H461:I461"/>
    <mergeCell ref="K461:S461"/>
    <mergeCell ref="U461:Y461"/>
    <mergeCell ref="H458:I458"/>
    <mergeCell ref="K458:S458"/>
    <mergeCell ref="U458:Y458"/>
    <mergeCell ref="H459:I459"/>
    <mergeCell ref="K459:S459"/>
    <mergeCell ref="U459:Y459"/>
    <mergeCell ref="H456:I456"/>
    <mergeCell ref="K456:S456"/>
    <mergeCell ref="U456:Y456"/>
    <mergeCell ref="H457:I457"/>
    <mergeCell ref="K457:S457"/>
    <mergeCell ref="U457:Y457"/>
    <mergeCell ref="H454:I454"/>
    <mergeCell ref="K454:S454"/>
    <mergeCell ref="U454:Y454"/>
    <mergeCell ref="H455:I455"/>
    <mergeCell ref="K455:S455"/>
    <mergeCell ref="U455:Y455"/>
    <mergeCell ref="H452:I452"/>
    <mergeCell ref="K452:S452"/>
    <mergeCell ref="U452:Y452"/>
    <mergeCell ref="H453:I453"/>
    <mergeCell ref="K453:S453"/>
    <mergeCell ref="U453:Y453"/>
    <mergeCell ref="H450:I450"/>
    <mergeCell ref="K450:S450"/>
    <mergeCell ref="U450:Y450"/>
    <mergeCell ref="H451:I451"/>
    <mergeCell ref="K451:S451"/>
    <mergeCell ref="U451:Y451"/>
    <mergeCell ref="K447:S447"/>
    <mergeCell ref="U447:Y447"/>
    <mergeCell ref="H448:I448"/>
    <mergeCell ref="K448:S448"/>
    <mergeCell ref="U448:Y448"/>
    <mergeCell ref="H449:I449"/>
    <mergeCell ref="K449:S449"/>
    <mergeCell ref="U449:Y449"/>
    <mergeCell ref="C445:C482"/>
    <mergeCell ref="E445:E482"/>
    <mergeCell ref="F445:F482"/>
    <mergeCell ref="H445:I445"/>
    <mergeCell ref="K445:S445"/>
    <mergeCell ref="U445:Y445"/>
    <mergeCell ref="H446:I446"/>
    <mergeCell ref="K446:S446"/>
    <mergeCell ref="U446:Y446"/>
    <mergeCell ref="H447:I447"/>
    <mergeCell ref="Z440:Z444"/>
    <mergeCell ref="H441:I441"/>
    <mergeCell ref="K441:S441"/>
    <mergeCell ref="H442:I442"/>
    <mergeCell ref="K442:S442"/>
    <mergeCell ref="H443:I443"/>
    <mergeCell ref="K443:S443"/>
    <mergeCell ref="H444:I444"/>
    <mergeCell ref="K444:S444"/>
    <mergeCell ref="H439:I439"/>
    <mergeCell ref="K439:S439"/>
    <mergeCell ref="U439:Y439"/>
    <mergeCell ref="C440:C444"/>
    <mergeCell ref="D440:D444"/>
    <mergeCell ref="E440:E444"/>
    <mergeCell ref="F440:F444"/>
    <mergeCell ref="H440:I440"/>
    <mergeCell ref="K440:S440"/>
    <mergeCell ref="U440:Y444"/>
    <mergeCell ref="H437:I437"/>
    <mergeCell ref="K437:S437"/>
    <mergeCell ref="U437:Y437"/>
    <mergeCell ref="H438:I438"/>
    <mergeCell ref="K438:S438"/>
    <mergeCell ref="U438:Y438"/>
    <mergeCell ref="H435:I435"/>
    <mergeCell ref="K435:S435"/>
    <mergeCell ref="U435:Y435"/>
    <mergeCell ref="H436:I436"/>
    <mergeCell ref="K436:S436"/>
    <mergeCell ref="U436:Y436"/>
    <mergeCell ref="K432:S432"/>
    <mergeCell ref="U432:Y432"/>
    <mergeCell ref="H433:I433"/>
    <mergeCell ref="K433:S433"/>
    <mergeCell ref="U433:Y433"/>
    <mergeCell ref="H434:I434"/>
    <mergeCell ref="K434:S434"/>
    <mergeCell ref="U434:Y434"/>
    <mergeCell ref="C430:C439"/>
    <mergeCell ref="E430:E439"/>
    <mergeCell ref="F430:F439"/>
    <mergeCell ref="H430:I430"/>
    <mergeCell ref="K430:S430"/>
    <mergeCell ref="U430:Y430"/>
    <mergeCell ref="H431:I431"/>
    <mergeCell ref="K431:S431"/>
    <mergeCell ref="U431:Y431"/>
    <mergeCell ref="H432:I432"/>
    <mergeCell ref="H428:I428"/>
    <mergeCell ref="K428:S428"/>
    <mergeCell ref="U428:Y428"/>
    <mergeCell ref="H429:I429"/>
    <mergeCell ref="K429:S429"/>
    <mergeCell ref="U429:Y429"/>
    <mergeCell ref="H426:I426"/>
    <mergeCell ref="K426:S426"/>
    <mergeCell ref="U426:Y426"/>
    <mergeCell ref="H427:I427"/>
    <mergeCell ref="K427:S427"/>
    <mergeCell ref="U427:Y427"/>
    <mergeCell ref="H424:I424"/>
    <mergeCell ref="K424:S424"/>
    <mergeCell ref="U424:Y424"/>
    <mergeCell ref="H425:I425"/>
    <mergeCell ref="K425:S425"/>
    <mergeCell ref="U425:Y425"/>
    <mergeCell ref="K421:S421"/>
    <mergeCell ref="U421:Y421"/>
    <mergeCell ref="H422:I422"/>
    <mergeCell ref="K422:S422"/>
    <mergeCell ref="U422:Y422"/>
    <mergeCell ref="H423:I423"/>
    <mergeCell ref="K423:S423"/>
    <mergeCell ref="U423:Y423"/>
    <mergeCell ref="C419:C429"/>
    <mergeCell ref="F419:F429"/>
    <mergeCell ref="H419:I419"/>
    <mergeCell ref="K419:S419"/>
    <mergeCell ref="U419:Y419"/>
    <mergeCell ref="Z419:Z429"/>
    <mergeCell ref="H420:I420"/>
    <mergeCell ref="K420:S420"/>
    <mergeCell ref="U420:Y420"/>
    <mergeCell ref="H421:I421"/>
    <mergeCell ref="H417:I417"/>
    <mergeCell ref="K417:S417"/>
    <mergeCell ref="U417:Y417"/>
    <mergeCell ref="H418:I418"/>
    <mergeCell ref="K418:S418"/>
    <mergeCell ref="U418:Y418"/>
    <mergeCell ref="H415:I415"/>
    <mergeCell ref="K415:S415"/>
    <mergeCell ref="U415:Y415"/>
    <mergeCell ref="H416:I416"/>
    <mergeCell ref="K416:S416"/>
    <mergeCell ref="U416:Y416"/>
    <mergeCell ref="H413:I413"/>
    <mergeCell ref="K413:S413"/>
    <mergeCell ref="U413:Y413"/>
    <mergeCell ref="H414:I414"/>
    <mergeCell ref="K414:S414"/>
    <mergeCell ref="U414:Y414"/>
    <mergeCell ref="H411:I411"/>
    <mergeCell ref="K411:S411"/>
    <mergeCell ref="U411:Y411"/>
    <mergeCell ref="H412:I412"/>
    <mergeCell ref="K412:S412"/>
    <mergeCell ref="U412:Y412"/>
    <mergeCell ref="H409:I409"/>
    <mergeCell ref="K409:S409"/>
    <mergeCell ref="U409:Y409"/>
    <mergeCell ref="H410:I410"/>
    <mergeCell ref="K410:S410"/>
    <mergeCell ref="U410:Y410"/>
    <mergeCell ref="U406:Y406"/>
    <mergeCell ref="H407:I407"/>
    <mergeCell ref="K407:S407"/>
    <mergeCell ref="U407:Y407"/>
    <mergeCell ref="C408:C418"/>
    <mergeCell ref="E408:E418"/>
    <mergeCell ref="F408:F418"/>
    <mergeCell ref="H408:I408"/>
    <mergeCell ref="K408:S408"/>
    <mergeCell ref="U408:Y408"/>
    <mergeCell ref="U403:Y403"/>
    <mergeCell ref="H404:I404"/>
    <mergeCell ref="K404:S404"/>
    <mergeCell ref="U404:Y404"/>
    <mergeCell ref="H405:I405"/>
    <mergeCell ref="K405:S405"/>
    <mergeCell ref="U405:Y405"/>
    <mergeCell ref="C403:C407"/>
    <mergeCell ref="E403:E407"/>
    <mergeCell ref="F403:F407"/>
    <mergeCell ref="H403:I403"/>
    <mergeCell ref="K403:S403"/>
    <mergeCell ref="T403:T407"/>
    <mergeCell ref="H406:I406"/>
    <mergeCell ref="K406:S406"/>
    <mergeCell ref="H401:I401"/>
    <mergeCell ref="K401:S401"/>
    <mergeCell ref="U401:Y401"/>
    <mergeCell ref="H402:I402"/>
    <mergeCell ref="K402:S402"/>
    <mergeCell ref="U402:Y402"/>
    <mergeCell ref="U398:Y398"/>
    <mergeCell ref="H399:I399"/>
    <mergeCell ref="K399:S399"/>
    <mergeCell ref="U399:Y399"/>
    <mergeCell ref="H400:I400"/>
    <mergeCell ref="K400:S400"/>
    <mergeCell ref="U400:Y400"/>
    <mergeCell ref="Z394:Z402"/>
    <mergeCell ref="H395:I395"/>
    <mergeCell ref="K395:S395"/>
    <mergeCell ref="U395:Y395"/>
    <mergeCell ref="H396:I396"/>
    <mergeCell ref="K396:S396"/>
    <mergeCell ref="U396:Y396"/>
    <mergeCell ref="H397:I397"/>
    <mergeCell ref="K397:S397"/>
    <mergeCell ref="U397:Y397"/>
    <mergeCell ref="U389:Y393"/>
    <mergeCell ref="C394:C402"/>
    <mergeCell ref="E394:E402"/>
    <mergeCell ref="F394:F402"/>
    <mergeCell ref="H394:I394"/>
    <mergeCell ref="K394:S394"/>
    <mergeCell ref="T394:T402"/>
    <mergeCell ref="U394:Y394"/>
    <mergeCell ref="H398:I398"/>
    <mergeCell ref="K398:S398"/>
    <mergeCell ref="H388:I388"/>
    <mergeCell ref="K388:S388"/>
    <mergeCell ref="U388:Y388"/>
    <mergeCell ref="C389:C393"/>
    <mergeCell ref="E389:E393"/>
    <mergeCell ref="F389:F393"/>
    <mergeCell ref="G389:G393"/>
    <mergeCell ref="H389:I393"/>
    <mergeCell ref="J389:J393"/>
    <mergeCell ref="K389:S393"/>
    <mergeCell ref="H386:I386"/>
    <mergeCell ref="K386:S386"/>
    <mergeCell ref="U386:Y386"/>
    <mergeCell ref="H387:I387"/>
    <mergeCell ref="K387:S387"/>
    <mergeCell ref="U387:Y387"/>
    <mergeCell ref="Z382:Z388"/>
    <mergeCell ref="H383:I383"/>
    <mergeCell ref="K383:S383"/>
    <mergeCell ref="U383:Y383"/>
    <mergeCell ref="H384:I384"/>
    <mergeCell ref="K384:S384"/>
    <mergeCell ref="U384:Y384"/>
    <mergeCell ref="H385:I385"/>
    <mergeCell ref="K385:S385"/>
    <mergeCell ref="U385:Y385"/>
    <mergeCell ref="H381:I381"/>
    <mergeCell ref="K381:S381"/>
    <mergeCell ref="U381:Y381"/>
    <mergeCell ref="C382:C388"/>
    <mergeCell ref="E382:E388"/>
    <mergeCell ref="F382:F388"/>
    <mergeCell ref="H382:I382"/>
    <mergeCell ref="J382:J388"/>
    <mergeCell ref="K382:S382"/>
    <mergeCell ref="U382:Y382"/>
    <mergeCell ref="H379:I379"/>
    <mergeCell ref="K379:S379"/>
    <mergeCell ref="U379:Y379"/>
    <mergeCell ref="H380:I380"/>
    <mergeCell ref="K380:S380"/>
    <mergeCell ref="U380:Y380"/>
    <mergeCell ref="H377:I377"/>
    <mergeCell ref="K377:S377"/>
    <mergeCell ref="U377:Y377"/>
    <mergeCell ref="H378:I378"/>
    <mergeCell ref="K378:S378"/>
    <mergeCell ref="U378:Y378"/>
    <mergeCell ref="K374:S374"/>
    <mergeCell ref="U374:Y374"/>
    <mergeCell ref="H375:I375"/>
    <mergeCell ref="K375:S375"/>
    <mergeCell ref="U375:Y375"/>
    <mergeCell ref="H376:I376"/>
    <mergeCell ref="K376:S376"/>
    <mergeCell ref="U376:Y376"/>
    <mergeCell ref="Z369:Z381"/>
    <mergeCell ref="H370:I370"/>
    <mergeCell ref="K370:S370"/>
    <mergeCell ref="U370:Y370"/>
    <mergeCell ref="H371:I371"/>
    <mergeCell ref="K371:S371"/>
    <mergeCell ref="U371:Y371"/>
    <mergeCell ref="H372:I372"/>
    <mergeCell ref="K372:S372"/>
    <mergeCell ref="U372:Y372"/>
    <mergeCell ref="C369:C381"/>
    <mergeCell ref="E369:E381"/>
    <mergeCell ref="F369:F381"/>
    <mergeCell ref="H369:I369"/>
    <mergeCell ref="K369:S369"/>
    <mergeCell ref="U369:Y369"/>
    <mergeCell ref="H373:I373"/>
    <mergeCell ref="K373:S373"/>
    <mergeCell ref="U373:Y373"/>
    <mergeCell ref="H374:I374"/>
    <mergeCell ref="K366:S366"/>
    <mergeCell ref="U366:Y366"/>
    <mergeCell ref="H367:I367"/>
    <mergeCell ref="K367:S367"/>
    <mergeCell ref="U367:Y367"/>
    <mergeCell ref="H368:I368"/>
    <mergeCell ref="K368:S368"/>
    <mergeCell ref="U368:Y368"/>
    <mergeCell ref="C363:C367"/>
    <mergeCell ref="G363:S364"/>
    <mergeCell ref="T363:T364"/>
    <mergeCell ref="U363:Y364"/>
    <mergeCell ref="Z363:Z367"/>
    <mergeCell ref="H365:I365"/>
    <mergeCell ref="K365:S365"/>
    <mergeCell ref="T365:T367"/>
    <mergeCell ref="U365:Y365"/>
    <mergeCell ref="H366:I366"/>
    <mergeCell ref="U352:X352"/>
    <mergeCell ref="U353:X353"/>
    <mergeCell ref="U354:X354"/>
    <mergeCell ref="U355:X355"/>
    <mergeCell ref="C356:C362"/>
    <mergeCell ref="E356:E362"/>
    <mergeCell ref="F356:F362"/>
    <mergeCell ref="G356:G362"/>
    <mergeCell ref="H356:H362"/>
    <mergeCell ref="U356:X362"/>
    <mergeCell ref="U348:X348"/>
    <mergeCell ref="U349:X349"/>
    <mergeCell ref="U350:X350"/>
    <mergeCell ref="C351:C355"/>
    <mergeCell ref="D351:D355"/>
    <mergeCell ref="E351:E355"/>
    <mergeCell ref="F351:F355"/>
    <mergeCell ref="G351:G355"/>
    <mergeCell ref="H351:H355"/>
    <mergeCell ref="U351:X351"/>
    <mergeCell ref="U342:X342"/>
    <mergeCell ref="U343:X343"/>
    <mergeCell ref="U344:X344"/>
    <mergeCell ref="U345:X345"/>
    <mergeCell ref="U346:X346"/>
    <mergeCell ref="U347:X347"/>
    <mergeCell ref="C338:C341"/>
    <mergeCell ref="D338:D341"/>
    <mergeCell ref="E338:E341"/>
    <mergeCell ref="U340:X340"/>
    <mergeCell ref="U341:X341"/>
    <mergeCell ref="C342:C350"/>
    <mergeCell ref="D342:D350"/>
    <mergeCell ref="E342:E350"/>
    <mergeCell ref="F342:F350"/>
    <mergeCell ref="H342:H350"/>
    <mergeCell ref="U328:X328"/>
    <mergeCell ref="U329:X329"/>
    <mergeCell ref="C330:C337"/>
    <mergeCell ref="E330:E337"/>
    <mergeCell ref="H330:H337"/>
    <mergeCell ref="I330:I337"/>
    <mergeCell ref="U330:X337"/>
    <mergeCell ref="U322:X322"/>
    <mergeCell ref="U323:X323"/>
    <mergeCell ref="U324:X324"/>
    <mergeCell ref="U325:X325"/>
    <mergeCell ref="U326:X326"/>
    <mergeCell ref="U327:X327"/>
    <mergeCell ref="J313:J329"/>
    <mergeCell ref="U313:X313"/>
    <mergeCell ref="U314:X314"/>
    <mergeCell ref="U315:X315"/>
    <mergeCell ref="U316:X316"/>
    <mergeCell ref="U317:X317"/>
    <mergeCell ref="U318:X318"/>
    <mergeCell ref="U319:X319"/>
    <mergeCell ref="U320:X320"/>
    <mergeCell ref="U321:X321"/>
    <mergeCell ref="U308:X308"/>
    <mergeCell ref="U309:X309"/>
    <mergeCell ref="U310:X310"/>
    <mergeCell ref="U311:X311"/>
    <mergeCell ref="U312:X312"/>
    <mergeCell ref="C313:C329"/>
    <mergeCell ref="E313:E329"/>
    <mergeCell ref="F313:F329"/>
    <mergeCell ref="G313:G329"/>
    <mergeCell ref="H313:H329"/>
    <mergeCell ref="U302:X302"/>
    <mergeCell ref="U303:X303"/>
    <mergeCell ref="U304:X304"/>
    <mergeCell ref="U305:X305"/>
    <mergeCell ref="U306:X306"/>
    <mergeCell ref="U307:X307"/>
    <mergeCell ref="C294:C312"/>
    <mergeCell ref="E294:E312"/>
    <mergeCell ref="U294:X294"/>
    <mergeCell ref="U295:X295"/>
    <mergeCell ref="U296:X296"/>
    <mergeCell ref="U297:X297"/>
    <mergeCell ref="U298:X298"/>
    <mergeCell ref="U299:X299"/>
    <mergeCell ref="U300:X300"/>
    <mergeCell ref="U301:X301"/>
    <mergeCell ref="Z276:Z293"/>
    <mergeCell ref="U277:X277"/>
    <mergeCell ref="U278:X278"/>
    <mergeCell ref="U279:X279"/>
    <mergeCell ref="U284:X284"/>
    <mergeCell ref="U285:X285"/>
    <mergeCell ref="U286:X286"/>
    <mergeCell ref="U287:X287"/>
    <mergeCell ref="U288:X288"/>
    <mergeCell ref="U289:X289"/>
    <mergeCell ref="U274:X274"/>
    <mergeCell ref="U275:X275"/>
    <mergeCell ref="C276:C293"/>
    <mergeCell ref="E276:E293"/>
    <mergeCell ref="J276:J293"/>
    <mergeCell ref="U276:X276"/>
    <mergeCell ref="U268:X268"/>
    <mergeCell ref="U269:X269"/>
    <mergeCell ref="U270:X270"/>
    <mergeCell ref="U271:X271"/>
    <mergeCell ref="U272:X272"/>
    <mergeCell ref="U273:X273"/>
    <mergeCell ref="U259:X259"/>
    <mergeCell ref="U260:X260"/>
    <mergeCell ref="C261:C275"/>
    <mergeCell ref="U261:X261"/>
    <mergeCell ref="U262:X262"/>
    <mergeCell ref="U263:X263"/>
    <mergeCell ref="U264:X264"/>
    <mergeCell ref="U265:X265"/>
    <mergeCell ref="U266:X266"/>
    <mergeCell ref="U267:X267"/>
    <mergeCell ref="U253:X253"/>
    <mergeCell ref="U254:X254"/>
    <mergeCell ref="U255:X255"/>
    <mergeCell ref="U256:X256"/>
    <mergeCell ref="U257:X257"/>
    <mergeCell ref="U258:X258"/>
    <mergeCell ref="U247:X247"/>
    <mergeCell ref="U248:X248"/>
    <mergeCell ref="U249:X249"/>
    <mergeCell ref="U250:X250"/>
    <mergeCell ref="U251:X251"/>
    <mergeCell ref="U252:X252"/>
    <mergeCell ref="U236:X240"/>
    <mergeCell ref="Z236:Z240"/>
    <mergeCell ref="C241:C260"/>
    <mergeCell ref="E241:E260"/>
    <mergeCell ref="U241:X241"/>
    <mergeCell ref="U242:X242"/>
    <mergeCell ref="U243:X243"/>
    <mergeCell ref="U244:X244"/>
    <mergeCell ref="U245:X245"/>
    <mergeCell ref="U246:X246"/>
    <mergeCell ref="U231:X231"/>
    <mergeCell ref="U232:X232"/>
    <mergeCell ref="U233:X233"/>
    <mergeCell ref="U234:X234"/>
    <mergeCell ref="U235:X235"/>
    <mergeCell ref="C236:C240"/>
    <mergeCell ref="E236:E240"/>
    <mergeCell ref="G236:G240"/>
    <mergeCell ref="H236:H240"/>
    <mergeCell ref="J236:J240"/>
    <mergeCell ref="C223:C235"/>
    <mergeCell ref="E223:E235"/>
    <mergeCell ref="U223:X223"/>
    <mergeCell ref="U224:X224"/>
    <mergeCell ref="U225:X225"/>
    <mergeCell ref="U226:X226"/>
    <mergeCell ref="U227:X227"/>
    <mergeCell ref="U228:X228"/>
    <mergeCell ref="U229:X229"/>
    <mergeCell ref="U230:X230"/>
    <mergeCell ref="C205:C215"/>
    <mergeCell ref="E205:E215"/>
    <mergeCell ref="H205:H215"/>
    <mergeCell ref="U205:X215"/>
    <mergeCell ref="C216:C222"/>
    <mergeCell ref="E216:E222"/>
    <mergeCell ref="U216:X216"/>
    <mergeCell ref="U217:X217"/>
    <mergeCell ref="U222:X222"/>
    <mergeCell ref="U199:X199"/>
    <mergeCell ref="U200:X200"/>
    <mergeCell ref="U201:X201"/>
    <mergeCell ref="U202:X202"/>
    <mergeCell ref="U203:X203"/>
    <mergeCell ref="U204:X204"/>
    <mergeCell ref="U193:X193"/>
    <mergeCell ref="U194:X194"/>
    <mergeCell ref="U195:X195"/>
    <mergeCell ref="U196:X196"/>
    <mergeCell ref="U197:X197"/>
    <mergeCell ref="U198:X198"/>
    <mergeCell ref="U187:X187"/>
    <mergeCell ref="U188:X188"/>
    <mergeCell ref="U189:X189"/>
    <mergeCell ref="U190:X190"/>
    <mergeCell ref="U191:X191"/>
    <mergeCell ref="C192:C204"/>
    <mergeCell ref="E192:E204"/>
    <mergeCell ref="F192:F204"/>
    <mergeCell ref="H192:H204"/>
    <mergeCell ref="U192:X192"/>
    <mergeCell ref="Z175:Z191"/>
    <mergeCell ref="U176:X176"/>
    <mergeCell ref="U177:X177"/>
    <mergeCell ref="U178:X178"/>
    <mergeCell ref="U179:X179"/>
    <mergeCell ref="U180:X180"/>
    <mergeCell ref="U181:X181"/>
    <mergeCell ref="U182:X182"/>
    <mergeCell ref="U183:X183"/>
    <mergeCell ref="U184:X184"/>
    <mergeCell ref="U172:X172"/>
    <mergeCell ref="U173:X173"/>
    <mergeCell ref="U174:X174"/>
    <mergeCell ref="C175:C191"/>
    <mergeCell ref="E175:E191"/>
    <mergeCell ref="G175:G191"/>
    <mergeCell ref="H175:H191"/>
    <mergeCell ref="U175:X175"/>
    <mergeCell ref="U185:X185"/>
    <mergeCell ref="U186:X186"/>
    <mergeCell ref="U164:X164"/>
    <mergeCell ref="U165:X165"/>
    <mergeCell ref="U166:X166"/>
    <mergeCell ref="U167:X167"/>
    <mergeCell ref="C168:C174"/>
    <mergeCell ref="E168:E174"/>
    <mergeCell ref="U168:X168"/>
    <mergeCell ref="U169:X169"/>
    <mergeCell ref="U170:X170"/>
    <mergeCell ref="U171:X171"/>
    <mergeCell ref="U158:X158"/>
    <mergeCell ref="U159:X159"/>
    <mergeCell ref="U160:X160"/>
    <mergeCell ref="U161:X161"/>
    <mergeCell ref="U162:X162"/>
    <mergeCell ref="U163:X163"/>
    <mergeCell ref="U154:X154"/>
    <mergeCell ref="C155:C167"/>
    <mergeCell ref="E155:E167"/>
    <mergeCell ref="F155:F167"/>
    <mergeCell ref="G155:G167"/>
    <mergeCell ref="H155:H167"/>
    <mergeCell ref="I155:I167"/>
    <mergeCell ref="U155:X155"/>
    <mergeCell ref="U156:X156"/>
    <mergeCell ref="U157:X157"/>
    <mergeCell ref="U148:X148"/>
    <mergeCell ref="U149:X149"/>
    <mergeCell ref="U150:X150"/>
    <mergeCell ref="U151:X151"/>
    <mergeCell ref="U152:X152"/>
    <mergeCell ref="U153:X153"/>
    <mergeCell ref="U142:X142"/>
    <mergeCell ref="U143:X143"/>
    <mergeCell ref="U144:X144"/>
    <mergeCell ref="U145:X145"/>
    <mergeCell ref="U146:X146"/>
    <mergeCell ref="U147:X147"/>
    <mergeCell ref="U135:X135"/>
    <mergeCell ref="U136:X136"/>
    <mergeCell ref="U137:X137"/>
    <mergeCell ref="C138:C154"/>
    <mergeCell ref="E138:E154"/>
    <mergeCell ref="G138:G154"/>
    <mergeCell ref="U138:X138"/>
    <mergeCell ref="U139:X139"/>
    <mergeCell ref="U140:X140"/>
    <mergeCell ref="U141:X141"/>
    <mergeCell ref="Z129:Z130"/>
    <mergeCell ref="C131:C132"/>
    <mergeCell ref="D131:D132"/>
    <mergeCell ref="E131:E132"/>
    <mergeCell ref="C133:C137"/>
    <mergeCell ref="F133:I134"/>
    <mergeCell ref="J133:J134"/>
    <mergeCell ref="U133:X134"/>
    <mergeCell ref="Z133:Z137"/>
    <mergeCell ref="J135:J137"/>
    <mergeCell ref="U127:U128"/>
    <mergeCell ref="Z127:Z128"/>
    <mergeCell ref="C129:C130"/>
    <mergeCell ref="D129:D130"/>
    <mergeCell ref="E129:E130"/>
    <mergeCell ref="F129:F130"/>
    <mergeCell ref="H129:H130"/>
    <mergeCell ref="I129:I130"/>
    <mergeCell ref="J129:J130"/>
    <mergeCell ref="U129:U130"/>
    <mergeCell ref="C127:C128"/>
    <mergeCell ref="D127:D128"/>
    <mergeCell ref="E127:E128"/>
    <mergeCell ref="F127:F128"/>
    <mergeCell ref="G127:G128"/>
    <mergeCell ref="H127:H128"/>
    <mergeCell ref="C87:C107"/>
    <mergeCell ref="E87:E107"/>
    <mergeCell ref="C108:C112"/>
    <mergeCell ref="E108:E112"/>
    <mergeCell ref="U108:U112"/>
    <mergeCell ref="C113:C126"/>
    <mergeCell ref="D113:D126"/>
    <mergeCell ref="U68:U74"/>
    <mergeCell ref="C75:C81"/>
    <mergeCell ref="E75:E81"/>
    <mergeCell ref="H75:H81"/>
    <mergeCell ref="C82:C86"/>
    <mergeCell ref="E82:E86"/>
    <mergeCell ref="Z61:Z62"/>
    <mergeCell ref="C63:C67"/>
    <mergeCell ref="D63:D67"/>
    <mergeCell ref="E63:E67"/>
    <mergeCell ref="C68:C74"/>
    <mergeCell ref="E68:E74"/>
    <mergeCell ref="F68:F74"/>
    <mergeCell ref="G68:G74"/>
    <mergeCell ref="H68:H74"/>
    <mergeCell ref="J68:J74"/>
    <mergeCell ref="C57:C60"/>
    <mergeCell ref="E57:E60"/>
    <mergeCell ref="C61:C62"/>
    <mergeCell ref="D61:D62"/>
    <mergeCell ref="E61:E62"/>
    <mergeCell ref="U61:U62"/>
    <mergeCell ref="Z33:Z35"/>
    <mergeCell ref="C36:C52"/>
    <mergeCell ref="D36:D52"/>
    <mergeCell ref="Z36:Z52"/>
    <mergeCell ref="C53:C56"/>
    <mergeCell ref="D53:D56"/>
    <mergeCell ref="E53:E56"/>
    <mergeCell ref="U53:U56"/>
    <mergeCell ref="Z53:Z56"/>
    <mergeCell ref="U28:U32"/>
    <mergeCell ref="C33:C35"/>
    <mergeCell ref="D33:D35"/>
    <mergeCell ref="E33:E35"/>
    <mergeCell ref="F33:F35"/>
    <mergeCell ref="G33:G35"/>
    <mergeCell ref="J33:J35"/>
    <mergeCell ref="U33:U35"/>
    <mergeCell ref="F22:F27"/>
    <mergeCell ref="G22:G27"/>
    <mergeCell ref="H22:H27"/>
    <mergeCell ref="I22:I27"/>
    <mergeCell ref="U22:U27"/>
    <mergeCell ref="C28:C32"/>
    <mergeCell ref="D28:D32"/>
    <mergeCell ref="E28:E32"/>
    <mergeCell ref="F28:F32"/>
    <mergeCell ref="H28:H32"/>
    <mergeCell ref="C15:C21"/>
    <mergeCell ref="D15:D21"/>
    <mergeCell ref="E15:E21"/>
    <mergeCell ref="C22:C27"/>
    <mergeCell ref="D22:D27"/>
    <mergeCell ref="E22:E27"/>
    <mergeCell ref="C9:C14"/>
    <mergeCell ref="D9:D14"/>
    <mergeCell ref="E9:E14"/>
    <mergeCell ref="F9:F14"/>
    <mergeCell ref="U9:U14"/>
    <mergeCell ref="Z9:Z14"/>
    <mergeCell ref="C4:C8"/>
    <mergeCell ref="F4:I5"/>
    <mergeCell ref="J4:J5"/>
    <mergeCell ref="U4:U5"/>
    <mergeCell ref="Z4:Z8"/>
    <mergeCell ref="J6:J8"/>
  </mergeCells>
  <hyperlinks>
    <hyperlink ref="J32" r:id="rId1" display="http://blibli.com/" xr:uid="{43862966-870A-4884-8770-76F9D1A61D91}"/>
    <hyperlink ref="D68" r:id="rId2" display="D:\display\~yordy" xr:uid="{FC6C08C7-7D41-4701-875E-90DF9671E8B7}"/>
    <hyperlink ref="D70" r:id="rId3" display="D:\display\~michelle.gunawan" xr:uid="{841E1602-CC48-4D52-BEE9-847EF14A7FB3}"/>
    <hyperlink ref="D72" r:id="rId4" display="D:\display\~irene.k.d.saputro" xr:uid="{FC513578-2B0B-4699-A99C-D194662FEEEB}"/>
    <hyperlink ref="D74" r:id="rId5" display="D:\display\~arif.riyanto" xr:uid="{A35E4B3A-EBD7-470A-9D54-001F3F30DDCB}"/>
    <hyperlink ref="D75" r:id="rId6" display="D:\display\~agus.tryono" xr:uid="{59DD4329-C481-4D6F-9BFB-CE89E5D026D9}"/>
    <hyperlink ref="D77" r:id="rId7" display="D:\display\~wahyudi1" xr:uid="{99708D92-406D-415A-91A4-FFC3DDBCAE22}"/>
    <hyperlink ref="D79" r:id="rId8" display="D:\display\~muhammad.sudibjo" xr:uid="{3087765A-F736-4375-87AC-1E444870CF3B}"/>
    <hyperlink ref="D81" r:id="rId9" display="D:\display\~arliandi.arifin" xr:uid="{B8760E07-B3BD-4108-86B9-88AA6A9BDE11}"/>
    <hyperlink ref="D82" r:id="rId10" display="D:\display\~verencia.permatasari" xr:uid="{0FCE51CC-9E43-474E-AD1E-67B31360FA0B}"/>
    <hyperlink ref="D84" r:id="rId11" display="D:\display\~sherly.setiawan" xr:uid="{D385A14E-1FB5-4103-814A-7988A116E966}"/>
    <hyperlink ref="D86" r:id="rId12" display="D:\display\~titis.e.krisnanda" xr:uid="{F24EBE6C-26F1-476B-BFF7-6221BF95DB96}"/>
    <hyperlink ref="D87" r:id="rId13" display="D:\display\~adi.kharisma" xr:uid="{D8EE3FC7-AD79-46BB-83AC-6AD48D97900D}"/>
    <hyperlink ref="D89" r:id="rId14" display="D:\display\~satrio.g.wibiseno" xr:uid="{6CA52778-218B-4031-BCB6-A4975D545B0E}"/>
    <hyperlink ref="D91" r:id="rId15" display="D:\display\~yosep.andi" xr:uid="{F109158D-6DA8-424A-AE0E-CD1921368F9B}"/>
    <hyperlink ref="D93" r:id="rId16" display="D:\display\~raimi.noor" xr:uid="{44984444-8DBE-4367-B170-397D06AFF50F}"/>
    <hyperlink ref="D138" r:id="rId17" display="D:\display\~dearni" xr:uid="{A95402C6-A725-436F-B17D-22F3FDB0DE0F}"/>
    <hyperlink ref="D139" r:id="rId18" display="D:\display\~kamal.adhiwira" xr:uid="{A27491EB-B424-42C0-BABC-D09F0E96C891}"/>
    <hyperlink ref="D140" r:id="rId19" display="D:\display\~daniel.lumbatoruan" xr:uid="{A30D241F-A055-49D0-AB20-47748AAF29EB}"/>
    <hyperlink ref="D141" r:id="rId20" display="D:\display\~daniel.lumbatoruan" xr:uid="{0B363DD2-2385-40AC-BCD9-B785714DCD1B}"/>
    <hyperlink ref="D143" r:id="rId21" display="D:\download\attachments\19446415\FPC Before CS Team.xlsx?version=3&amp;modificationDate=1473843222692&amp;api=v2" xr:uid="{9DC0AC80-771E-46B1-99B6-3930FED9E7A8}"/>
    <hyperlink ref="U154" r:id="rId22" display="D:\download\attachments\19446415\FPC CS Team.xlsx?version=1&amp;modificationDate=1474276697115&amp;api=v2" xr:uid="{8FE29453-0C90-4FAF-B02D-E3E002EA1034}"/>
    <hyperlink ref="D160" r:id="rId23" display="D:\download\attachments\19446415\FPC before (SQM) KAIZEN II.xlsx?version=2&amp;modificationDate=1473738791209&amp;api=v2" xr:uid="{B116307C-B966-46F6-ACB4-5012047C5AFC}"/>
    <hyperlink ref="U163" r:id="rId24" display="D:\download\attachments\19446415\FPC After (SQM) KAIZEN II.xlsx?version=1&amp;modificationDate=1474253201439&amp;api=v2" xr:uid="{3F523BF2-3EDA-4D09-92B4-58CF125747FD}"/>
    <hyperlink ref="D168" r:id="rId25" display="D:\display\~gusti.intan" xr:uid="{A12D1E04-443E-40D3-BC09-ED230BFDD2EB}"/>
    <hyperlink ref="D170" r:id="rId26" display="D:\display\~livia.karwita" xr:uid="{CA3ECA9D-0C7A-47F0-BE9C-4B9D9E86D531}"/>
    <hyperlink ref="D172" r:id="rId27" display="D:\display\~santiasih" xr:uid="{F98055F1-8D30-48F4-97AB-B2E94E0B76E7}"/>
    <hyperlink ref="D174" r:id="rId28" display="D:\display\~vina.v.kusuma" xr:uid="{14DD1340-DD48-4FFD-9EF9-598AC4DB2BE5}"/>
    <hyperlink ref="G169" r:id="rId29" display="D:\download\attachments\19446415\FPC Before_CXA.xlsx?version=1&amp;modificationDate=1474449596170&amp;api=v2" xr:uid="{6177844B-2C82-4BAA-BC15-7403304D9DE1}"/>
    <hyperlink ref="U170" r:id="rId30" display="D:\download\attachments\19446415\FPC After_CXA.xlsx?version=2&amp;modificationDate=1474449596096&amp;api=v2" xr:uid="{83B4AE58-0F30-4705-9B98-00060728E511}"/>
    <hyperlink ref="D175" r:id="rId31" display="D:\display\~randy.hazemi" xr:uid="{93EE04E3-D465-474C-B9B5-02608656DE60}"/>
    <hyperlink ref="D177" r:id="rId32" display="D:\display\~ridha.ghassini" xr:uid="{FA65B709-5825-43C7-B1EB-7DCC91A1384A}"/>
    <hyperlink ref="D179" r:id="rId33" display="D:\display\~vania.hadisurya" xr:uid="{F53B0B48-8F89-4F3E-B952-0020274908E1}"/>
    <hyperlink ref="D185" r:id="rId34" display="D:\download\attachments\19446415\FPC After.xlsx?version=2&amp;modificationDate=1476684126304&amp;api=v2" xr:uid="{69B28807-43F4-4529-976A-2D7F0926457D}"/>
    <hyperlink ref="D187" r:id="rId35" display="D:\download\attachments\19446415\FPC Before.xlsx?version=3&amp;modificationDate=1476684126430&amp;api=v2" xr:uid="{6E93F2CF-71C0-42AD-B798-8AF8AA5369B1}"/>
    <hyperlink ref="D191" r:id="rId36" display="D:\download\attachments\19446415\PPT Kaizen Partner Relation.ppt?version=2&amp;modificationDate=1476684150794&amp;api=v2" xr:uid="{D9CA609D-6739-4BAF-9A05-C0E617F8D598}"/>
    <hyperlink ref="D192" r:id="rId37" display="D:\display\~andi.kusniawan" xr:uid="{BEF70364-7BB8-4589-B2E6-A863A0822502}"/>
    <hyperlink ref="D194" r:id="rId38" display="D:\display\~peter.m.leonardy" xr:uid="{693519A7-D890-44E5-9D37-977FF6F73243}"/>
    <hyperlink ref="D196" r:id="rId39" display="D:\display\~stevie.prayudi" xr:uid="{5018B359-5052-4E22-B330-2DED98474A1E}"/>
    <hyperlink ref="D202" r:id="rId40" display="D:\download\attachments\19446415\FPC Before Kaizen Periode 2_RM.xlsx?version=4&amp;modificationDate=1474534651651&amp;api=v2" xr:uid="{448C3857-053F-4140-B5DA-2670A71A2CA4}"/>
    <hyperlink ref="D204" r:id="rId41" display="D:\download\attachments\19446415\FPC After Kaizen Periode 2_RM.xlsx?version=1&amp;modificationDate=1474616305172&amp;api=v2" xr:uid="{8CA637AE-FE2F-434B-AC3D-8FB3BDEEC22D}"/>
    <hyperlink ref="U198" r:id="rId42" display="D:\download\attachments\19446415\FPC After Kaizen Periode 2.xlsx?version=3&amp;modificationDate=1474536058709&amp;api=v2" xr:uid="{64B392F8-5BF5-4449-8E2F-C14A7CC6747D}"/>
    <hyperlink ref="D205" r:id="rId43" display="D:\display\~endang.cendaningrum" xr:uid="{A5D47945-2EBA-4B44-A9E2-0941CB595150}"/>
    <hyperlink ref="D207" r:id="rId44" display="D:\display\~joudy.m.arifin" xr:uid="{36C18DF8-0CAA-444B-9182-78DFE3ED7B30}"/>
    <hyperlink ref="D209" r:id="rId45" display="D:\display\~dina.anggraini" xr:uid="{AEC6E3C9-7BF2-4800-8A14-C37A2CB9DB13}"/>
    <hyperlink ref="D211" r:id="rId46" display="D:\display\~yuni.widiasih" xr:uid="{58CC721D-C791-451D-8A69-A6679E1BFB0B}"/>
    <hyperlink ref="D216" r:id="rId47" display="D:\display\~annissa.m.k.daulay" xr:uid="{51E0A206-E672-474A-BA65-F79B467669EE}"/>
    <hyperlink ref="D218" r:id="rId48" display="D:\display\~linda.rachmawati" xr:uid="{13411D4B-8C9F-440D-BCB7-BA066BF08DCC}"/>
    <hyperlink ref="D220" r:id="rId49" display="D:\display\~ruliansyah.maradona" xr:uid="{2E2321AF-7968-4B3F-BCDE-87693410C3C9}"/>
    <hyperlink ref="D222" r:id="rId50" display="D:\display\~dewi.sukmawati" xr:uid="{2288F603-DC93-4E20-9BDB-E8BD03D817FB}"/>
    <hyperlink ref="D223" r:id="rId51" display="D:\display\~saras.k.dewi" xr:uid="{A6818951-26B5-4E84-95F7-ED2315FF9501}"/>
    <hyperlink ref="D225" r:id="rId52" display="D:\display\~arifiana.oktavia" xr:uid="{31495FD1-2BFC-44CE-82E6-35E4F3517BA6}"/>
    <hyperlink ref="D227" r:id="rId53" display="D:\display\~ridwan.handoko" xr:uid="{E073E063-23D2-423F-AE0B-657692651D3D}"/>
    <hyperlink ref="D229" r:id="rId54" display="D:\display\~mahpudin" xr:uid="{AC1F70C5-D3E2-479A-BA6A-BC2580945B50}"/>
    <hyperlink ref="D231" r:id="rId55" display="D:\display\~deniza.anggia" xr:uid="{39BEB640-2F60-4089-860D-72D28D82EA5D}"/>
    <hyperlink ref="D233" r:id="rId56" display="D:\download\attachments\19446415\PDCA Report (A4)-II CR.xlsx?version=4&amp;modificationDate=1474624696824&amp;api=v2" xr:uid="{B9BC68BF-7D02-453A-AB3F-00AA6A50D7A5}"/>
    <hyperlink ref="U228" r:id="rId57" display="D:\download\attachments\19446415\PDCA Report (A4)-II CR.xlsx?version=4&amp;modificationDate=1474624696824&amp;api=v2" xr:uid="{A0D36AF1-4D88-45E9-9AE6-93BB92D2F640}"/>
    <hyperlink ref="D236" r:id="rId58" display="D:\display\~bryant.mandrawa" xr:uid="{7592286F-E734-4D53-BDEC-758D210377D5}"/>
    <hyperlink ref="D238" r:id="rId59" display="D:\display\~adam.kris" xr:uid="{3CB4402A-AC8C-4E9A-8460-95D410DE55CC}"/>
    <hyperlink ref="D240" r:id="rId60" display="D:\display\~lindo.h.sandi" xr:uid="{E39FD5BA-7C2F-4EDB-AB92-5453B986004C}"/>
    <hyperlink ref="D261" r:id="rId61" display="D:\display\~rangga.dhamaswara" xr:uid="{D8FBEAE9-F194-460C-807C-1E21377A76C2}"/>
    <hyperlink ref="D263" r:id="rId62" display="D:\display\~refa.siregar" xr:uid="{7DEA26FE-6888-44EF-BB45-4C6644B77098}"/>
    <hyperlink ref="D265" r:id="rId63" display="D:\display\~anton.basri" xr:uid="{A3ABA539-CF13-4617-8E8B-09905D3087F3}"/>
    <hyperlink ref="D267" r:id="rId64" display="D:\display\~intan.d.sihombing" xr:uid="{58505143-4206-494A-B9E2-F2D770B60553}"/>
    <hyperlink ref="G265" r:id="rId65" display="D:\download\attachments\19446415\Kaizen 2 PDCA Report.xlsx?version=1&amp;modificationDate=1473741274912&amp;api=v2" xr:uid="{48D94BBA-0284-4BBB-AC54-6600C5902AEE}"/>
    <hyperlink ref="U265" r:id="rId66" display="D:\download\attachments\19446415\Kaizen 1 PDCA Report as 19 Sept 2016.xlsx?version=2&amp;modificationDate=1474257100564&amp;api=v2" xr:uid="{FD8873C7-A3FE-4BF8-9F6A-864DE18D7C2B}"/>
    <hyperlink ref="D276" r:id="rId67" display="D:\display\~titis.e.krisnanda" xr:uid="{E5CDE29E-87A1-46BC-B71B-636EB096AF10}"/>
    <hyperlink ref="D278" r:id="rId68" display="D:\display\~sherly.setiawan" xr:uid="{67208F4C-21EA-49A9-BBF3-19712F2CD91C}"/>
    <hyperlink ref="D280" r:id="rId69" display="D:\display\~lusyana.wijaya" xr:uid="{93E0DB11-43B8-4D63-AA22-5A58EC835F57}"/>
    <hyperlink ref="D296" r:id="rId70" display="D:\display\~ronny.a.mutter" xr:uid="{2588E4DF-DD17-4F2A-AA98-8ED59D8B6665}"/>
    <hyperlink ref="D298" r:id="rId71" display="D:\display\~rommy.p.gazali" xr:uid="{C264AB91-B111-45E6-B7CA-03D36AF38AB0}"/>
    <hyperlink ref="D300" r:id="rId72" display="D:\display\~piping.christiawan" xr:uid="{59A9464F-824E-4F3F-A0B7-5A10F31471C5}"/>
    <hyperlink ref="D302" r:id="rId73" display="D:\display\~satrio.g.wibiseno" xr:uid="{179ECC47-E5CC-4246-9FCE-39BAB4F7261B}"/>
    <hyperlink ref="D304" r:id="rId74" display="D:\download\attachments\19446415\Kaizen II - Arrange Inbound supplier schedule.v01.xlsx?version=1&amp;modificationDate=1474511492128&amp;api=v2" xr:uid="{465424C4-ABD8-442A-9DE7-46A6DD1C6ED2}"/>
    <hyperlink ref="D315" r:id="rId75" display="D:\display\~bambang.e.rahardjo" xr:uid="{4C3E4F44-0903-4808-8969-3DE6C1006593}"/>
    <hyperlink ref="D317" r:id="rId76" display="D:\display\~tri.s.wibowo" xr:uid="{3358570F-5AEA-4BA0-8FB1-BC039BBE89EA}"/>
    <hyperlink ref="D319" r:id="rId77" display="D:\display\~muhammad.rizki.g" xr:uid="{89344E13-6C83-4FA3-A82F-A51905C3482F}"/>
    <hyperlink ref="D321" r:id="rId78" display="D:\display\~ramadian.purnama" xr:uid="{BD948615-FEE0-40D6-8991-197E95D545DA}"/>
    <hyperlink ref="D329" r:id="rId79" display="D:\download\attachments\19446415\scBundling.xlsx?version=1&amp;modificationDate=1473742103040&amp;api=v2" xr:uid="{8B1B55A1-8605-4857-AC98-5E3605285C08}"/>
    <hyperlink ref="U317" r:id="rId80" display="D:\download\attachments\19446415\DataAfterKaizen.xlsx?version=1&amp;modificationDate=1474019996873&amp;api=v2" xr:uid="{35C6F004-4747-4F8B-8FA7-5346413A1B15}"/>
    <hyperlink ref="D334" r:id="rId81" display="D:\download\attachments\19446415\PDCA Report (A4) - Periode 02 - Agustus 2016.xlsx?version=1&amp;modificationDate=1473905316729&amp;api=v2" xr:uid="{32BE05BD-E7A8-4831-A605-B72A90DEF37B}"/>
    <hyperlink ref="U330" r:id="rId82" display="D:\download\attachments\19446415\PDCA Report (A4) - Periode 02 - Agustus 2016b.bayu.xlsx?version=1&amp;modificationDate=1474259659630&amp;api=v2" xr:uid="{25F91942-512C-458E-8D5D-770D27181D4B}"/>
    <hyperlink ref="D362" r:id="rId83" display="D:\download\attachments\19446415\PDCA Report (A4) PIR II.xlsx?version=4&amp;modificationDate=1474259225817&amp;api=v2" xr:uid="{0F3BF4A8-8684-483A-AD3F-93D9E1FE5606}"/>
    <hyperlink ref="D369" r:id="rId84" display="D:\display\~jiswel.eral" xr:uid="{2B24AE21-A489-483A-92D2-38A3A1035318}"/>
    <hyperlink ref="D370" r:id="rId85" display="D:\display\~alvin.juliansyah" xr:uid="{7E9B396B-BAB6-484D-8AC9-24E965BD4788}"/>
    <hyperlink ref="D372" r:id="rId86" display="D:\display\~dearni" xr:uid="{28FF7E24-F506-4528-881D-8B575C6D2ADE}"/>
    <hyperlink ref="E369" r:id="rId87" display="D:\download\attachments\19693843\FPC Before CS Team.xlsx?version=5&amp;modificationDate=1477044196759&amp;api=v2" xr:uid="{0ABE19C6-0D0F-4B8D-A1FB-90F18D92424E}"/>
    <hyperlink ref="U370" r:id="rId88" display="D:\download\attachments\19693843\FPC After CS Team.xlsx?version=2&amp;modificationDate=1477044224764&amp;api=v2" xr:uid="{0F9A7E8E-1993-4B4F-A313-A30B4485B82F}"/>
    <hyperlink ref="D382" r:id="rId89" display="D:\display\~eka.sriningsih" xr:uid="{94B999ED-6A77-47B3-91AC-2F880099991D}"/>
    <hyperlink ref="D384" r:id="rId90" display="D:\display\~mei.f.handayani" xr:uid="{5122B69E-78A5-4F84-8A4A-467461094BF3}"/>
    <hyperlink ref="D386" r:id="rId91" display="D:\display\~lita.adhitia" xr:uid="{FCC4AC9D-C387-4D75-AEE0-2FE76119C3A5}"/>
    <hyperlink ref="D388" r:id="rId92" display="D:\display\~hendri.volta" xr:uid="{0F7B285A-2B49-4D3E-9E9E-B578A4C694A8}"/>
    <hyperlink ref="E382" r:id="rId93" display="D:\download\attachments\19693843\FPC before (SQM) KAIZEN III.xlsx?version=1&amp;modificationDate=1475219942270&amp;api=v2" xr:uid="{D4491974-9AC5-4A60-AB6F-37FAF600CFD9}"/>
    <hyperlink ref="D389" r:id="rId94" display="D:\display\~elbert.lukman" xr:uid="{4D39E8D6-8391-42DF-A379-3331B0F510C0}"/>
    <hyperlink ref="D391" r:id="rId95" display="D:\display\~livia.karwita" xr:uid="{A62D86D5-6626-4D61-BC69-23878324C34B}"/>
    <hyperlink ref="D393" r:id="rId96" display="D:\display\~santiasih" xr:uid="{C8BEC4ED-4F8E-43B5-B30D-2F2068ED5D6F}"/>
    <hyperlink ref="D394" r:id="rId97" display="D:\display\~intan.p.hartono" xr:uid="{56EB205C-4AAA-4A01-8C43-88B5A4B422F1}"/>
    <hyperlink ref="D396" r:id="rId98" display="D:\display\~wulan.utami" xr:uid="{63FB8162-4B37-462D-B355-12B390F43922}"/>
    <hyperlink ref="D398" r:id="rId99" display="D:\display\~lois.amilia" xr:uid="{797A4EB4-E6B2-4C7C-837A-85EA8B91E6E0}"/>
    <hyperlink ref="D400" r:id="rId100" display="D:\display\~charles" xr:uid="{B6FD9F61-6E5B-4167-A825-27ECBCB5B99F}"/>
    <hyperlink ref="D403" r:id="rId101" display="D:\display\~stevie.prayudi" xr:uid="{15AB3610-F861-4700-A5FD-DD9C13E2E065}"/>
    <hyperlink ref="D405" r:id="rId102" display="D:\display\~andi.kusniawan" xr:uid="{365B21CF-4A27-431D-A4E2-736D7154F834}"/>
    <hyperlink ref="D407" r:id="rId103" display="D:\display\~dwina.m.christy" xr:uid="{BF223359-1881-44D3-BC83-9756CC79A57E}"/>
    <hyperlink ref="E403" r:id="rId104" display="D:\download\attachments\19693843\FPC Before Kaizen Periode 3_RM.xlsx?version=2&amp;modificationDate=1475222817049&amp;api=v2" xr:uid="{9B2AD858-B6EB-425E-85DA-B03493FC6180}"/>
    <hyperlink ref="U405" r:id="rId105" display="D:\download\attachments\19693843\FPC After Kaizen Periode 3_RM.xlsx?version=1&amp;modificationDate=1476430341452&amp;api=v2" xr:uid="{E3085710-6257-4B8B-BDF8-358B9964E506}"/>
    <hyperlink ref="D410" r:id="rId106" display="D:\display\~yuli.astutik" xr:uid="{83335D30-55D6-4758-BB07-4F879F792541}"/>
    <hyperlink ref="D412" r:id="rId107" display="D:\display\~linda.rachmawati" xr:uid="{9F83E41A-A614-40DB-8727-0AE531B56FC0}"/>
    <hyperlink ref="D414" r:id="rId108" display="D:\display\~arifiana.oktavia" xr:uid="{C965B6C0-755D-471C-A09D-A0C5E8AD8800}"/>
    <hyperlink ref="D416" r:id="rId109" display="D:\display\~dina.anggraini" xr:uid="{CC1578CD-6F04-4385-8F35-CE0F70BC9559}"/>
    <hyperlink ref="D418" r:id="rId110" display="D:\display\~mahpudin" xr:uid="{4EF1E468-5D4A-4132-801A-01EBCC5E6B19}"/>
    <hyperlink ref="D421" r:id="rId111" display="D:\display\~joudy.m.arifin" xr:uid="{FE9D2759-9777-4BC5-8892-A6A3DEFF8008}"/>
    <hyperlink ref="D423" r:id="rId112" display="D:\display\~gabriela.kefina" xr:uid="{26FD9B7C-78FB-472D-9E72-842AD8823760}"/>
    <hyperlink ref="D425" r:id="rId113" display="D:\display\~ruliansyah.maradona" xr:uid="{2376D774-2574-4AAA-AA4C-BCBE4CE0AF18}"/>
    <hyperlink ref="D427" r:id="rId114" display="D:\display\~ihsanudin" xr:uid="{6FA07C34-08BE-474D-99A1-A4D94910D340}"/>
    <hyperlink ref="D429" r:id="rId115" display="D:\display\~ihsanudin" xr:uid="{A66EE91B-F9AC-4F87-80AD-890C932892C4}"/>
    <hyperlink ref="E419" r:id="rId116" display="D:\download\attachments\19693843\FPC Before - Team 3.xlsx?version=1&amp;modificationDate=1476685980704&amp;api=v2" xr:uid="{60971272-B272-46CC-ABDC-38A6FD0F8BD4}"/>
    <hyperlink ref="E421" r:id="rId117" display="D:\download\attachments\19693843\FPC After - Team 3.xlsx?version=1&amp;modificationDate=1476685997827&amp;api=v2" xr:uid="{F58A7111-9172-48CA-B8C1-400E65DE18F9}"/>
    <hyperlink ref="D432" r:id="rId118" display="D:\display\~azizah.purwitasari" xr:uid="{5F7BA49C-F3B9-4E32-971A-D69AF9D4F129}"/>
    <hyperlink ref="D434" r:id="rId119" display="D:\display\~saras.k.dewi" xr:uid="{0702E906-9EAB-4A10-9132-F731115EA794}"/>
    <hyperlink ref="D436" r:id="rId120" display="D:\display\~dewi.sukmawati" xr:uid="{2BD9D34B-11CD-4D60-802B-4100F0798D8F}"/>
    <hyperlink ref="D438" r:id="rId121" display="D:\display\~dessita.rahmah" xr:uid="{5ACD240F-5273-4DFB-B058-24A465B38D1D}"/>
    <hyperlink ref="E430" r:id="rId122" display="D:\download\attachments\19693843\PDCA Report (A4)-CR Periode III.xlsx?version=3&amp;modificationDate=1476687031720&amp;api=v2" xr:uid="{F46181C9-D5C1-4929-942C-56E469B761C1}"/>
    <hyperlink ref="D445" r:id="rId123" display="D:\display\~matias.simanungkalit" xr:uid="{964216EE-32EF-4AD6-8240-6DCE6C29DD78}"/>
    <hyperlink ref="D447" r:id="rId124" display="D:\display\~gizella.k.natallia" xr:uid="{FC5FE6A9-FAA1-4ECD-A43B-969562953448}"/>
    <hyperlink ref="D449" r:id="rId125" display="D:\display\~firsty.kartika" xr:uid="{FB96FCA5-7FD7-4D0B-B49B-BEF58059B86B}"/>
    <hyperlink ref="D451" r:id="rId126" display="D:\display\~irene.k.d.saputro" xr:uid="{A7BF8C7C-8B4D-4EB2-A3E6-A9D8708CF704}"/>
    <hyperlink ref="D483" r:id="rId127" display="D:\display\~muhammad.sudibjo" xr:uid="{D36670FE-4F9A-486C-94F5-F2F5FD825A8C}"/>
    <hyperlink ref="D485" r:id="rId128" display="D:\display\~wahyudi1" xr:uid="{A46CD7B3-C45D-4332-A7F3-6F70C7431955}"/>
    <hyperlink ref="D487" r:id="rId129" display="D:\display\~rachel.saragih" xr:uid="{83220E4C-467B-4284-96F6-D7F14BBE708F}"/>
    <hyperlink ref="D489" r:id="rId130" display="D:\display\~lusyana.wijaya" xr:uid="{23149285-E18B-4196-84E6-726D80D0A27F}"/>
    <hyperlink ref="D491" r:id="rId131" display="D:\display\~verencia.permatasari" xr:uid="{CC9C706A-CE18-47AC-84DC-D3132580EC7D}"/>
    <hyperlink ref="D493" r:id="rId132" display="D:\display\~ulfa.m.h.putri" xr:uid="{7A4559E1-F904-4295-9445-8703C6C7E587}"/>
    <hyperlink ref="E489" r:id="rId133" display="D:\download\attachments\19693843\FPC Before Tim Recon Kaizen 3.xlsx?version=1&amp;modificationDate=1475567298081&amp;api=v2" xr:uid="{98B77AAD-4980-4D65-B1A9-A94D1BBBE92A}"/>
    <hyperlink ref="D505" r:id="rId134" display="D:\display\~adi.kharisma" xr:uid="{3637798C-E2D6-4A94-9061-7F71452CB2B5}"/>
    <hyperlink ref="D507" r:id="rId135" display="D:\display\~ferdi" xr:uid="{0C508C3B-26E0-4957-9FB9-479628ACC961}"/>
    <hyperlink ref="D509" r:id="rId136" display="D:\display\~tri.s.wibowo" xr:uid="{5FA081A5-B90A-4479-91CF-4597578130A6}"/>
    <hyperlink ref="D511" r:id="rId137" display="D:\display\~raimi.noor" xr:uid="{F06E532F-9E4F-4ABB-92C7-DF3D3DA1E789}"/>
    <hyperlink ref="D513" r:id="rId138" display="D:\display\~satrio.g.wibiseno" xr:uid="{621B52B8-799E-4B31-BE85-A279B6FD1A48}"/>
    <hyperlink ref="E505" r:id="rId139" display="D:\download\attachments\19693843\Kaizen III - Reduce supplier waiting time when pickup RTV Product .v00.xlsx?version=3&amp;modificationDate=1475828557284&amp;api=v2" xr:uid="{0552D9FD-FC5B-4197-8E80-8D375BC1F12E}"/>
    <hyperlink ref="D514" r:id="rId140" display="D:\display\~bambang.e.rahardjo" xr:uid="{0995DF39-D07A-4FC7-8FE6-2F503C990777}"/>
    <hyperlink ref="D516" r:id="rId141" display="D:\display\~piping.christiawan" xr:uid="{C994E065-CD59-4262-8E2C-25FDD4DDD8AD}"/>
    <hyperlink ref="D518" r:id="rId142" display="D:\display\~rommy.p.gazali" xr:uid="{485EC3A7-9175-41C0-A231-6E52975F339C}"/>
    <hyperlink ref="D520" r:id="rId143" display="D:\display\~ronny.a.mutter" xr:uid="{C7F14508-5E5D-4660-B8DC-649019DCF5D5}"/>
    <hyperlink ref="D522" r:id="rId144" display="D:\display\~muhammad.rizki.g" xr:uid="{D101350C-0525-4B39-B641-B5F030839D8C}"/>
    <hyperlink ref="E514" r:id="rId145" display="D:\download\attachments\19693843\Kaizen III - Improve  Inbound Put-away Process .v00.xlsx?version=2&amp;modificationDate=1475828594381&amp;api=v2" xr:uid="{00ED3462-FCCB-4A3D-A11A-1072448411D4}"/>
    <hyperlink ref="D533" r:id="rId146" display="D:\display\~ervien.suseno" xr:uid="{5F74D6A2-B953-4F01-8F17-CD058DFA96E9}"/>
    <hyperlink ref="D535" r:id="rId147" display="D:\display\~aditia" xr:uid="{91945567-A5FC-4EFE-B77B-CB8E266BE19D}"/>
    <hyperlink ref="D542" r:id="rId148" display="D:\display\~ferdhianto.ibnugroho" xr:uid="{DF87B725-4453-4A1E-96A0-ED9C4AB2991D}"/>
    <hyperlink ref="D544" r:id="rId149" display="D:\display\~romayudin" xr:uid="{D5A1405B-A50B-469E-A49A-DA049A3B038F}"/>
    <hyperlink ref="D546" r:id="rId150" display="D:\display\~udi.suardi" xr:uid="{E41132C0-41AD-4896-A652-61D6C6AD4222}"/>
    <hyperlink ref="D548" r:id="rId151" display="D:\display\~seteven.chandra" xr:uid="{2F9B7C20-B86A-496D-93D1-6777862BE13F}"/>
    <hyperlink ref="D553" r:id="rId152" display="D:\display\~chaiyren.o.herman" xr:uid="{30A5A6DF-3F70-411B-AD9A-B87368D0F98D}"/>
    <hyperlink ref="D555" r:id="rId153" display="D:\display\~handoko.widodo" xr:uid="{A06030A2-C2B6-4811-86A1-656E03C21117}"/>
    <hyperlink ref="D557" r:id="rId154" display="D:\display\~martinus.andry" xr:uid="{9FC48113-93C8-4D58-8AD5-1E48913AD2AC}"/>
    <hyperlink ref="D559" r:id="rId155" display="D:\display\~ignacia.c.irawan" xr:uid="{C808B269-6A4C-45C4-97D4-A93A1EA17CB7}"/>
    <hyperlink ref="D560" r:id="rId156" display="D:\display\~dominik.laurus" xr:uid="{2986673F-160C-4599-A344-B346DFA8E17B}"/>
    <hyperlink ref="D562" r:id="rId157" display="D:\display\~ian.anggono" xr:uid="{F1E0744E-50CE-4F0C-AE6F-E91F20AA7C55}"/>
    <hyperlink ref="D564" r:id="rId158" display="D:\display\~anna.m.jessica" xr:uid="{D8ABFAB9-51A2-4F46-8420-23BBF4422930}"/>
    <hyperlink ref="E560" r:id="rId159" display="D:\download\attachments\19693843\Kaizen Presentation Periode III.pptx?version=1&amp;modificationDate=1477026822516&amp;api=v2" xr:uid="{64925BF3-F93B-423C-AC16-0FA8A374C84E}"/>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A8643-0589-420F-BA68-7D47B55336E7}">
  <sheetPr>
    <pageSetUpPr fitToPage="1"/>
  </sheetPr>
  <dimension ref="A1:AJ202"/>
  <sheetViews>
    <sheetView zoomScale="70" zoomScaleNormal="70" workbookViewId="0">
      <pane xSplit="4" ySplit="2" topLeftCell="E3" activePane="bottomRight" state="frozen"/>
      <selection pane="bottomRight"/>
      <selection pane="bottomLeft" activeCell="A2" sqref="A2"/>
      <selection pane="topRight" activeCell="E1" sqref="E1"/>
    </sheetView>
  </sheetViews>
  <sheetFormatPr defaultRowHeight="15" outlineLevelCol="1"/>
  <cols>
    <col min="1" max="1" width="4.85546875" style="170" bestFit="1" customWidth="1"/>
    <col min="2" max="2" width="8.140625" style="170" customWidth="1"/>
    <col min="3" max="3" width="10.85546875" style="170" customWidth="1"/>
    <col min="4" max="4" width="12.42578125" style="170" customWidth="1"/>
    <col min="5" max="6" width="50.28515625" style="170" customWidth="1"/>
    <col min="7" max="7" width="64.42578125" style="170" customWidth="1"/>
    <col min="8" max="9" width="46.28515625" style="170" customWidth="1"/>
    <col min="10" max="10" width="57.140625" style="170" customWidth="1"/>
    <col min="11" max="11" width="64" style="170" customWidth="1"/>
    <col min="12" max="13" width="47.28515625" style="171" customWidth="1"/>
    <col min="14" max="14" width="17.28515625" style="170" customWidth="1"/>
    <col min="15" max="15" width="17.140625" style="170" customWidth="1"/>
    <col min="16" max="16" width="15.42578125" style="170" customWidth="1"/>
    <col min="17" max="17" width="17.42578125" style="170" customWidth="1"/>
    <col min="18" max="18" width="14.85546875" style="170" customWidth="1"/>
    <col min="19" max="19" width="21.42578125" style="172" customWidth="1" outlineLevel="1"/>
    <col min="20" max="20" width="12.85546875" style="170" hidden="1" customWidth="1" outlineLevel="1"/>
    <col min="21" max="30" width="21.42578125" style="170" hidden="1" customWidth="1" outlineLevel="1"/>
    <col min="31" max="31" width="13.140625" style="170" hidden="1" customWidth="1" outlineLevel="1"/>
    <col min="32" max="32" width="9.140625" style="170" hidden="1" customWidth="1"/>
    <col min="33" max="33" width="18.5703125" style="170" bestFit="1" customWidth="1"/>
    <col min="34" max="16384" width="9.140625" style="170"/>
  </cols>
  <sheetData>
    <row r="1" spans="1:36" customFormat="1">
      <c r="L1" s="129"/>
      <c r="M1" s="129"/>
      <c r="S1" s="130"/>
    </row>
    <row r="2" spans="1:36" customFormat="1" ht="30.75">
      <c r="A2" s="131" t="s">
        <v>1330</v>
      </c>
      <c r="B2" s="131" t="s">
        <v>14</v>
      </c>
      <c r="C2" s="131" t="s">
        <v>0</v>
      </c>
      <c r="D2" s="131" t="s">
        <v>1331</v>
      </c>
      <c r="E2" s="131" t="s">
        <v>1332</v>
      </c>
      <c r="F2" s="131" t="s">
        <v>1333</v>
      </c>
      <c r="G2" s="131" t="s">
        <v>1334</v>
      </c>
      <c r="H2" s="131" t="s">
        <v>11</v>
      </c>
      <c r="I2" s="131" t="s">
        <v>1335</v>
      </c>
      <c r="J2" s="131" t="s">
        <v>13</v>
      </c>
      <c r="K2" s="131" t="s">
        <v>1336</v>
      </c>
      <c r="L2" s="131" t="s">
        <v>19</v>
      </c>
      <c r="M2" s="131" t="s">
        <v>1337</v>
      </c>
      <c r="N2" s="131" t="s">
        <v>1338</v>
      </c>
      <c r="O2" s="131" t="s">
        <v>1339</v>
      </c>
      <c r="P2" s="131" t="s">
        <v>1340</v>
      </c>
      <c r="Q2" s="131" t="s">
        <v>1341</v>
      </c>
      <c r="R2" s="131" t="s">
        <v>1342</v>
      </c>
      <c r="S2" s="132" t="s">
        <v>1343</v>
      </c>
      <c r="T2" s="133"/>
      <c r="U2" s="134">
        <v>42794</v>
      </c>
      <c r="V2" s="134">
        <v>42825</v>
      </c>
      <c r="W2" s="134">
        <v>42855</v>
      </c>
      <c r="X2" s="134">
        <v>42886</v>
      </c>
      <c r="Y2" s="134">
        <v>42916</v>
      </c>
      <c r="Z2" s="134">
        <v>42794</v>
      </c>
      <c r="AA2" s="134">
        <v>42825</v>
      </c>
      <c r="AB2" s="134">
        <v>42855</v>
      </c>
      <c r="AC2" s="134">
        <v>42886</v>
      </c>
      <c r="AD2" s="134">
        <v>42916</v>
      </c>
      <c r="AE2" s="133" t="s">
        <v>1344</v>
      </c>
      <c r="AF2" s="135" t="s">
        <v>1345</v>
      </c>
      <c r="AG2" s="131" t="s">
        <v>1346</v>
      </c>
      <c r="AI2" t="s">
        <v>14</v>
      </c>
    </row>
    <row r="3" spans="1:36" s="143" customFormat="1" ht="30.75">
      <c r="A3" s="136">
        <v>1</v>
      </c>
      <c r="B3" s="136">
        <v>1</v>
      </c>
      <c r="C3" s="136" t="s">
        <v>1347</v>
      </c>
      <c r="D3" s="137" t="s">
        <v>1348</v>
      </c>
      <c r="E3" s="137" t="s">
        <v>1349</v>
      </c>
      <c r="F3" s="137"/>
      <c r="G3" s="137"/>
      <c r="H3" s="137" t="s">
        <v>1350</v>
      </c>
      <c r="I3" s="137"/>
      <c r="J3" s="137" t="s">
        <v>1351</v>
      </c>
      <c r="K3" s="137"/>
      <c r="L3" s="137" t="s">
        <v>1352</v>
      </c>
      <c r="M3" s="137"/>
      <c r="N3" s="138">
        <v>0</v>
      </c>
      <c r="O3" s="138">
        <v>2.6666666666666665</v>
      </c>
      <c r="P3" s="138"/>
      <c r="Q3" s="138"/>
      <c r="R3" s="137" t="s">
        <v>1353</v>
      </c>
      <c r="S3" s="139" t="e" vm="1">
        <f>O3*30000+P3+Q3*[2]Summary!$E$9</f>
        <v>#VALUE!</v>
      </c>
      <c r="T3" s="140" t="e">
        <f>HLOOKUP(B3,[2]Summary!$I$1:$XFD$2,2,0)</f>
        <v>#N/A</v>
      </c>
      <c r="U3" s="141">
        <v>1</v>
      </c>
      <c r="V3" s="141">
        <v>1</v>
      </c>
      <c r="W3" s="141"/>
      <c r="X3" s="141"/>
      <c r="Y3" s="141"/>
      <c r="Z3" s="141" t="e">
        <f t="shared" ref="Z3:AD34" si="0">IF(U3=1,MIN(U$2-T3,U$2-T$2),0)</f>
        <v>#N/A</v>
      </c>
      <c r="AA3" s="141">
        <f t="shared" si="0"/>
        <v>31</v>
      </c>
      <c r="AB3" s="141">
        <f t="shared" si="0"/>
        <v>0</v>
      </c>
      <c r="AC3" s="141">
        <f t="shared" si="0"/>
        <v>0</v>
      </c>
      <c r="AD3" s="141">
        <f t="shared" si="0"/>
        <v>0</v>
      </c>
      <c r="AE3" s="142" t="e">
        <f t="shared" ref="AE3:AE66" si="1">SUM(Z3:AD3)/30*S3</f>
        <v>#N/A</v>
      </c>
      <c r="AF3" s="135">
        <f t="shared" ref="AF3:AF66" si="2">MAX(N3:R3)</f>
        <v>2.6666666666666665</v>
      </c>
      <c r="AG3" s="135"/>
      <c r="AI3" s="143">
        <v>1</v>
      </c>
      <c r="AJ3" s="143">
        <f>COUNTIFS(B:B,AI3,S:S,"&gt;"&amp;0)</f>
        <v>0</v>
      </c>
    </row>
    <row r="4" spans="1:36" s="143" customFormat="1" ht="60.75">
      <c r="A4" s="136">
        <v>2</v>
      </c>
      <c r="B4" s="136">
        <v>1</v>
      </c>
      <c r="C4" s="136" t="s">
        <v>1354</v>
      </c>
      <c r="D4" s="137" t="s">
        <v>1355</v>
      </c>
      <c r="E4" s="137" t="s">
        <v>1356</v>
      </c>
      <c r="F4" s="137"/>
      <c r="G4" s="137"/>
      <c r="H4" s="137" t="s">
        <v>1357</v>
      </c>
      <c r="I4" s="137"/>
      <c r="J4" s="137" t="s">
        <v>1358</v>
      </c>
      <c r="K4" s="137"/>
      <c r="L4" s="137" t="s">
        <v>1359</v>
      </c>
      <c r="M4" s="137"/>
      <c r="N4" s="138">
        <v>0</v>
      </c>
      <c r="O4" s="138">
        <v>2.5833333333333335</v>
      </c>
      <c r="P4" s="138"/>
      <c r="Q4" s="138"/>
      <c r="R4" s="137" t="s">
        <v>1360</v>
      </c>
      <c r="S4" s="139" t="e" vm="1">
        <f>O4*30000+P4+Q4*[2]Summary!$E$9</f>
        <v>#VALUE!</v>
      </c>
      <c r="T4" s="140" t="e">
        <f>HLOOKUP(B4,[2]Summary!$I$1:$XFD$2,2,0)</f>
        <v>#N/A</v>
      </c>
      <c r="U4" s="141">
        <v>1</v>
      </c>
      <c r="V4" s="141">
        <v>1</v>
      </c>
      <c r="W4" s="141"/>
      <c r="X4" s="141"/>
      <c r="Y4" s="141"/>
      <c r="Z4" s="141" t="e">
        <f t="shared" si="0"/>
        <v>#N/A</v>
      </c>
      <c r="AA4" s="141">
        <f t="shared" si="0"/>
        <v>31</v>
      </c>
      <c r="AB4" s="141">
        <f t="shared" si="0"/>
        <v>0</v>
      </c>
      <c r="AC4" s="141">
        <f t="shared" si="0"/>
        <v>0</v>
      </c>
      <c r="AD4" s="141">
        <f t="shared" si="0"/>
        <v>0</v>
      </c>
      <c r="AE4" s="142" t="e">
        <f t="shared" si="1"/>
        <v>#N/A</v>
      </c>
      <c r="AF4" s="135">
        <f t="shared" si="2"/>
        <v>2.5833333333333335</v>
      </c>
      <c r="AG4" s="135"/>
      <c r="AI4">
        <v>2</v>
      </c>
      <c r="AJ4" s="143">
        <f t="shared" ref="AJ4:AJ10" si="3">COUNTIFS(B:B,AI4,S:S,"&gt;"&amp;0)</f>
        <v>0</v>
      </c>
    </row>
    <row r="5" spans="1:36" s="143" customFormat="1" ht="30.75">
      <c r="A5" s="136">
        <v>3</v>
      </c>
      <c r="B5" s="136">
        <v>1</v>
      </c>
      <c r="C5" s="136" t="s">
        <v>456</v>
      </c>
      <c r="D5" s="137" t="s">
        <v>1361</v>
      </c>
      <c r="E5" s="137" t="s">
        <v>1362</v>
      </c>
      <c r="F5" s="137"/>
      <c r="G5" s="137"/>
      <c r="H5" s="137" t="s">
        <v>1363</v>
      </c>
      <c r="I5" s="137"/>
      <c r="J5" s="137" t="s">
        <v>1351</v>
      </c>
      <c r="K5" s="137"/>
      <c r="L5" s="137" t="s">
        <v>1364</v>
      </c>
      <c r="M5" s="137"/>
      <c r="N5" s="138">
        <v>0</v>
      </c>
      <c r="O5" s="138">
        <v>70.968333333333334</v>
      </c>
      <c r="P5" s="138"/>
      <c r="Q5" s="138"/>
      <c r="R5" s="137" t="s">
        <v>1365</v>
      </c>
      <c r="S5" s="144" t="e" vm="1">
        <f>O5*30000+P5+Q5*[2]Summary!$E$9</f>
        <v>#VALUE!</v>
      </c>
      <c r="T5" s="140" t="e">
        <f>HLOOKUP(B5,[2]Summary!$I$1:$XFD$2,2,0)</f>
        <v>#N/A</v>
      </c>
      <c r="U5" s="141">
        <v>1</v>
      </c>
      <c r="V5" s="141">
        <v>1</v>
      </c>
      <c r="W5" s="141"/>
      <c r="X5" s="141"/>
      <c r="Y5" s="141"/>
      <c r="Z5" s="141" t="e">
        <f t="shared" si="0"/>
        <v>#N/A</v>
      </c>
      <c r="AA5" s="141">
        <f t="shared" si="0"/>
        <v>31</v>
      </c>
      <c r="AB5" s="141">
        <f t="shared" si="0"/>
        <v>0</v>
      </c>
      <c r="AC5" s="141">
        <f t="shared" si="0"/>
        <v>0</v>
      </c>
      <c r="AD5" s="141">
        <f t="shared" si="0"/>
        <v>0</v>
      </c>
      <c r="AE5" s="142" t="e">
        <f t="shared" si="1"/>
        <v>#N/A</v>
      </c>
      <c r="AF5" s="135">
        <f t="shared" si="2"/>
        <v>70.968333333333334</v>
      </c>
      <c r="AG5" s="135"/>
      <c r="AI5">
        <v>3</v>
      </c>
      <c r="AJ5" s="143">
        <f t="shared" si="3"/>
        <v>0</v>
      </c>
    </row>
    <row r="6" spans="1:36" s="143" customFormat="1" ht="30.75">
      <c r="A6" s="135">
        <v>4</v>
      </c>
      <c r="B6" s="135">
        <v>1</v>
      </c>
      <c r="C6" s="135" t="s">
        <v>59</v>
      </c>
      <c r="D6" s="145" t="s">
        <v>1366</v>
      </c>
      <c r="E6" s="145" t="s">
        <v>1367</v>
      </c>
      <c r="F6" s="137"/>
      <c r="G6" s="137"/>
      <c r="H6" s="137" t="s">
        <v>1368</v>
      </c>
      <c r="I6" s="137"/>
      <c r="J6" s="137" t="s">
        <v>1369</v>
      </c>
      <c r="K6" s="137"/>
      <c r="L6" s="137" t="s">
        <v>1370</v>
      </c>
      <c r="M6" s="137"/>
      <c r="N6" s="138">
        <v>0</v>
      </c>
      <c r="O6" s="138">
        <v>4.4411111111111108</v>
      </c>
      <c r="P6" s="138"/>
      <c r="Q6" s="138"/>
      <c r="R6" s="137" t="s">
        <v>1371</v>
      </c>
      <c r="S6" s="139" t="e" vm="1">
        <f>O6*30000+P6+Q6*[2]Summary!$E$9</f>
        <v>#VALUE!</v>
      </c>
      <c r="T6" s="140" t="e">
        <f>HLOOKUP(B6,[2]Summary!$I$1:$XFD$2,2,0)</f>
        <v>#N/A</v>
      </c>
      <c r="U6" s="141">
        <v>1</v>
      </c>
      <c r="V6" s="141">
        <v>1</v>
      </c>
      <c r="W6" s="141"/>
      <c r="X6" s="141"/>
      <c r="Y6" s="141"/>
      <c r="Z6" s="141" t="e">
        <f t="shared" si="0"/>
        <v>#N/A</v>
      </c>
      <c r="AA6" s="141">
        <f t="shared" si="0"/>
        <v>31</v>
      </c>
      <c r="AB6" s="141">
        <f t="shared" si="0"/>
        <v>0</v>
      </c>
      <c r="AC6" s="141">
        <f t="shared" si="0"/>
        <v>0</v>
      </c>
      <c r="AD6" s="141">
        <f t="shared" si="0"/>
        <v>0</v>
      </c>
      <c r="AE6" s="142" t="e">
        <f t="shared" si="1"/>
        <v>#N/A</v>
      </c>
      <c r="AF6" s="135">
        <f t="shared" si="2"/>
        <v>4.4411111111111108</v>
      </c>
      <c r="AG6" s="135" t="s">
        <v>1372</v>
      </c>
      <c r="AI6">
        <v>4</v>
      </c>
      <c r="AJ6" s="143">
        <f t="shared" si="3"/>
        <v>0</v>
      </c>
    </row>
    <row r="7" spans="1:36" s="143" customFormat="1" ht="60.75">
      <c r="A7" s="136">
        <v>5</v>
      </c>
      <c r="B7" s="136">
        <v>1</v>
      </c>
      <c r="C7" s="136" t="s">
        <v>1373</v>
      </c>
      <c r="D7" s="137" t="s">
        <v>1374</v>
      </c>
      <c r="E7" s="137" t="s">
        <v>1375</v>
      </c>
      <c r="F7" s="137"/>
      <c r="G7" s="137"/>
      <c r="H7" s="137" t="s">
        <v>1376</v>
      </c>
      <c r="I7" s="137"/>
      <c r="J7" s="137" t="s">
        <v>1351</v>
      </c>
      <c r="K7" s="137"/>
      <c r="L7" s="137" t="s">
        <v>1377</v>
      </c>
      <c r="M7" s="137"/>
      <c r="N7" s="138">
        <v>5.6</v>
      </c>
      <c r="O7" s="138">
        <v>0</v>
      </c>
      <c r="P7" s="138"/>
      <c r="Q7" s="138"/>
      <c r="R7" s="137" t="s">
        <v>1378</v>
      </c>
      <c r="S7" s="139" t="e" vm="1">
        <f>O7*30000+P7+Q7*[2]Summary!$E$9</f>
        <v>#VALUE!</v>
      </c>
      <c r="T7" s="140" t="e">
        <f>HLOOKUP(B7,[2]Summary!$I$1:$XFD$2,2,0)</f>
        <v>#N/A</v>
      </c>
      <c r="U7" s="141">
        <v>1</v>
      </c>
      <c r="V7" s="141">
        <v>1</v>
      </c>
      <c r="W7" s="141"/>
      <c r="X7" s="141"/>
      <c r="Y7" s="141"/>
      <c r="Z7" s="141" t="e">
        <f t="shared" si="0"/>
        <v>#N/A</v>
      </c>
      <c r="AA7" s="141">
        <f t="shared" si="0"/>
        <v>31</v>
      </c>
      <c r="AB7" s="141">
        <f t="shared" si="0"/>
        <v>0</v>
      </c>
      <c r="AC7" s="141">
        <f t="shared" si="0"/>
        <v>0</v>
      </c>
      <c r="AD7" s="141">
        <f t="shared" si="0"/>
        <v>0</v>
      </c>
      <c r="AE7" s="142" t="e">
        <f t="shared" si="1"/>
        <v>#N/A</v>
      </c>
      <c r="AF7" s="135">
        <f t="shared" si="2"/>
        <v>5.6</v>
      </c>
      <c r="AG7" s="135"/>
      <c r="AI7">
        <v>5</v>
      </c>
      <c r="AJ7" s="143">
        <f t="shared" si="3"/>
        <v>0</v>
      </c>
    </row>
    <row r="8" spans="1:36" s="143" customFormat="1" ht="45.75">
      <c r="A8" s="136">
        <v>6</v>
      </c>
      <c r="B8" s="136">
        <v>1</v>
      </c>
      <c r="C8" s="136" t="s">
        <v>94</v>
      </c>
      <c r="D8" s="137" t="s">
        <v>1379</v>
      </c>
      <c r="E8" s="137" t="s">
        <v>1380</v>
      </c>
      <c r="F8" s="137"/>
      <c r="G8" s="137"/>
      <c r="H8" s="137" t="s">
        <v>1381</v>
      </c>
      <c r="I8" s="137"/>
      <c r="J8" s="137" t="s">
        <v>1351</v>
      </c>
      <c r="K8" s="137"/>
      <c r="L8" s="137" t="s">
        <v>1382</v>
      </c>
      <c r="M8" s="137"/>
      <c r="N8" s="138">
        <v>0</v>
      </c>
      <c r="O8" s="138">
        <v>7.1111111111111116</v>
      </c>
      <c r="P8" s="138"/>
      <c r="Q8" s="138"/>
      <c r="R8" s="137"/>
      <c r="S8" s="139" t="e" vm="1">
        <f>O8*30000+P8+Q8*[2]Summary!$E$9</f>
        <v>#VALUE!</v>
      </c>
      <c r="T8" s="140" t="e">
        <f>HLOOKUP(B8,[2]Summary!$I$1:$XFD$2,2,0)</f>
        <v>#N/A</v>
      </c>
      <c r="U8" s="141">
        <v>1</v>
      </c>
      <c r="V8" s="141">
        <v>1</v>
      </c>
      <c r="W8" s="141"/>
      <c r="X8" s="141"/>
      <c r="Y8" s="141"/>
      <c r="Z8" s="141" t="e">
        <f t="shared" si="0"/>
        <v>#N/A</v>
      </c>
      <c r="AA8" s="141">
        <f t="shared" si="0"/>
        <v>31</v>
      </c>
      <c r="AB8" s="141">
        <f t="shared" si="0"/>
        <v>0</v>
      </c>
      <c r="AC8" s="141">
        <f t="shared" si="0"/>
        <v>0</v>
      </c>
      <c r="AD8" s="141">
        <f t="shared" si="0"/>
        <v>0</v>
      </c>
      <c r="AE8" s="142" t="e">
        <f t="shared" si="1"/>
        <v>#N/A</v>
      </c>
      <c r="AF8" s="135">
        <f t="shared" si="2"/>
        <v>7.1111111111111116</v>
      </c>
      <c r="AG8" s="135"/>
      <c r="AI8">
        <v>6</v>
      </c>
      <c r="AJ8" s="143">
        <f t="shared" si="3"/>
        <v>0</v>
      </c>
    </row>
    <row r="9" spans="1:36" s="143" customFormat="1" ht="30.75">
      <c r="A9" s="136">
        <v>7</v>
      </c>
      <c r="B9" s="136">
        <v>1</v>
      </c>
      <c r="C9" s="136" t="s">
        <v>1383</v>
      </c>
      <c r="D9" s="137" t="s">
        <v>1384</v>
      </c>
      <c r="E9" s="137" t="s">
        <v>1385</v>
      </c>
      <c r="F9" s="137"/>
      <c r="G9" s="137"/>
      <c r="H9" s="137" t="s">
        <v>1386</v>
      </c>
      <c r="I9" s="137"/>
      <c r="J9" s="137" t="s">
        <v>1351</v>
      </c>
      <c r="K9" s="137"/>
      <c r="L9" s="137" t="s">
        <v>1387</v>
      </c>
      <c r="M9" s="137"/>
      <c r="N9" s="138">
        <v>0</v>
      </c>
      <c r="O9" s="138">
        <v>0.31388888888888888</v>
      </c>
      <c r="P9" s="138"/>
      <c r="Q9" s="138"/>
      <c r="R9" s="137" t="s">
        <v>1388</v>
      </c>
      <c r="S9" s="139" t="e" vm="1">
        <f>O9*30000+P9+Q9*[2]Summary!$E$9</f>
        <v>#VALUE!</v>
      </c>
      <c r="T9" s="140" t="e">
        <f>HLOOKUP(B9,[2]Summary!$I$1:$XFD$2,2,0)</f>
        <v>#N/A</v>
      </c>
      <c r="U9" s="141">
        <v>1</v>
      </c>
      <c r="V9" s="141">
        <v>1</v>
      </c>
      <c r="W9" s="141"/>
      <c r="X9" s="141"/>
      <c r="Y9" s="141"/>
      <c r="Z9" s="141" t="e">
        <f t="shared" si="0"/>
        <v>#N/A</v>
      </c>
      <c r="AA9" s="141">
        <f t="shared" si="0"/>
        <v>31</v>
      </c>
      <c r="AB9" s="141">
        <f t="shared" si="0"/>
        <v>0</v>
      </c>
      <c r="AC9" s="141">
        <f t="shared" si="0"/>
        <v>0</v>
      </c>
      <c r="AD9" s="141">
        <f t="shared" si="0"/>
        <v>0</v>
      </c>
      <c r="AE9" s="142" t="e">
        <f t="shared" si="1"/>
        <v>#N/A</v>
      </c>
      <c r="AF9" s="135">
        <f t="shared" si="2"/>
        <v>0.31388888888888888</v>
      </c>
      <c r="AG9" s="135"/>
      <c r="AI9">
        <v>7</v>
      </c>
      <c r="AJ9" s="143">
        <f t="shared" si="3"/>
        <v>18</v>
      </c>
    </row>
    <row r="10" spans="1:36" s="143" customFormat="1" ht="45.75">
      <c r="A10" s="136">
        <v>8</v>
      </c>
      <c r="B10" s="136">
        <v>1</v>
      </c>
      <c r="C10" s="136" t="s">
        <v>1383</v>
      </c>
      <c r="D10" s="137" t="s">
        <v>1389</v>
      </c>
      <c r="E10" s="137" t="s">
        <v>1390</v>
      </c>
      <c r="F10" s="137"/>
      <c r="G10" s="137"/>
      <c r="H10" s="137" t="s">
        <v>1391</v>
      </c>
      <c r="I10" s="137"/>
      <c r="J10" s="137" t="s">
        <v>1369</v>
      </c>
      <c r="K10" s="137"/>
      <c r="L10" s="137" t="s">
        <v>1392</v>
      </c>
      <c r="M10" s="137"/>
      <c r="N10" s="138">
        <v>0</v>
      </c>
      <c r="O10" s="138">
        <v>0.30041666666666667</v>
      </c>
      <c r="P10" s="138"/>
      <c r="Q10" s="138"/>
      <c r="R10" s="137" t="s">
        <v>1393</v>
      </c>
      <c r="S10" s="139" t="e" vm="1">
        <f>O10*30000+P10+Q10*[2]Summary!$E$9</f>
        <v>#VALUE!</v>
      </c>
      <c r="T10" s="140" t="e">
        <f>HLOOKUP(B10,[2]Summary!$I$1:$XFD$2,2,0)</f>
        <v>#N/A</v>
      </c>
      <c r="U10" s="141">
        <v>1</v>
      </c>
      <c r="V10" s="141">
        <v>1</v>
      </c>
      <c r="W10" s="141"/>
      <c r="X10" s="141"/>
      <c r="Y10" s="141"/>
      <c r="Z10" s="141" t="e">
        <f t="shared" si="0"/>
        <v>#N/A</v>
      </c>
      <c r="AA10" s="141">
        <f t="shared" si="0"/>
        <v>31</v>
      </c>
      <c r="AB10" s="141">
        <f t="shared" si="0"/>
        <v>0</v>
      </c>
      <c r="AC10" s="141">
        <f t="shared" si="0"/>
        <v>0</v>
      </c>
      <c r="AD10" s="141">
        <f t="shared" si="0"/>
        <v>0</v>
      </c>
      <c r="AE10" s="142" t="e">
        <f t="shared" si="1"/>
        <v>#N/A</v>
      </c>
      <c r="AF10" s="135">
        <f t="shared" si="2"/>
        <v>0.30041666666666667</v>
      </c>
      <c r="AG10" s="135"/>
      <c r="AI10">
        <v>8</v>
      </c>
      <c r="AJ10" s="143">
        <f t="shared" si="3"/>
        <v>7</v>
      </c>
    </row>
    <row r="11" spans="1:36" s="143" customFormat="1" ht="91.5">
      <c r="A11" s="136">
        <v>9</v>
      </c>
      <c r="B11" s="136">
        <v>1</v>
      </c>
      <c r="C11" s="136" t="s">
        <v>180</v>
      </c>
      <c r="D11" s="137" t="s">
        <v>1394</v>
      </c>
      <c r="E11" s="137" t="s">
        <v>1395</v>
      </c>
      <c r="F11" s="137"/>
      <c r="G11" s="137"/>
      <c r="H11" s="137" t="s">
        <v>1396</v>
      </c>
      <c r="I11" s="137"/>
      <c r="J11" s="137" t="s">
        <v>1351</v>
      </c>
      <c r="K11" s="137"/>
      <c r="L11" s="137" t="s">
        <v>1397</v>
      </c>
      <c r="M11" s="137"/>
      <c r="N11" s="138">
        <v>0</v>
      </c>
      <c r="O11" s="138">
        <v>9.4444444444444446</v>
      </c>
      <c r="P11" s="138">
        <f>450/3/500*255000</f>
        <v>76500</v>
      </c>
      <c r="Q11" s="138"/>
      <c r="R11" s="137" t="s">
        <v>1398</v>
      </c>
      <c r="S11" s="139" t="e" vm="1">
        <f>O11*30000+P11+Q11*[2]Summary!$E$9</f>
        <v>#VALUE!</v>
      </c>
      <c r="T11" s="140" t="e">
        <f>HLOOKUP(B11,[2]Summary!$I$1:$XFD$2,2,0)</f>
        <v>#N/A</v>
      </c>
      <c r="U11" s="141">
        <v>1</v>
      </c>
      <c r="V11" s="141">
        <v>1</v>
      </c>
      <c r="W11" s="141"/>
      <c r="X11" s="141"/>
      <c r="Y11" s="141"/>
      <c r="Z11" s="141" t="e">
        <f t="shared" si="0"/>
        <v>#N/A</v>
      </c>
      <c r="AA11" s="141">
        <f t="shared" si="0"/>
        <v>31</v>
      </c>
      <c r="AB11" s="141">
        <f t="shared" si="0"/>
        <v>0</v>
      </c>
      <c r="AC11" s="141">
        <f t="shared" si="0"/>
        <v>0</v>
      </c>
      <c r="AD11" s="141">
        <f t="shared" si="0"/>
        <v>0</v>
      </c>
      <c r="AE11" s="142" t="e">
        <f t="shared" si="1"/>
        <v>#N/A</v>
      </c>
      <c r="AF11" s="135">
        <f t="shared" si="2"/>
        <v>76500</v>
      </c>
      <c r="AG11" s="135"/>
      <c r="AI11"/>
    </row>
    <row r="12" spans="1:36" s="143" customFormat="1" ht="76.5">
      <c r="A12" s="136">
        <v>10</v>
      </c>
      <c r="B12" s="136">
        <v>1</v>
      </c>
      <c r="C12" s="136" t="s">
        <v>1399</v>
      </c>
      <c r="D12" s="137" t="s">
        <v>1400</v>
      </c>
      <c r="E12" s="137" t="s">
        <v>1401</v>
      </c>
      <c r="F12" s="137"/>
      <c r="G12" s="137"/>
      <c r="H12" s="137" t="s">
        <v>1402</v>
      </c>
      <c r="I12" s="137"/>
      <c r="J12" s="137" t="s">
        <v>1351</v>
      </c>
      <c r="K12" s="137"/>
      <c r="L12" s="137" t="s">
        <v>1403</v>
      </c>
      <c r="M12" s="137"/>
      <c r="N12" s="138">
        <v>0</v>
      </c>
      <c r="O12" s="138">
        <v>23.765000000000001</v>
      </c>
      <c r="P12" s="138"/>
      <c r="Q12" s="138"/>
      <c r="R12" s="137" t="s">
        <v>1404</v>
      </c>
      <c r="S12" s="139" t="e" vm="1">
        <f>O12*30000+P12+Q12*[2]Summary!$E$9</f>
        <v>#VALUE!</v>
      </c>
      <c r="T12" s="140" t="e">
        <f>HLOOKUP(B12,[2]Summary!$I$1:$XFD$2,2,0)</f>
        <v>#N/A</v>
      </c>
      <c r="U12" s="141">
        <v>1</v>
      </c>
      <c r="V12" s="141">
        <v>1</v>
      </c>
      <c r="W12" s="141"/>
      <c r="X12" s="141"/>
      <c r="Y12" s="141"/>
      <c r="Z12" s="141" t="e">
        <f t="shared" si="0"/>
        <v>#N/A</v>
      </c>
      <c r="AA12" s="141">
        <f t="shared" si="0"/>
        <v>31</v>
      </c>
      <c r="AB12" s="141">
        <f t="shared" si="0"/>
        <v>0</v>
      </c>
      <c r="AC12" s="141">
        <f t="shared" si="0"/>
        <v>0</v>
      </c>
      <c r="AD12" s="141">
        <f t="shared" si="0"/>
        <v>0</v>
      </c>
      <c r="AE12" s="142" t="e">
        <f t="shared" si="1"/>
        <v>#N/A</v>
      </c>
      <c r="AF12" s="135">
        <f t="shared" si="2"/>
        <v>23.765000000000001</v>
      </c>
      <c r="AG12" s="135"/>
      <c r="AI12"/>
    </row>
    <row r="13" spans="1:36" s="143" customFormat="1" ht="121.5">
      <c r="A13" s="136">
        <v>11</v>
      </c>
      <c r="B13" s="136">
        <v>1</v>
      </c>
      <c r="C13" s="136" t="s">
        <v>1405</v>
      </c>
      <c r="D13" s="137" t="s">
        <v>1406</v>
      </c>
      <c r="E13" s="137" t="s">
        <v>1407</v>
      </c>
      <c r="F13" s="137"/>
      <c r="G13" s="137"/>
      <c r="H13" s="137" t="s">
        <v>1408</v>
      </c>
      <c r="I13" s="137"/>
      <c r="J13" s="137" t="s">
        <v>1369</v>
      </c>
      <c r="K13" s="137"/>
      <c r="L13" s="137" t="s">
        <v>1409</v>
      </c>
      <c r="M13" s="137"/>
      <c r="N13" s="138">
        <v>0</v>
      </c>
      <c r="O13" s="138">
        <v>7.17</v>
      </c>
      <c r="P13" s="138"/>
      <c r="Q13" s="138"/>
      <c r="R13" s="137" t="s">
        <v>1410</v>
      </c>
      <c r="S13" s="139" t="e" vm="1">
        <f>O13*30000+P13+Q13*[2]Summary!$E$9</f>
        <v>#VALUE!</v>
      </c>
      <c r="T13" s="140" t="e">
        <f>HLOOKUP(B13,[2]Summary!$I$1:$XFD$2,2,0)</f>
        <v>#N/A</v>
      </c>
      <c r="U13" s="141">
        <v>1</v>
      </c>
      <c r="V13" s="141">
        <v>1</v>
      </c>
      <c r="W13" s="141"/>
      <c r="X13" s="141"/>
      <c r="Y13" s="141"/>
      <c r="Z13" s="141" t="e">
        <f t="shared" si="0"/>
        <v>#N/A</v>
      </c>
      <c r="AA13" s="141">
        <f t="shared" si="0"/>
        <v>31</v>
      </c>
      <c r="AB13" s="141">
        <f t="shared" si="0"/>
        <v>0</v>
      </c>
      <c r="AC13" s="141">
        <f t="shared" si="0"/>
        <v>0</v>
      </c>
      <c r="AD13" s="141">
        <f t="shared" si="0"/>
        <v>0</v>
      </c>
      <c r="AE13" s="142" t="e">
        <f t="shared" si="1"/>
        <v>#N/A</v>
      </c>
      <c r="AF13" s="135">
        <f t="shared" si="2"/>
        <v>7.17</v>
      </c>
      <c r="AG13" s="135"/>
      <c r="AI13"/>
    </row>
    <row r="14" spans="1:36" s="143" customFormat="1" ht="45.75">
      <c r="A14" s="136">
        <v>12</v>
      </c>
      <c r="B14" s="136">
        <v>1</v>
      </c>
      <c r="C14" s="136" t="s">
        <v>1411</v>
      </c>
      <c r="D14" s="137" t="s">
        <v>1412</v>
      </c>
      <c r="E14" s="137" t="s">
        <v>1413</v>
      </c>
      <c r="F14" s="137"/>
      <c r="G14" s="137"/>
      <c r="H14" s="137" t="s">
        <v>1414</v>
      </c>
      <c r="I14" s="137"/>
      <c r="J14" s="137" t="s">
        <v>1351</v>
      </c>
      <c r="K14" s="137"/>
      <c r="L14" s="137" t="s">
        <v>1415</v>
      </c>
      <c r="M14" s="137"/>
      <c r="N14" s="138">
        <v>0</v>
      </c>
      <c r="O14" s="138">
        <v>0</v>
      </c>
      <c r="P14" s="138">
        <f>27000*3*4+18000*2*4</f>
        <v>468000</v>
      </c>
      <c r="Q14" s="138"/>
      <c r="R14" s="137"/>
      <c r="S14" s="139" t="e" vm="1">
        <f>O14*30000+P14+Q14*[2]Summary!$E$9</f>
        <v>#VALUE!</v>
      </c>
      <c r="T14" s="140" t="e">
        <f>HLOOKUP(B14,[2]Summary!$I$1:$XFD$2,2,0)</f>
        <v>#N/A</v>
      </c>
      <c r="U14" s="141">
        <v>1</v>
      </c>
      <c r="V14" s="141">
        <v>1</v>
      </c>
      <c r="W14" s="141"/>
      <c r="X14" s="141"/>
      <c r="Y14" s="141"/>
      <c r="Z14" s="141" t="e">
        <f t="shared" si="0"/>
        <v>#N/A</v>
      </c>
      <c r="AA14" s="141">
        <f t="shared" si="0"/>
        <v>31</v>
      </c>
      <c r="AB14" s="141">
        <f t="shared" si="0"/>
        <v>0</v>
      </c>
      <c r="AC14" s="141">
        <f t="shared" si="0"/>
        <v>0</v>
      </c>
      <c r="AD14" s="141">
        <f t="shared" si="0"/>
        <v>0</v>
      </c>
      <c r="AE14" s="142" t="e">
        <f t="shared" si="1"/>
        <v>#N/A</v>
      </c>
      <c r="AF14" s="135">
        <f t="shared" si="2"/>
        <v>468000</v>
      </c>
      <c r="AG14" s="135"/>
      <c r="AI14"/>
    </row>
    <row r="15" spans="1:36" s="143" customFormat="1" ht="45.75">
      <c r="A15" s="136">
        <v>13</v>
      </c>
      <c r="B15" s="136">
        <v>1</v>
      </c>
      <c r="C15" s="136" t="s">
        <v>1416</v>
      </c>
      <c r="D15" s="137" t="s">
        <v>1417</v>
      </c>
      <c r="E15" s="137" t="s">
        <v>1418</v>
      </c>
      <c r="F15" s="137"/>
      <c r="G15" s="137"/>
      <c r="H15" s="137" t="s">
        <v>1419</v>
      </c>
      <c r="I15" s="137"/>
      <c r="J15" s="137" t="s">
        <v>1351</v>
      </c>
      <c r="K15" s="137"/>
      <c r="L15" s="137" t="s">
        <v>1420</v>
      </c>
      <c r="M15" s="137"/>
      <c r="N15" s="138">
        <v>0</v>
      </c>
      <c r="O15" s="138">
        <v>0.81333333333333324</v>
      </c>
      <c r="P15" s="138"/>
      <c r="Q15" s="138"/>
      <c r="R15" s="137" t="s">
        <v>1421</v>
      </c>
      <c r="S15" s="139" t="e" vm="1">
        <f>O15*30000+P15+Q15*[2]Summary!$E$9</f>
        <v>#VALUE!</v>
      </c>
      <c r="T15" s="140" t="e">
        <f>HLOOKUP(B15,[2]Summary!$I$1:$XFD$2,2,0)</f>
        <v>#N/A</v>
      </c>
      <c r="U15" s="141">
        <v>1</v>
      </c>
      <c r="V15" s="141">
        <v>1</v>
      </c>
      <c r="W15" s="141"/>
      <c r="X15" s="141"/>
      <c r="Y15" s="141"/>
      <c r="Z15" s="141" t="e">
        <f t="shared" si="0"/>
        <v>#N/A</v>
      </c>
      <c r="AA15" s="141">
        <f t="shared" si="0"/>
        <v>31</v>
      </c>
      <c r="AB15" s="141">
        <f t="shared" si="0"/>
        <v>0</v>
      </c>
      <c r="AC15" s="141">
        <f t="shared" si="0"/>
        <v>0</v>
      </c>
      <c r="AD15" s="141">
        <f t="shared" si="0"/>
        <v>0</v>
      </c>
      <c r="AE15" s="142" t="e">
        <f t="shared" si="1"/>
        <v>#N/A</v>
      </c>
      <c r="AF15" s="135">
        <f t="shared" si="2"/>
        <v>0.81333333333333324</v>
      </c>
      <c r="AG15" s="135"/>
      <c r="AI15"/>
    </row>
    <row r="16" spans="1:36" s="143" customFormat="1" ht="137.25">
      <c r="A16" s="136">
        <v>14</v>
      </c>
      <c r="B16" s="136">
        <v>1</v>
      </c>
      <c r="C16" s="136" t="s">
        <v>1422</v>
      </c>
      <c r="D16" s="137" t="s">
        <v>1423</v>
      </c>
      <c r="E16" s="137" t="s">
        <v>1424</v>
      </c>
      <c r="F16" s="137"/>
      <c r="G16" s="137"/>
      <c r="H16" s="137" t="s">
        <v>1425</v>
      </c>
      <c r="I16" s="137"/>
      <c r="J16" s="137" t="s">
        <v>1426</v>
      </c>
      <c r="K16" s="137"/>
      <c r="L16" s="137" t="s">
        <v>1427</v>
      </c>
      <c r="M16" s="137"/>
      <c r="N16" s="138">
        <v>0</v>
      </c>
      <c r="O16" s="138">
        <v>4.2</v>
      </c>
      <c r="P16" s="138">
        <f>35000/5</f>
        <v>7000</v>
      </c>
      <c r="Q16" s="138"/>
      <c r="R16" s="137" t="s">
        <v>1428</v>
      </c>
      <c r="S16" s="139" t="e" vm="1">
        <f>O16*30000+P16+Q16*[2]Summary!$E$9</f>
        <v>#VALUE!</v>
      </c>
      <c r="T16" s="140" t="e">
        <f>HLOOKUP(B16,[2]Summary!$I$1:$XFD$2,2,0)</f>
        <v>#N/A</v>
      </c>
      <c r="U16" s="141">
        <v>1</v>
      </c>
      <c r="V16" s="141">
        <v>1</v>
      </c>
      <c r="W16" s="141"/>
      <c r="X16" s="141"/>
      <c r="Y16" s="141"/>
      <c r="Z16" s="141" t="e">
        <f t="shared" si="0"/>
        <v>#N/A</v>
      </c>
      <c r="AA16" s="141">
        <f t="shared" si="0"/>
        <v>31</v>
      </c>
      <c r="AB16" s="141">
        <f t="shared" si="0"/>
        <v>0</v>
      </c>
      <c r="AC16" s="141">
        <f t="shared" si="0"/>
        <v>0</v>
      </c>
      <c r="AD16" s="141">
        <f t="shared" si="0"/>
        <v>0</v>
      </c>
      <c r="AE16" s="142" t="e">
        <f t="shared" si="1"/>
        <v>#N/A</v>
      </c>
      <c r="AF16" s="135">
        <f t="shared" si="2"/>
        <v>7000</v>
      </c>
      <c r="AG16" s="135"/>
      <c r="AI16"/>
    </row>
    <row r="17" spans="1:35" s="143" customFormat="1" ht="60.75">
      <c r="A17" s="136">
        <v>15</v>
      </c>
      <c r="B17" s="136">
        <v>1</v>
      </c>
      <c r="C17" s="136" t="s">
        <v>1429</v>
      </c>
      <c r="D17" s="137" t="s">
        <v>1430</v>
      </c>
      <c r="E17" s="137" t="s">
        <v>1431</v>
      </c>
      <c r="F17" s="137"/>
      <c r="G17" s="137"/>
      <c r="H17" s="137" t="s">
        <v>1432</v>
      </c>
      <c r="I17" s="137"/>
      <c r="J17" s="137" t="s">
        <v>1351</v>
      </c>
      <c r="K17" s="137"/>
      <c r="L17" s="137" t="s">
        <v>1433</v>
      </c>
      <c r="M17" s="137"/>
      <c r="N17" s="138">
        <v>0</v>
      </c>
      <c r="O17" s="138">
        <v>12.7575</v>
      </c>
      <c r="P17" s="138"/>
      <c r="Q17" s="138"/>
      <c r="R17" s="137" t="s">
        <v>1365</v>
      </c>
      <c r="S17" s="139" t="e" vm="1">
        <f>O17*30000+P17+Q17*[2]Summary!$E$9</f>
        <v>#VALUE!</v>
      </c>
      <c r="T17" s="140" t="e">
        <f>HLOOKUP(B17,[2]Summary!$I$1:$XFD$2,2,0)</f>
        <v>#N/A</v>
      </c>
      <c r="U17" s="141">
        <v>1</v>
      </c>
      <c r="V17" s="141">
        <v>1</v>
      </c>
      <c r="W17" s="141"/>
      <c r="X17" s="141"/>
      <c r="Y17" s="141"/>
      <c r="Z17" s="141" t="e">
        <f t="shared" si="0"/>
        <v>#N/A</v>
      </c>
      <c r="AA17" s="141">
        <f t="shared" si="0"/>
        <v>31</v>
      </c>
      <c r="AB17" s="141">
        <f t="shared" si="0"/>
        <v>0</v>
      </c>
      <c r="AC17" s="141">
        <f t="shared" si="0"/>
        <v>0</v>
      </c>
      <c r="AD17" s="141">
        <f t="shared" si="0"/>
        <v>0</v>
      </c>
      <c r="AE17" s="142" t="e">
        <f t="shared" si="1"/>
        <v>#N/A</v>
      </c>
      <c r="AF17" s="135">
        <f t="shared" si="2"/>
        <v>12.7575</v>
      </c>
      <c r="AG17" s="135"/>
      <c r="AI17"/>
    </row>
    <row r="18" spans="1:35" s="143" customFormat="1" ht="106.5">
      <c r="A18" s="136">
        <v>16</v>
      </c>
      <c r="B18" s="136">
        <v>1</v>
      </c>
      <c r="C18" s="136" t="s">
        <v>1434</v>
      </c>
      <c r="D18" s="137" t="s">
        <v>1435</v>
      </c>
      <c r="E18" s="137" t="s">
        <v>1436</v>
      </c>
      <c r="F18" s="137"/>
      <c r="G18" s="137"/>
      <c r="H18" s="146" t="s">
        <v>1437</v>
      </c>
      <c r="I18" s="146"/>
      <c r="J18" s="137" t="s">
        <v>1438</v>
      </c>
      <c r="K18" s="137"/>
      <c r="L18" s="137" t="s">
        <v>1439</v>
      </c>
      <c r="M18" s="137"/>
      <c r="N18" s="138">
        <v>0</v>
      </c>
      <c r="O18" s="138">
        <v>7.8833333333333337</v>
      </c>
      <c r="P18" s="138"/>
      <c r="Q18" s="138"/>
      <c r="R18" s="137" t="s">
        <v>1365</v>
      </c>
      <c r="S18" s="139" t="e" vm="1">
        <f>O18*30000+P18+Q18*[2]Summary!$E$9</f>
        <v>#VALUE!</v>
      </c>
      <c r="T18" s="140" t="e">
        <f>HLOOKUP(B18,[2]Summary!$I$1:$XFD$2,2,0)</f>
        <v>#N/A</v>
      </c>
      <c r="U18" s="141">
        <v>1</v>
      </c>
      <c r="V18" s="141">
        <v>1</v>
      </c>
      <c r="W18" s="141"/>
      <c r="X18" s="141"/>
      <c r="Y18" s="141"/>
      <c r="Z18" s="141" t="e">
        <f t="shared" si="0"/>
        <v>#N/A</v>
      </c>
      <c r="AA18" s="141">
        <f t="shared" si="0"/>
        <v>31</v>
      </c>
      <c r="AB18" s="141">
        <f t="shared" si="0"/>
        <v>0</v>
      </c>
      <c r="AC18" s="141">
        <f t="shared" si="0"/>
        <v>0</v>
      </c>
      <c r="AD18" s="141">
        <f t="shared" si="0"/>
        <v>0</v>
      </c>
      <c r="AE18" s="142" t="e">
        <f t="shared" si="1"/>
        <v>#N/A</v>
      </c>
      <c r="AF18" s="135">
        <f t="shared" si="2"/>
        <v>7.8833333333333337</v>
      </c>
      <c r="AG18" s="135"/>
      <c r="AI18"/>
    </row>
    <row r="19" spans="1:35" s="143" customFormat="1" ht="30.75">
      <c r="A19" s="136">
        <v>17</v>
      </c>
      <c r="B19" s="136">
        <v>1</v>
      </c>
      <c r="C19" s="136" t="s">
        <v>1440</v>
      </c>
      <c r="D19" s="137" t="s">
        <v>1441</v>
      </c>
      <c r="E19" s="137" t="s">
        <v>1442</v>
      </c>
      <c r="F19" s="137"/>
      <c r="G19" s="137"/>
      <c r="H19" s="137" t="s">
        <v>1443</v>
      </c>
      <c r="I19" s="137"/>
      <c r="J19" s="137" t="s">
        <v>1351</v>
      </c>
      <c r="K19" s="137"/>
      <c r="L19" s="137" t="s">
        <v>1444</v>
      </c>
      <c r="M19" s="137"/>
      <c r="N19" s="138">
        <v>0</v>
      </c>
      <c r="O19" s="138">
        <v>4.166666666666667</v>
      </c>
      <c r="P19" s="138"/>
      <c r="Q19" s="138"/>
      <c r="R19" s="137"/>
      <c r="S19" s="139" t="e" vm="1">
        <f>O19*30000+P19+Q19*[2]Summary!$E$9</f>
        <v>#VALUE!</v>
      </c>
      <c r="T19" s="140" t="e">
        <f>HLOOKUP(B19,[2]Summary!$I$1:$XFD$2,2,0)</f>
        <v>#N/A</v>
      </c>
      <c r="U19" s="141">
        <v>1</v>
      </c>
      <c r="V19" s="141">
        <v>1</v>
      </c>
      <c r="W19" s="141"/>
      <c r="X19" s="141"/>
      <c r="Y19" s="141"/>
      <c r="Z19" s="141" t="e">
        <f t="shared" si="0"/>
        <v>#N/A</v>
      </c>
      <c r="AA19" s="141">
        <f t="shared" si="0"/>
        <v>31</v>
      </c>
      <c r="AB19" s="141">
        <f t="shared" si="0"/>
        <v>0</v>
      </c>
      <c r="AC19" s="141">
        <f t="shared" si="0"/>
        <v>0</v>
      </c>
      <c r="AD19" s="141">
        <f t="shared" si="0"/>
        <v>0</v>
      </c>
      <c r="AE19" s="142" t="e">
        <f t="shared" si="1"/>
        <v>#N/A</v>
      </c>
      <c r="AF19" s="135">
        <f t="shared" si="2"/>
        <v>4.166666666666667</v>
      </c>
      <c r="AG19" s="135"/>
      <c r="AI19"/>
    </row>
    <row r="20" spans="1:35" s="143" customFormat="1" ht="60.75">
      <c r="A20" s="136">
        <v>18</v>
      </c>
      <c r="B20" s="136">
        <v>1</v>
      </c>
      <c r="C20" s="136" t="s">
        <v>1445</v>
      </c>
      <c r="D20" s="137" t="s">
        <v>1446</v>
      </c>
      <c r="E20" s="137" t="s">
        <v>1447</v>
      </c>
      <c r="F20" s="137"/>
      <c r="G20" s="137"/>
      <c r="H20" s="137" t="s">
        <v>1448</v>
      </c>
      <c r="I20" s="137"/>
      <c r="J20" s="137" t="s">
        <v>1351</v>
      </c>
      <c r="K20" s="137"/>
      <c r="L20" s="137" t="s">
        <v>1449</v>
      </c>
      <c r="M20" s="137"/>
      <c r="N20" s="138">
        <v>0</v>
      </c>
      <c r="O20" s="138">
        <v>0.45</v>
      </c>
      <c r="P20" s="138"/>
      <c r="Q20" s="138"/>
      <c r="R20" s="137" t="s">
        <v>1450</v>
      </c>
      <c r="S20" s="139" t="e" vm="1">
        <f>O20*30000+P20+Q20*[2]Summary!$E$9</f>
        <v>#VALUE!</v>
      </c>
      <c r="T20" s="140" t="e">
        <f>HLOOKUP(B20,[2]Summary!$I$1:$XFD$2,2,0)</f>
        <v>#N/A</v>
      </c>
      <c r="U20" s="141">
        <v>1</v>
      </c>
      <c r="V20" s="141">
        <v>1</v>
      </c>
      <c r="W20" s="141"/>
      <c r="X20" s="141"/>
      <c r="Y20" s="141"/>
      <c r="Z20" s="141" t="e">
        <f t="shared" si="0"/>
        <v>#N/A</v>
      </c>
      <c r="AA20" s="141">
        <f t="shared" si="0"/>
        <v>31</v>
      </c>
      <c r="AB20" s="141">
        <f t="shared" si="0"/>
        <v>0</v>
      </c>
      <c r="AC20" s="141">
        <f t="shared" si="0"/>
        <v>0</v>
      </c>
      <c r="AD20" s="141">
        <f t="shared" si="0"/>
        <v>0</v>
      </c>
      <c r="AE20" s="142" t="e">
        <f t="shared" si="1"/>
        <v>#N/A</v>
      </c>
      <c r="AF20" s="135">
        <f t="shared" si="2"/>
        <v>0.45</v>
      </c>
      <c r="AG20" s="135"/>
      <c r="AI20"/>
    </row>
    <row r="21" spans="1:35" s="143" customFormat="1" ht="30.75">
      <c r="A21" s="135">
        <v>19</v>
      </c>
      <c r="B21" s="135">
        <v>1</v>
      </c>
      <c r="C21" s="135" t="s">
        <v>1451</v>
      </c>
      <c r="D21" s="145" t="s">
        <v>1452</v>
      </c>
      <c r="E21" s="145" t="s">
        <v>1453</v>
      </c>
      <c r="F21" s="137"/>
      <c r="G21" s="137"/>
      <c r="H21" s="137" t="s">
        <v>1454</v>
      </c>
      <c r="I21" s="137"/>
      <c r="J21" s="137" t="s">
        <v>1455</v>
      </c>
      <c r="K21" s="137"/>
      <c r="L21" s="137" t="s">
        <v>1456</v>
      </c>
      <c r="M21" s="137"/>
      <c r="N21" s="138">
        <v>0</v>
      </c>
      <c r="O21" s="138">
        <v>0.75</v>
      </c>
      <c r="P21" s="138"/>
      <c r="Q21" s="138"/>
      <c r="R21" s="137" t="s">
        <v>1421</v>
      </c>
      <c r="S21" s="139" t="e" vm="1">
        <f>O21*30000+P21+Q21*[2]Summary!$E$9</f>
        <v>#VALUE!</v>
      </c>
      <c r="T21" s="140" t="e">
        <f>HLOOKUP(B21,[2]Summary!$I$1:$XFD$2,2,0)</f>
        <v>#N/A</v>
      </c>
      <c r="U21" s="141">
        <v>1</v>
      </c>
      <c r="V21" s="141">
        <v>1</v>
      </c>
      <c r="W21" s="141"/>
      <c r="X21" s="141"/>
      <c r="Y21" s="141"/>
      <c r="Z21" s="141" t="e">
        <f t="shared" si="0"/>
        <v>#N/A</v>
      </c>
      <c r="AA21" s="141">
        <f t="shared" si="0"/>
        <v>31</v>
      </c>
      <c r="AB21" s="141">
        <f t="shared" si="0"/>
        <v>0</v>
      </c>
      <c r="AC21" s="141">
        <f t="shared" si="0"/>
        <v>0</v>
      </c>
      <c r="AD21" s="141">
        <f t="shared" si="0"/>
        <v>0</v>
      </c>
      <c r="AE21" s="142" t="e">
        <f t="shared" si="1"/>
        <v>#N/A</v>
      </c>
      <c r="AF21" s="135">
        <f t="shared" si="2"/>
        <v>0.75</v>
      </c>
      <c r="AG21" s="135" t="s">
        <v>1372</v>
      </c>
      <c r="AI21"/>
    </row>
    <row r="22" spans="1:35" s="143" customFormat="1" ht="30.75">
      <c r="A22" s="136">
        <v>20</v>
      </c>
      <c r="B22" s="136">
        <v>1</v>
      </c>
      <c r="C22" s="136" t="s">
        <v>1457</v>
      </c>
      <c r="D22" s="137" t="s">
        <v>1458</v>
      </c>
      <c r="E22" s="137" t="s">
        <v>1459</v>
      </c>
      <c r="F22" s="137"/>
      <c r="G22" s="137"/>
      <c r="H22" s="137" t="s">
        <v>1460</v>
      </c>
      <c r="I22" s="137"/>
      <c r="J22" s="137" t="s">
        <v>1351</v>
      </c>
      <c r="K22" s="137"/>
      <c r="L22" s="137" t="s">
        <v>1461</v>
      </c>
      <c r="M22" s="137"/>
      <c r="N22" s="138">
        <v>0</v>
      </c>
      <c r="O22" s="138">
        <v>6.25</v>
      </c>
      <c r="P22" s="138"/>
      <c r="Q22" s="138"/>
      <c r="R22" s="137" t="s">
        <v>1462</v>
      </c>
      <c r="S22" s="139" t="e" vm="1">
        <f>O22*30000+P22+Q22*[2]Summary!$E$9</f>
        <v>#VALUE!</v>
      </c>
      <c r="T22" s="140" t="e">
        <f>HLOOKUP(B22,[2]Summary!$I$1:$XFD$2,2,0)</f>
        <v>#N/A</v>
      </c>
      <c r="U22" s="141">
        <v>1</v>
      </c>
      <c r="V22" s="141">
        <v>1</v>
      </c>
      <c r="W22" s="141"/>
      <c r="X22" s="141"/>
      <c r="Y22" s="141"/>
      <c r="Z22" s="141" t="e">
        <f t="shared" si="0"/>
        <v>#N/A</v>
      </c>
      <c r="AA22" s="141">
        <f t="shared" si="0"/>
        <v>31</v>
      </c>
      <c r="AB22" s="141">
        <f t="shared" si="0"/>
        <v>0</v>
      </c>
      <c r="AC22" s="141">
        <f t="shared" si="0"/>
        <v>0</v>
      </c>
      <c r="AD22" s="141">
        <f t="shared" si="0"/>
        <v>0</v>
      </c>
      <c r="AE22" s="142" t="e">
        <f t="shared" si="1"/>
        <v>#N/A</v>
      </c>
      <c r="AF22" s="135">
        <f t="shared" si="2"/>
        <v>6.25</v>
      </c>
      <c r="AG22" s="135"/>
      <c r="AI22"/>
    </row>
    <row r="23" spans="1:35" s="143" customFormat="1" ht="30.75">
      <c r="A23" s="136">
        <v>21</v>
      </c>
      <c r="B23" s="136">
        <v>1</v>
      </c>
      <c r="C23" s="136" t="s">
        <v>1463</v>
      </c>
      <c r="D23" s="137" t="s">
        <v>1464</v>
      </c>
      <c r="E23" s="137" t="s">
        <v>1465</v>
      </c>
      <c r="F23" s="137"/>
      <c r="G23" s="137"/>
      <c r="H23" s="137" t="s">
        <v>1466</v>
      </c>
      <c r="I23" s="137"/>
      <c r="J23" s="137" t="s">
        <v>1369</v>
      </c>
      <c r="K23" s="137"/>
      <c r="L23" s="137" t="s">
        <v>1467</v>
      </c>
      <c r="M23" s="137"/>
      <c r="N23" s="138">
        <v>0</v>
      </c>
      <c r="O23" s="147">
        <v>5.1944444444444446</v>
      </c>
      <c r="P23" s="138">
        <v>0</v>
      </c>
      <c r="Q23" s="138">
        <v>0</v>
      </c>
      <c r="R23" s="137" t="s">
        <v>1468</v>
      </c>
      <c r="S23" s="139" t="e" vm="1">
        <f>O23*30000+P23+Q23*[2]Summary!$E$9</f>
        <v>#VALUE!</v>
      </c>
      <c r="T23" s="140" t="e">
        <f>HLOOKUP(B23,[2]Summary!$I$1:$XFD$2,2,0)</f>
        <v>#N/A</v>
      </c>
      <c r="U23" s="141">
        <v>1</v>
      </c>
      <c r="V23" s="141">
        <v>1</v>
      </c>
      <c r="W23" s="141"/>
      <c r="X23" s="141"/>
      <c r="Y23" s="141"/>
      <c r="Z23" s="141" t="e">
        <f t="shared" si="0"/>
        <v>#N/A</v>
      </c>
      <c r="AA23" s="141">
        <f t="shared" si="0"/>
        <v>31</v>
      </c>
      <c r="AB23" s="141">
        <f t="shared" si="0"/>
        <v>0</v>
      </c>
      <c r="AC23" s="141">
        <f t="shared" si="0"/>
        <v>0</v>
      </c>
      <c r="AD23" s="141">
        <f t="shared" si="0"/>
        <v>0</v>
      </c>
      <c r="AE23" s="142" t="e">
        <f t="shared" si="1"/>
        <v>#N/A</v>
      </c>
      <c r="AF23" s="135">
        <f t="shared" si="2"/>
        <v>5.1944444444444446</v>
      </c>
      <c r="AG23" s="135"/>
      <c r="AI23"/>
    </row>
    <row r="24" spans="1:35" s="143" customFormat="1" ht="45.75">
      <c r="A24" s="136">
        <v>22</v>
      </c>
      <c r="B24" s="136">
        <v>1</v>
      </c>
      <c r="C24" s="136" t="s">
        <v>1469</v>
      </c>
      <c r="D24" s="137" t="s">
        <v>1470</v>
      </c>
      <c r="E24" s="137" t="s">
        <v>1471</v>
      </c>
      <c r="F24" s="137"/>
      <c r="G24" s="137"/>
      <c r="H24" s="137" t="s">
        <v>1472</v>
      </c>
      <c r="I24" s="137"/>
      <c r="J24" s="137" t="s">
        <v>1473</v>
      </c>
      <c r="K24" s="137"/>
      <c r="L24" s="137" t="s">
        <v>1474</v>
      </c>
      <c r="M24" s="137"/>
      <c r="N24" s="138">
        <v>0</v>
      </c>
      <c r="O24" s="147">
        <v>0</v>
      </c>
      <c r="P24" s="138">
        <v>0</v>
      </c>
      <c r="Q24" s="138">
        <v>0</v>
      </c>
      <c r="R24" s="137" t="s">
        <v>1393</v>
      </c>
      <c r="S24" s="139" t="e" vm="1">
        <f>O24*30000+P24+Q24*[2]Summary!$E$9</f>
        <v>#VALUE!</v>
      </c>
      <c r="T24" s="140" t="e">
        <f>HLOOKUP(B24,[2]Summary!$I$1:$XFD$2,2,0)</f>
        <v>#N/A</v>
      </c>
      <c r="U24" s="141">
        <v>1</v>
      </c>
      <c r="V24" s="141">
        <v>1</v>
      </c>
      <c r="W24" s="141"/>
      <c r="X24" s="141"/>
      <c r="Y24" s="141"/>
      <c r="Z24" s="141" t="e">
        <f t="shared" si="0"/>
        <v>#N/A</v>
      </c>
      <c r="AA24" s="141">
        <f t="shared" si="0"/>
        <v>31</v>
      </c>
      <c r="AB24" s="141">
        <f t="shared" si="0"/>
        <v>0</v>
      </c>
      <c r="AC24" s="141">
        <f t="shared" si="0"/>
        <v>0</v>
      </c>
      <c r="AD24" s="141">
        <f t="shared" si="0"/>
        <v>0</v>
      </c>
      <c r="AE24" s="142" t="e">
        <f t="shared" si="1"/>
        <v>#N/A</v>
      </c>
      <c r="AF24" s="135">
        <f t="shared" si="2"/>
        <v>0</v>
      </c>
      <c r="AG24" s="135"/>
      <c r="AI24"/>
    </row>
    <row r="25" spans="1:35" s="143" customFormat="1" ht="30.75">
      <c r="A25" s="135">
        <v>23</v>
      </c>
      <c r="B25" s="135">
        <v>1</v>
      </c>
      <c r="C25" s="135" t="s">
        <v>1475</v>
      </c>
      <c r="D25" s="145" t="s">
        <v>1476</v>
      </c>
      <c r="E25" s="145" t="s">
        <v>1477</v>
      </c>
      <c r="F25" s="137"/>
      <c r="G25" s="137"/>
      <c r="H25" s="137" t="s">
        <v>1478</v>
      </c>
      <c r="I25" s="137"/>
      <c r="J25" s="137" t="s">
        <v>1479</v>
      </c>
      <c r="K25" s="137"/>
      <c r="L25" s="137" t="s">
        <v>1480</v>
      </c>
      <c r="M25" s="137"/>
      <c r="N25" s="138">
        <v>0</v>
      </c>
      <c r="O25" s="147">
        <v>7.5</v>
      </c>
      <c r="P25" s="138">
        <v>0</v>
      </c>
      <c r="Q25" s="138">
        <v>0</v>
      </c>
      <c r="R25" s="137" t="s">
        <v>1481</v>
      </c>
      <c r="S25" s="139" t="e" vm="1">
        <f>O25*30000+P25+Q25*[2]Summary!$E$9</f>
        <v>#VALUE!</v>
      </c>
      <c r="T25" s="140" t="e">
        <f>HLOOKUP(B25,[2]Summary!$I$1:$XFD$2,2,0)</f>
        <v>#N/A</v>
      </c>
      <c r="U25" s="141">
        <v>1</v>
      </c>
      <c r="V25" s="141">
        <v>1</v>
      </c>
      <c r="W25" s="141"/>
      <c r="X25" s="141"/>
      <c r="Y25" s="141"/>
      <c r="Z25" s="141" t="e">
        <f t="shared" si="0"/>
        <v>#N/A</v>
      </c>
      <c r="AA25" s="141">
        <f t="shared" si="0"/>
        <v>31</v>
      </c>
      <c r="AB25" s="141">
        <f t="shared" si="0"/>
        <v>0</v>
      </c>
      <c r="AC25" s="141">
        <f t="shared" si="0"/>
        <v>0</v>
      </c>
      <c r="AD25" s="141">
        <f t="shared" si="0"/>
        <v>0</v>
      </c>
      <c r="AE25" s="142" t="e">
        <f t="shared" si="1"/>
        <v>#N/A</v>
      </c>
      <c r="AF25" s="135">
        <f t="shared" si="2"/>
        <v>7.5</v>
      </c>
      <c r="AG25" s="135" t="s">
        <v>1372</v>
      </c>
      <c r="AI25"/>
    </row>
    <row r="26" spans="1:35" s="143" customFormat="1" ht="30.75">
      <c r="A26" s="136">
        <v>24</v>
      </c>
      <c r="B26" s="136">
        <v>1</v>
      </c>
      <c r="C26" s="136" t="s">
        <v>1482</v>
      </c>
      <c r="D26" s="137" t="s">
        <v>1483</v>
      </c>
      <c r="E26" s="137" t="s">
        <v>1484</v>
      </c>
      <c r="F26" s="137"/>
      <c r="G26" s="137"/>
      <c r="H26" s="137" t="s">
        <v>1485</v>
      </c>
      <c r="I26" s="137"/>
      <c r="J26" s="137" t="s">
        <v>1351</v>
      </c>
      <c r="K26" s="137"/>
      <c r="L26" s="137" t="s">
        <v>1486</v>
      </c>
      <c r="M26" s="137"/>
      <c r="N26" s="138">
        <v>0</v>
      </c>
      <c r="O26" s="138">
        <v>4.8</v>
      </c>
      <c r="P26" s="138"/>
      <c r="Q26" s="138"/>
      <c r="R26" s="137" t="s">
        <v>1487</v>
      </c>
      <c r="S26" s="139" t="e" vm="1">
        <f>O26*30000+P26+Q26*[2]Summary!$E$9</f>
        <v>#VALUE!</v>
      </c>
      <c r="T26" s="140" t="e">
        <f>HLOOKUP(B26,[2]Summary!$I$1:$XFD$2,2,0)</f>
        <v>#N/A</v>
      </c>
      <c r="U26" s="141">
        <v>1</v>
      </c>
      <c r="V26" s="141">
        <v>1</v>
      </c>
      <c r="W26" s="141"/>
      <c r="X26" s="141"/>
      <c r="Y26" s="141"/>
      <c r="Z26" s="141" t="e">
        <f t="shared" si="0"/>
        <v>#N/A</v>
      </c>
      <c r="AA26" s="141">
        <f t="shared" si="0"/>
        <v>31</v>
      </c>
      <c r="AB26" s="141">
        <f t="shared" si="0"/>
        <v>0</v>
      </c>
      <c r="AC26" s="141">
        <f t="shared" si="0"/>
        <v>0</v>
      </c>
      <c r="AD26" s="141">
        <f t="shared" si="0"/>
        <v>0</v>
      </c>
      <c r="AE26" s="142" t="e">
        <f t="shared" si="1"/>
        <v>#N/A</v>
      </c>
      <c r="AF26" s="135">
        <f t="shared" si="2"/>
        <v>4.8</v>
      </c>
      <c r="AG26" s="135"/>
      <c r="AI26"/>
    </row>
    <row r="27" spans="1:35" s="143" customFormat="1" ht="45.75">
      <c r="A27" s="136">
        <v>25</v>
      </c>
      <c r="B27" s="136">
        <v>1</v>
      </c>
      <c r="C27" s="136" t="s">
        <v>1488</v>
      </c>
      <c r="D27" s="137" t="s">
        <v>1489</v>
      </c>
      <c r="E27" s="137" t="s">
        <v>1490</v>
      </c>
      <c r="F27" s="137"/>
      <c r="G27" s="137"/>
      <c r="H27" s="137" t="s">
        <v>1491</v>
      </c>
      <c r="I27" s="137"/>
      <c r="J27" s="137" t="s">
        <v>1492</v>
      </c>
      <c r="K27" s="137"/>
      <c r="L27" s="137" t="s">
        <v>1493</v>
      </c>
      <c r="M27" s="137"/>
      <c r="N27" s="138">
        <v>0</v>
      </c>
      <c r="O27" s="138">
        <v>0.78749999999999998</v>
      </c>
      <c r="P27" s="138"/>
      <c r="Q27" s="138"/>
      <c r="R27" s="137" t="s">
        <v>1494</v>
      </c>
      <c r="S27" s="139" t="e" vm="1">
        <f>O27*30000+P27+Q27*[2]Summary!$E$9</f>
        <v>#VALUE!</v>
      </c>
      <c r="T27" s="140" t="e">
        <f>HLOOKUP(B27,[2]Summary!$I$1:$XFD$2,2,0)</f>
        <v>#N/A</v>
      </c>
      <c r="U27" s="141">
        <v>1</v>
      </c>
      <c r="V27" s="141">
        <v>1</v>
      </c>
      <c r="W27" s="141"/>
      <c r="X27" s="141"/>
      <c r="Y27" s="141"/>
      <c r="Z27" s="141" t="e">
        <f t="shared" si="0"/>
        <v>#N/A</v>
      </c>
      <c r="AA27" s="141">
        <f t="shared" si="0"/>
        <v>31</v>
      </c>
      <c r="AB27" s="141">
        <f t="shared" si="0"/>
        <v>0</v>
      </c>
      <c r="AC27" s="141">
        <f t="shared" si="0"/>
        <v>0</v>
      </c>
      <c r="AD27" s="141">
        <f t="shared" si="0"/>
        <v>0</v>
      </c>
      <c r="AE27" s="142" t="e">
        <f t="shared" si="1"/>
        <v>#N/A</v>
      </c>
      <c r="AF27" s="135">
        <f t="shared" si="2"/>
        <v>0.78749999999999998</v>
      </c>
      <c r="AG27" s="135"/>
      <c r="AI27"/>
    </row>
    <row r="28" spans="1:35" s="143" customFormat="1" ht="183">
      <c r="A28" s="136">
        <v>26</v>
      </c>
      <c r="B28" s="136">
        <v>1</v>
      </c>
      <c r="C28" s="136" t="s">
        <v>1495</v>
      </c>
      <c r="D28" s="137" t="s">
        <v>1496</v>
      </c>
      <c r="E28" s="137" t="s">
        <v>1497</v>
      </c>
      <c r="F28" s="137"/>
      <c r="G28" s="137"/>
      <c r="H28" s="137" t="s">
        <v>1498</v>
      </c>
      <c r="I28" s="137"/>
      <c r="J28" s="137" t="s">
        <v>1499</v>
      </c>
      <c r="K28" s="137"/>
      <c r="L28" s="137" t="s">
        <v>1500</v>
      </c>
      <c r="M28" s="137"/>
      <c r="N28" s="138">
        <v>0</v>
      </c>
      <c r="O28" s="138">
        <v>7.7</v>
      </c>
      <c r="P28" s="138"/>
      <c r="Q28" s="138">
        <f>29.5*21</f>
        <v>619.5</v>
      </c>
      <c r="R28" s="137" t="s">
        <v>1365</v>
      </c>
      <c r="S28" s="139" t="e" vm="1">
        <f>O28*30000+P28+Q28*[2]Summary!$E$9</f>
        <v>#VALUE!</v>
      </c>
      <c r="T28" s="140" t="e">
        <f>HLOOKUP(B28,[2]Summary!$I$1:$XFD$2,2,0)</f>
        <v>#N/A</v>
      </c>
      <c r="U28" s="141">
        <v>1</v>
      </c>
      <c r="V28" s="141">
        <v>1</v>
      </c>
      <c r="W28" s="141"/>
      <c r="X28" s="141"/>
      <c r="Y28" s="141"/>
      <c r="Z28" s="141" t="e">
        <f t="shared" si="0"/>
        <v>#N/A</v>
      </c>
      <c r="AA28" s="141">
        <f t="shared" si="0"/>
        <v>31</v>
      </c>
      <c r="AB28" s="141">
        <f t="shared" si="0"/>
        <v>0</v>
      </c>
      <c r="AC28" s="141">
        <f t="shared" si="0"/>
        <v>0</v>
      </c>
      <c r="AD28" s="141">
        <f t="shared" si="0"/>
        <v>0</v>
      </c>
      <c r="AE28" s="142" t="e">
        <f t="shared" si="1"/>
        <v>#N/A</v>
      </c>
      <c r="AF28" s="135">
        <f t="shared" si="2"/>
        <v>619.5</v>
      </c>
      <c r="AG28" s="135"/>
      <c r="AI28"/>
    </row>
    <row r="29" spans="1:35" s="143" customFormat="1" ht="30.75">
      <c r="A29" s="136">
        <v>27</v>
      </c>
      <c r="B29" s="136">
        <v>1</v>
      </c>
      <c r="C29" s="136" t="s">
        <v>1501</v>
      </c>
      <c r="D29" s="137" t="s">
        <v>1502</v>
      </c>
      <c r="E29" s="137" t="s">
        <v>1503</v>
      </c>
      <c r="F29" s="137"/>
      <c r="G29" s="137"/>
      <c r="H29" s="137" t="s">
        <v>1504</v>
      </c>
      <c r="I29" s="137"/>
      <c r="J29" s="137" t="s">
        <v>1369</v>
      </c>
      <c r="K29" s="137"/>
      <c r="L29" s="137" t="s">
        <v>1505</v>
      </c>
      <c r="M29" s="137"/>
      <c r="N29" s="138">
        <v>0</v>
      </c>
      <c r="O29" s="138">
        <v>3.5277777777777776E-2</v>
      </c>
      <c r="P29" s="138"/>
      <c r="Q29" s="138">
        <f>(1078-861)</f>
        <v>217</v>
      </c>
      <c r="R29" s="137" t="s">
        <v>1388</v>
      </c>
      <c r="S29" s="139" t="e" vm="1">
        <f>O29*30000+P29+Q29*[2]Summary!$E$9</f>
        <v>#VALUE!</v>
      </c>
      <c r="T29" s="140" t="e">
        <f>HLOOKUP(B29,[2]Summary!$I$1:$XFD$2,2,0)</f>
        <v>#N/A</v>
      </c>
      <c r="U29" s="141">
        <v>1</v>
      </c>
      <c r="V29" s="141">
        <v>1</v>
      </c>
      <c r="W29" s="141"/>
      <c r="X29" s="141"/>
      <c r="Y29" s="141"/>
      <c r="Z29" s="141" t="e">
        <f t="shared" si="0"/>
        <v>#N/A</v>
      </c>
      <c r="AA29" s="141">
        <f t="shared" si="0"/>
        <v>31</v>
      </c>
      <c r="AB29" s="141">
        <f t="shared" si="0"/>
        <v>0</v>
      </c>
      <c r="AC29" s="141">
        <f t="shared" si="0"/>
        <v>0</v>
      </c>
      <c r="AD29" s="141">
        <f t="shared" si="0"/>
        <v>0</v>
      </c>
      <c r="AE29" s="142" t="e">
        <f t="shared" si="1"/>
        <v>#N/A</v>
      </c>
      <c r="AF29" s="135">
        <f t="shared" si="2"/>
        <v>217</v>
      </c>
      <c r="AG29" s="135"/>
      <c r="AI29"/>
    </row>
    <row r="30" spans="1:35" customFormat="1" ht="60.75">
      <c r="A30" s="135">
        <v>1</v>
      </c>
      <c r="B30" s="135">
        <v>2</v>
      </c>
      <c r="C30" s="135" t="s">
        <v>1440</v>
      </c>
      <c r="D30" s="145" t="s">
        <v>1506</v>
      </c>
      <c r="E30" s="145" t="s">
        <v>1507</v>
      </c>
      <c r="F30" s="145"/>
      <c r="G30" s="145"/>
      <c r="H30" s="145" t="s">
        <v>1508</v>
      </c>
      <c r="I30" s="145"/>
      <c r="J30" s="145" t="s">
        <v>1351</v>
      </c>
      <c r="K30" s="145"/>
      <c r="L30" s="148">
        <v>0.40460000000000002</v>
      </c>
      <c r="M30" s="148"/>
      <c r="N30" s="149">
        <v>0</v>
      </c>
      <c r="O30" s="149">
        <v>5.833333333333333</v>
      </c>
      <c r="P30" s="149"/>
      <c r="Q30" s="149"/>
      <c r="R30" s="145"/>
      <c r="S30" s="139" t="e" vm="1">
        <f>O30*30000+P30+Q30*[2]Summary!$E$9</f>
        <v>#VALUE!</v>
      </c>
      <c r="T30" s="140" t="e">
        <f>HLOOKUP(B30,[2]Summary!$I$1:$XFD$2,2,0)</f>
        <v>#N/A</v>
      </c>
      <c r="U30" s="141">
        <v>1</v>
      </c>
      <c r="V30" s="141">
        <v>1</v>
      </c>
      <c r="W30" s="141"/>
      <c r="X30" s="141"/>
      <c r="Y30" s="141"/>
      <c r="Z30" s="141" t="e">
        <f t="shared" si="0"/>
        <v>#N/A</v>
      </c>
      <c r="AA30" s="141">
        <f t="shared" si="0"/>
        <v>31</v>
      </c>
      <c r="AB30" s="141">
        <f t="shared" si="0"/>
        <v>0</v>
      </c>
      <c r="AC30" s="141">
        <f t="shared" si="0"/>
        <v>0</v>
      </c>
      <c r="AD30" s="141">
        <f t="shared" si="0"/>
        <v>0</v>
      </c>
      <c r="AE30" s="142" t="e">
        <f t="shared" si="1"/>
        <v>#N/A</v>
      </c>
      <c r="AF30" s="135">
        <f t="shared" si="2"/>
        <v>5.833333333333333</v>
      </c>
      <c r="AG30" s="135"/>
    </row>
    <row r="31" spans="1:35" customFormat="1" ht="30.75">
      <c r="A31" s="135">
        <v>2</v>
      </c>
      <c r="B31" s="135">
        <v>2</v>
      </c>
      <c r="C31" s="135" t="s">
        <v>1445</v>
      </c>
      <c r="D31" s="145" t="s">
        <v>1509</v>
      </c>
      <c r="E31" s="145" t="s">
        <v>1510</v>
      </c>
      <c r="F31" s="145"/>
      <c r="G31" s="145"/>
      <c r="H31" s="145" t="s">
        <v>1511</v>
      </c>
      <c r="I31" s="145"/>
      <c r="J31" s="145" t="s">
        <v>1351</v>
      </c>
      <c r="K31" s="145"/>
      <c r="L31" s="137"/>
      <c r="M31" s="137"/>
      <c r="N31" s="149">
        <v>0</v>
      </c>
      <c r="O31" s="149">
        <v>3.3</v>
      </c>
      <c r="P31" s="149"/>
      <c r="Q31" s="149"/>
      <c r="R31" s="145"/>
      <c r="S31" s="139" t="e" vm="1">
        <f>O31*30000+P31+Q31*[2]Summary!$E$9</f>
        <v>#VALUE!</v>
      </c>
      <c r="T31" s="140" t="e">
        <f>HLOOKUP(B31,[2]Summary!$I$1:$XFD$2,2,0)</f>
        <v>#N/A</v>
      </c>
      <c r="U31" s="141">
        <v>1</v>
      </c>
      <c r="V31" s="141">
        <v>1</v>
      </c>
      <c r="W31" s="141"/>
      <c r="X31" s="141"/>
      <c r="Y31" s="141"/>
      <c r="Z31" s="141" t="e">
        <f t="shared" si="0"/>
        <v>#N/A</v>
      </c>
      <c r="AA31" s="141">
        <f t="shared" si="0"/>
        <v>31</v>
      </c>
      <c r="AB31" s="141">
        <f t="shared" si="0"/>
        <v>0</v>
      </c>
      <c r="AC31" s="141">
        <f t="shared" si="0"/>
        <v>0</v>
      </c>
      <c r="AD31" s="141">
        <f t="shared" si="0"/>
        <v>0</v>
      </c>
      <c r="AE31" s="142" t="e">
        <f t="shared" si="1"/>
        <v>#N/A</v>
      </c>
      <c r="AF31" s="135">
        <f t="shared" si="2"/>
        <v>3.3</v>
      </c>
      <c r="AG31" s="135"/>
    </row>
    <row r="32" spans="1:35" customFormat="1" ht="30.75">
      <c r="A32" s="135">
        <v>3</v>
      </c>
      <c r="B32" s="135">
        <v>2</v>
      </c>
      <c r="C32" s="135" t="s">
        <v>1451</v>
      </c>
      <c r="D32" s="145" t="s">
        <v>1512</v>
      </c>
      <c r="E32" s="145" t="s">
        <v>1513</v>
      </c>
      <c r="F32" s="145"/>
      <c r="G32" s="145"/>
      <c r="H32" s="145" t="s">
        <v>1514</v>
      </c>
      <c r="I32" s="145"/>
      <c r="J32" s="145" t="s">
        <v>1351</v>
      </c>
      <c r="K32" s="145"/>
      <c r="L32" s="137"/>
      <c r="M32" s="137"/>
      <c r="N32" s="149">
        <v>0</v>
      </c>
      <c r="O32" s="149">
        <v>2.0666666666666669</v>
      </c>
      <c r="P32" s="149"/>
      <c r="Q32" s="149"/>
      <c r="R32" s="145"/>
      <c r="S32" s="139" t="e" vm="1">
        <f>O32*30000+P32+Q32*[2]Summary!$E$9</f>
        <v>#VALUE!</v>
      </c>
      <c r="T32" s="140" t="e">
        <f>HLOOKUP(B32,[2]Summary!$I$1:$XFD$2,2,0)</f>
        <v>#N/A</v>
      </c>
      <c r="U32" s="141">
        <v>1</v>
      </c>
      <c r="V32" s="141">
        <v>1</v>
      </c>
      <c r="W32" s="141"/>
      <c r="X32" s="141"/>
      <c r="Y32" s="141"/>
      <c r="Z32" s="141" t="e">
        <f t="shared" si="0"/>
        <v>#N/A</v>
      </c>
      <c r="AA32" s="141">
        <f t="shared" si="0"/>
        <v>31</v>
      </c>
      <c r="AB32" s="141">
        <f t="shared" si="0"/>
        <v>0</v>
      </c>
      <c r="AC32" s="141">
        <f t="shared" si="0"/>
        <v>0</v>
      </c>
      <c r="AD32" s="141">
        <f t="shared" si="0"/>
        <v>0</v>
      </c>
      <c r="AE32" s="142" t="e">
        <f t="shared" si="1"/>
        <v>#N/A</v>
      </c>
      <c r="AF32" s="135">
        <f t="shared" si="2"/>
        <v>2.0666666666666669</v>
      </c>
      <c r="AG32" s="135"/>
    </row>
    <row r="33" spans="1:33" customFormat="1" ht="30.75">
      <c r="A33" s="135">
        <v>4</v>
      </c>
      <c r="B33" s="135">
        <v>2</v>
      </c>
      <c r="C33" s="135" t="s">
        <v>1457</v>
      </c>
      <c r="D33" s="145" t="s">
        <v>1515</v>
      </c>
      <c r="E33" s="145" t="s">
        <v>1516</v>
      </c>
      <c r="F33" s="145"/>
      <c r="G33" s="145"/>
      <c r="H33" s="145" t="s">
        <v>1517</v>
      </c>
      <c r="I33" s="145"/>
      <c r="J33" s="145" t="s">
        <v>1518</v>
      </c>
      <c r="K33" s="145"/>
      <c r="L33" s="137"/>
      <c r="M33" s="137"/>
      <c r="N33" s="149">
        <v>0</v>
      </c>
      <c r="O33" s="149">
        <v>5.8</v>
      </c>
      <c r="P33" s="149"/>
      <c r="Q33" s="149"/>
      <c r="R33" s="145"/>
      <c r="S33" s="139" t="e" vm="1">
        <f>O33*30000+P33+Q33*[2]Summary!$E$9</f>
        <v>#VALUE!</v>
      </c>
      <c r="T33" s="140" t="e">
        <f>HLOOKUP(B33,[2]Summary!$I$1:$XFD$2,2,0)</f>
        <v>#N/A</v>
      </c>
      <c r="U33" s="141">
        <v>1</v>
      </c>
      <c r="V33" s="141">
        <v>1</v>
      </c>
      <c r="W33" s="141"/>
      <c r="X33" s="141"/>
      <c r="Y33" s="141"/>
      <c r="Z33" s="141" t="e">
        <f t="shared" si="0"/>
        <v>#N/A</v>
      </c>
      <c r="AA33" s="141">
        <f t="shared" si="0"/>
        <v>31</v>
      </c>
      <c r="AB33" s="141">
        <f t="shared" si="0"/>
        <v>0</v>
      </c>
      <c r="AC33" s="141">
        <f t="shared" si="0"/>
        <v>0</v>
      </c>
      <c r="AD33" s="141">
        <f t="shared" si="0"/>
        <v>0</v>
      </c>
      <c r="AE33" s="142" t="e">
        <f t="shared" si="1"/>
        <v>#N/A</v>
      </c>
      <c r="AF33" s="135">
        <f t="shared" si="2"/>
        <v>5.8</v>
      </c>
      <c r="AG33" s="135"/>
    </row>
    <row r="34" spans="1:33" customFormat="1" ht="45.75">
      <c r="A34" s="135">
        <v>5</v>
      </c>
      <c r="B34" s="135">
        <v>2</v>
      </c>
      <c r="C34" s="135" t="s">
        <v>1469</v>
      </c>
      <c r="D34" s="145" t="s">
        <v>1476</v>
      </c>
      <c r="E34" s="145" t="s">
        <v>1519</v>
      </c>
      <c r="F34" s="145"/>
      <c r="G34" s="145"/>
      <c r="H34" s="145" t="s">
        <v>1520</v>
      </c>
      <c r="I34" s="145"/>
      <c r="J34" s="145" t="s">
        <v>1351</v>
      </c>
      <c r="K34" s="145"/>
      <c r="L34" s="137"/>
      <c r="M34" s="137"/>
      <c r="N34" s="149">
        <v>0</v>
      </c>
      <c r="O34" s="150">
        <v>46.666666666666664</v>
      </c>
      <c r="P34" s="149"/>
      <c r="Q34" s="149"/>
      <c r="R34" s="145"/>
      <c r="S34" s="151" t="e" vm="1">
        <f>O34*30000+P34+Q34*[2]Summary!$E$9</f>
        <v>#VALUE!</v>
      </c>
      <c r="T34" s="140" t="e">
        <f>HLOOKUP(B34,[2]Summary!$I$1:$XFD$2,2,0)</f>
        <v>#N/A</v>
      </c>
      <c r="U34" s="141">
        <v>1</v>
      </c>
      <c r="V34" s="141">
        <v>1</v>
      </c>
      <c r="W34" s="141"/>
      <c r="X34" s="141"/>
      <c r="Y34" s="141"/>
      <c r="Z34" s="141" t="e">
        <f t="shared" si="0"/>
        <v>#N/A</v>
      </c>
      <c r="AA34" s="141">
        <f t="shared" si="0"/>
        <v>31</v>
      </c>
      <c r="AB34" s="141">
        <f t="shared" si="0"/>
        <v>0</v>
      </c>
      <c r="AC34" s="141">
        <f t="shared" si="0"/>
        <v>0</v>
      </c>
      <c r="AD34" s="141">
        <f t="shared" si="0"/>
        <v>0</v>
      </c>
      <c r="AE34" s="142" t="e">
        <f t="shared" si="1"/>
        <v>#N/A</v>
      </c>
      <c r="AF34" s="135">
        <f t="shared" si="2"/>
        <v>46.666666666666664</v>
      </c>
      <c r="AG34" s="135" t="s">
        <v>1372</v>
      </c>
    </row>
    <row r="35" spans="1:33" customFormat="1">
      <c r="A35" s="135">
        <v>6</v>
      </c>
      <c r="B35" s="135">
        <v>2</v>
      </c>
      <c r="C35" s="135" t="s">
        <v>1463</v>
      </c>
      <c r="D35" s="145" t="s">
        <v>1521</v>
      </c>
      <c r="E35" s="145" t="s">
        <v>1522</v>
      </c>
      <c r="F35" s="145"/>
      <c r="G35" s="145"/>
      <c r="H35" s="145" t="s">
        <v>1522</v>
      </c>
      <c r="I35" s="145"/>
      <c r="J35" s="145" t="s">
        <v>1523</v>
      </c>
      <c r="K35" s="145"/>
      <c r="L35" s="137"/>
      <c r="M35" s="137"/>
      <c r="N35" s="149">
        <v>65.99944444444445</v>
      </c>
      <c r="O35" s="150">
        <v>0</v>
      </c>
      <c r="P35" s="149"/>
      <c r="Q35" s="149"/>
      <c r="R35" s="145"/>
      <c r="S35" s="139" t="e" vm="1">
        <f>O35*30000+P35+Q35*[2]Summary!$E$9</f>
        <v>#VALUE!</v>
      </c>
      <c r="T35" s="140" t="e">
        <f>HLOOKUP(B35,[2]Summary!$I$1:$XFD$2,2,0)</f>
        <v>#N/A</v>
      </c>
      <c r="U35" s="141">
        <v>1</v>
      </c>
      <c r="V35" s="141">
        <v>1</v>
      </c>
      <c r="W35" s="141"/>
      <c r="X35" s="141"/>
      <c r="Y35" s="141"/>
      <c r="Z35" s="141" t="e">
        <f t="shared" ref="Z35:AD66" si="4">IF(U35=1,MIN(U$2-T35,U$2-T$2),0)</f>
        <v>#N/A</v>
      </c>
      <c r="AA35" s="141">
        <f t="shared" si="4"/>
        <v>31</v>
      </c>
      <c r="AB35" s="141">
        <f t="shared" si="4"/>
        <v>0</v>
      </c>
      <c r="AC35" s="141">
        <f t="shared" si="4"/>
        <v>0</v>
      </c>
      <c r="AD35" s="141">
        <f t="shared" si="4"/>
        <v>0</v>
      </c>
      <c r="AE35" s="142" t="e">
        <f t="shared" si="1"/>
        <v>#N/A</v>
      </c>
      <c r="AF35" s="135">
        <f t="shared" si="2"/>
        <v>65.99944444444445</v>
      </c>
      <c r="AG35" s="135"/>
    </row>
    <row r="36" spans="1:33" customFormat="1" ht="45.75">
      <c r="A36" s="135">
        <v>7</v>
      </c>
      <c r="B36" s="135">
        <v>2</v>
      </c>
      <c r="C36" s="135" t="s">
        <v>1488</v>
      </c>
      <c r="D36" s="145" t="s">
        <v>1489</v>
      </c>
      <c r="E36" s="145" t="s">
        <v>1524</v>
      </c>
      <c r="F36" s="145"/>
      <c r="G36" s="145"/>
      <c r="H36" s="145" t="s">
        <v>1525</v>
      </c>
      <c r="I36" s="145"/>
      <c r="J36" s="145" t="s">
        <v>1526</v>
      </c>
      <c r="K36" s="145"/>
      <c r="L36" s="152">
        <v>0.52</v>
      </c>
      <c r="M36" s="152"/>
      <c r="N36" s="149">
        <v>0</v>
      </c>
      <c r="O36" s="149">
        <v>1.52</v>
      </c>
      <c r="P36" s="149"/>
      <c r="Q36" s="149"/>
      <c r="R36" s="145"/>
      <c r="S36" s="139" t="e" vm="1">
        <f>O36*30000+P36+Q36*[2]Summary!$E$9</f>
        <v>#VALUE!</v>
      </c>
      <c r="T36" s="140" t="e">
        <f>HLOOKUP(B36,[2]Summary!$I$1:$XFD$2,2,0)</f>
        <v>#N/A</v>
      </c>
      <c r="U36" s="141">
        <v>1</v>
      </c>
      <c r="V36" s="141">
        <v>1</v>
      </c>
      <c r="W36" s="141"/>
      <c r="X36" s="141"/>
      <c r="Y36" s="141"/>
      <c r="Z36" s="141" t="e">
        <f t="shared" si="4"/>
        <v>#N/A</v>
      </c>
      <c r="AA36" s="141">
        <f t="shared" si="4"/>
        <v>31</v>
      </c>
      <c r="AB36" s="141">
        <f t="shared" si="4"/>
        <v>0</v>
      </c>
      <c r="AC36" s="141">
        <f t="shared" si="4"/>
        <v>0</v>
      </c>
      <c r="AD36" s="141">
        <f t="shared" si="4"/>
        <v>0</v>
      </c>
      <c r="AE36" s="142" t="e">
        <f t="shared" si="1"/>
        <v>#N/A</v>
      </c>
      <c r="AF36" s="135">
        <f t="shared" si="2"/>
        <v>1.52</v>
      </c>
      <c r="AG36" s="135" t="s">
        <v>1372</v>
      </c>
    </row>
    <row r="37" spans="1:33" customFormat="1" ht="30.75">
      <c r="A37" s="135">
        <v>8</v>
      </c>
      <c r="B37" s="135">
        <v>2</v>
      </c>
      <c r="C37" s="135" t="s">
        <v>1383</v>
      </c>
      <c r="D37" s="145" t="s">
        <v>1527</v>
      </c>
      <c r="E37" s="145" t="s">
        <v>1528</v>
      </c>
      <c r="F37" s="145"/>
      <c r="G37" s="145"/>
      <c r="H37" s="145" t="s">
        <v>1529</v>
      </c>
      <c r="I37" s="145"/>
      <c r="J37" s="145" t="s">
        <v>1530</v>
      </c>
      <c r="K37" s="145"/>
      <c r="L37" s="137"/>
      <c r="M37" s="137"/>
      <c r="N37" s="149">
        <v>0</v>
      </c>
      <c r="O37" s="149">
        <v>24.933333333333334</v>
      </c>
      <c r="P37" s="149"/>
      <c r="Q37" s="149"/>
      <c r="R37" s="145"/>
      <c r="S37" s="144" t="e" vm="1">
        <f>O37*30000+P37+Q37*[2]Summary!$E$9</f>
        <v>#VALUE!</v>
      </c>
      <c r="T37" s="140" t="e">
        <f>HLOOKUP(B37,[2]Summary!$I$1:$XFD$2,2,0)</f>
        <v>#N/A</v>
      </c>
      <c r="U37" s="141">
        <v>1</v>
      </c>
      <c r="V37" s="141">
        <v>1</v>
      </c>
      <c r="W37" s="141"/>
      <c r="X37" s="141"/>
      <c r="Y37" s="141"/>
      <c r="Z37" s="141" t="e">
        <f t="shared" si="4"/>
        <v>#N/A</v>
      </c>
      <c r="AA37" s="141">
        <f t="shared" si="4"/>
        <v>31</v>
      </c>
      <c r="AB37" s="141">
        <f t="shared" si="4"/>
        <v>0</v>
      </c>
      <c r="AC37" s="141">
        <f t="shared" si="4"/>
        <v>0</v>
      </c>
      <c r="AD37" s="141">
        <f t="shared" si="4"/>
        <v>0</v>
      </c>
      <c r="AE37" s="142" t="e">
        <f t="shared" si="1"/>
        <v>#N/A</v>
      </c>
      <c r="AF37" s="135">
        <f t="shared" si="2"/>
        <v>24.933333333333334</v>
      </c>
      <c r="AG37" s="135"/>
    </row>
    <row r="38" spans="1:33" customFormat="1" ht="30.75">
      <c r="A38" s="135">
        <v>9</v>
      </c>
      <c r="B38" s="135">
        <v>2</v>
      </c>
      <c r="C38" s="135" t="s">
        <v>1383</v>
      </c>
      <c r="D38" s="145" t="s">
        <v>1531</v>
      </c>
      <c r="E38" s="145" t="s">
        <v>1532</v>
      </c>
      <c r="F38" s="145"/>
      <c r="G38" s="145"/>
      <c r="H38" s="145" t="s">
        <v>1532</v>
      </c>
      <c r="I38" s="145"/>
      <c r="J38" s="145" t="s">
        <v>1530</v>
      </c>
      <c r="K38" s="145"/>
      <c r="L38" s="137"/>
      <c r="M38" s="137"/>
      <c r="N38" s="149">
        <v>0</v>
      </c>
      <c r="O38" s="149">
        <v>1.1083333333333334</v>
      </c>
      <c r="P38" s="149"/>
      <c r="Q38" s="149"/>
      <c r="R38" s="145"/>
      <c r="S38" s="139" t="e" vm="1">
        <f>O38*30000+P38+Q38*[2]Summary!$E$9</f>
        <v>#VALUE!</v>
      </c>
      <c r="T38" s="140" t="e">
        <f>HLOOKUP(B38,[2]Summary!$I$1:$XFD$2,2,0)</f>
        <v>#N/A</v>
      </c>
      <c r="U38" s="141">
        <v>1</v>
      </c>
      <c r="V38" s="141">
        <v>1</v>
      </c>
      <c r="W38" s="141"/>
      <c r="X38" s="141"/>
      <c r="Y38" s="141"/>
      <c r="Z38" s="141" t="e">
        <f t="shared" si="4"/>
        <v>#N/A</v>
      </c>
      <c r="AA38" s="141">
        <f t="shared" si="4"/>
        <v>31</v>
      </c>
      <c r="AB38" s="141">
        <f t="shared" si="4"/>
        <v>0</v>
      </c>
      <c r="AC38" s="141">
        <f t="shared" si="4"/>
        <v>0</v>
      </c>
      <c r="AD38" s="141">
        <f t="shared" si="4"/>
        <v>0</v>
      </c>
      <c r="AE38" s="142" t="e">
        <f t="shared" si="1"/>
        <v>#N/A</v>
      </c>
      <c r="AF38" s="135">
        <f t="shared" si="2"/>
        <v>1.1083333333333334</v>
      </c>
      <c r="AG38" s="135"/>
    </row>
    <row r="39" spans="1:33" customFormat="1" ht="60.75">
      <c r="A39" s="135">
        <v>10</v>
      </c>
      <c r="B39" s="135">
        <v>2</v>
      </c>
      <c r="C39" s="135" t="s">
        <v>1347</v>
      </c>
      <c r="D39" s="145" t="s">
        <v>1533</v>
      </c>
      <c r="E39" s="145" t="s">
        <v>1534</v>
      </c>
      <c r="F39" s="145"/>
      <c r="G39" s="145"/>
      <c r="H39" s="145" t="s">
        <v>1535</v>
      </c>
      <c r="I39" s="145"/>
      <c r="J39" s="145" t="s">
        <v>1351</v>
      </c>
      <c r="K39" s="145"/>
      <c r="L39" s="137"/>
      <c r="M39" s="137"/>
      <c r="N39" s="149">
        <v>24.000833333333333</v>
      </c>
      <c r="O39" s="149">
        <v>0</v>
      </c>
      <c r="P39" s="149"/>
      <c r="Q39" s="149"/>
      <c r="R39" s="145"/>
      <c r="S39" s="139" t="e" vm="1">
        <f>O39*30000+P39+Q39*[2]Summary!$E$9</f>
        <v>#VALUE!</v>
      </c>
      <c r="T39" s="140" t="e">
        <f>HLOOKUP(B39,[2]Summary!$I$1:$XFD$2,2,0)</f>
        <v>#N/A</v>
      </c>
      <c r="U39" s="141">
        <v>1</v>
      </c>
      <c r="V39" s="141">
        <v>1</v>
      </c>
      <c r="W39" s="141"/>
      <c r="X39" s="141"/>
      <c r="Y39" s="141"/>
      <c r="Z39" s="141" t="e">
        <f t="shared" si="4"/>
        <v>#N/A</v>
      </c>
      <c r="AA39" s="141">
        <f t="shared" si="4"/>
        <v>31</v>
      </c>
      <c r="AB39" s="141">
        <f t="shared" si="4"/>
        <v>0</v>
      </c>
      <c r="AC39" s="141">
        <f t="shared" si="4"/>
        <v>0</v>
      </c>
      <c r="AD39" s="141">
        <f t="shared" si="4"/>
        <v>0</v>
      </c>
      <c r="AE39" s="142" t="e">
        <f t="shared" si="1"/>
        <v>#N/A</v>
      </c>
      <c r="AF39" s="135">
        <f t="shared" si="2"/>
        <v>24.000833333333333</v>
      </c>
      <c r="AG39" s="135"/>
    </row>
    <row r="40" spans="1:33" customFormat="1">
      <c r="A40" s="135">
        <v>11</v>
      </c>
      <c r="B40" s="135">
        <v>2</v>
      </c>
      <c r="C40" s="135" t="s">
        <v>1354</v>
      </c>
      <c r="D40" s="145" t="s">
        <v>1536</v>
      </c>
      <c r="E40" s="145" t="s">
        <v>1537</v>
      </c>
      <c r="F40" s="145"/>
      <c r="G40" s="145"/>
      <c r="H40" s="145" t="s">
        <v>1538</v>
      </c>
      <c r="I40" s="145"/>
      <c r="J40" s="145" t="s">
        <v>1539</v>
      </c>
      <c r="K40" s="145"/>
      <c r="L40" s="137"/>
      <c r="M40" s="137"/>
      <c r="N40" s="149">
        <v>0</v>
      </c>
      <c r="O40" s="149">
        <v>10.006666666666666</v>
      </c>
      <c r="P40" s="149"/>
      <c r="Q40" s="149"/>
      <c r="R40" s="145"/>
      <c r="S40" s="139" t="e" vm="1">
        <f>O40*30000+P40+Q40*[2]Summary!$E$9</f>
        <v>#VALUE!</v>
      </c>
      <c r="T40" s="140" t="e">
        <f>HLOOKUP(B40,[2]Summary!$I$1:$XFD$2,2,0)</f>
        <v>#N/A</v>
      </c>
      <c r="U40" s="141">
        <v>1</v>
      </c>
      <c r="V40" s="141">
        <v>1</v>
      </c>
      <c r="W40" s="141"/>
      <c r="X40" s="141"/>
      <c r="Y40" s="141"/>
      <c r="Z40" s="141" t="e">
        <f t="shared" si="4"/>
        <v>#N/A</v>
      </c>
      <c r="AA40" s="141">
        <f t="shared" si="4"/>
        <v>31</v>
      </c>
      <c r="AB40" s="141">
        <f t="shared" si="4"/>
        <v>0</v>
      </c>
      <c r="AC40" s="141">
        <f t="shared" si="4"/>
        <v>0</v>
      </c>
      <c r="AD40" s="141">
        <f t="shared" si="4"/>
        <v>0</v>
      </c>
      <c r="AE40" s="142" t="e">
        <f t="shared" si="1"/>
        <v>#N/A</v>
      </c>
      <c r="AF40" s="135">
        <f t="shared" si="2"/>
        <v>10.006666666666666</v>
      </c>
      <c r="AG40" s="135"/>
    </row>
    <row r="41" spans="1:33" customFormat="1" ht="45.75">
      <c r="A41" s="135">
        <v>12</v>
      </c>
      <c r="B41" s="135">
        <v>2</v>
      </c>
      <c r="C41" s="135" t="s">
        <v>456</v>
      </c>
      <c r="D41" s="145" t="s">
        <v>1540</v>
      </c>
      <c r="E41" s="145" t="s">
        <v>1541</v>
      </c>
      <c r="F41" s="145"/>
      <c r="G41" s="145"/>
      <c r="H41" s="145" t="s">
        <v>1542</v>
      </c>
      <c r="I41" s="145"/>
      <c r="J41" s="145" t="s">
        <v>1369</v>
      </c>
      <c r="K41" s="145"/>
      <c r="L41" s="152">
        <v>1.72</v>
      </c>
      <c r="M41" s="152"/>
      <c r="N41" s="149">
        <v>0</v>
      </c>
      <c r="O41" s="149">
        <v>18.333333333333332</v>
      </c>
      <c r="P41" s="149"/>
      <c r="Q41" s="149"/>
      <c r="R41" s="145"/>
      <c r="S41" s="139" t="e" vm="1">
        <f>O41*30000+P41+Q41*[2]Summary!$E$9</f>
        <v>#VALUE!</v>
      </c>
      <c r="T41" s="140" t="e">
        <f>HLOOKUP(B41,[2]Summary!$I$1:$XFD$2,2,0)</f>
        <v>#N/A</v>
      </c>
      <c r="U41" s="141">
        <v>1</v>
      </c>
      <c r="V41" s="141">
        <v>1</v>
      </c>
      <c r="W41" s="141"/>
      <c r="X41" s="141"/>
      <c r="Y41" s="141"/>
      <c r="Z41" s="141" t="e">
        <f t="shared" si="4"/>
        <v>#N/A</v>
      </c>
      <c r="AA41" s="141">
        <f t="shared" si="4"/>
        <v>31</v>
      </c>
      <c r="AB41" s="141">
        <f t="shared" si="4"/>
        <v>0</v>
      </c>
      <c r="AC41" s="141">
        <f t="shared" si="4"/>
        <v>0</v>
      </c>
      <c r="AD41" s="141">
        <f t="shared" si="4"/>
        <v>0</v>
      </c>
      <c r="AE41" s="142" t="e">
        <f t="shared" si="1"/>
        <v>#N/A</v>
      </c>
      <c r="AF41" s="135">
        <f t="shared" si="2"/>
        <v>18.333333333333332</v>
      </c>
      <c r="AG41" s="135"/>
    </row>
    <row r="42" spans="1:33" customFormat="1" ht="30.75">
      <c r="A42" s="135">
        <v>13</v>
      </c>
      <c r="B42" s="135">
        <v>2</v>
      </c>
      <c r="C42" s="135" t="s">
        <v>59</v>
      </c>
      <c r="D42" s="145" t="s">
        <v>1366</v>
      </c>
      <c r="E42" s="145" t="s">
        <v>1543</v>
      </c>
      <c r="F42" s="145"/>
      <c r="G42" s="145"/>
      <c r="H42" s="145" t="s">
        <v>1544</v>
      </c>
      <c r="I42" s="145"/>
      <c r="J42" s="145" t="s">
        <v>1351</v>
      </c>
      <c r="K42" s="145"/>
      <c r="L42" s="148">
        <v>2.7189999999999999</v>
      </c>
      <c r="M42" s="148"/>
      <c r="N42" s="149">
        <v>0</v>
      </c>
      <c r="O42" s="149">
        <v>3.4350000000000001</v>
      </c>
      <c r="P42" s="149"/>
      <c r="Q42" s="149"/>
      <c r="R42" s="145"/>
      <c r="S42" s="139" t="e" vm="1">
        <f>O42*30000+P42+Q42*[2]Summary!$E$9</f>
        <v>#VALUE!</v>
      </c>
      <c r="T42" s="140" t="e">
        <f>HLOOKUP(B42,[2]Summary!$I$1:$XFD$2,2,0)</f>
        <v>#N/A</v>
      </c>
      <c r="U42" s="141">
        <v>1</v>
      </c>
      <c r="V42" s="141">
        <v>1</v>
      </c>
      <c r="W42" s="141"/>
      <c r="X42" s="141"/>
      <c r="Y42" s="141"/>
      <c r="Z42" s="141" t="e">
        <f t="shared" si="4"/>
        <v>#N/A</v>
      </c>
      <c r="AA42" s="141">
        <f t="shared" si="4"/>
        <v>31</v>
      </c>
      <c r="AB42" s="141">
        <f t="shared" si="4"/>
        <v>0</v>
      </c>
      <c r="AC42" s="141">
        <f t="shared" si="4"/>
        <v>0</v>
      </c>
      <c r="AD42" s="141">
        <f t="shared" si="4"/>
        <v>0</v>
      </c>
      <c r="AE42" s="142" t="e">
        <f t="shared" si="1"/>
        <v>#N/A</v>
      </c>
      <c r="AF42" s="135">
        <f t="shared" si="2"/>
        <v>3.4350000000000001</v>
      </c>
      <c r="AG42" s="135" t="s">
        <v>1372</v>
      </c>
    </row>
    <row r="43" spans="1:33" customFormat="1" ht="30.75">
      <c r="A43" s="135">
        <v>14</v>
      </c>
      <c r="B43" s="135">
        <v>2</v>
      </c>
      <c r="C43" s="135" t="s">
        <v>1399</v>
      </c>
      <c r="D43" s="145" t="s">
        <v>1400</v>
      </c>
      <c r="E43" s="145" t="s">
        <v>1545</v>
      </c>
      <c r="F43" s="145"/>
      <c r="G43" s="145"/>
      <c r="H43" s="145" t="s">
        <v>1546</v>
      </c>
      <c r="I43" s="145"/>
      <c r="J43" s="145" t="s">
        <v>1438</v>
      </c>
      <c r="K43" s="145"/>
      <c r="L43" s="152">
        <v>0.63</v>
      </c>
      <c r="M43" s="152"/>
      <c r="N43" s="149">
        <v>0</v>
      </c>
      <c r="O43" s="149">
        <v>7.1233333333333331</v>
      </c>
      <c r="P43" s="149"/>
      <c r="Q43" s="149"/>
      <c r="R43" s="145"/>
      <c r="S43" s="139" t="e" vm="1">
        <f>O43*30000+P43+Q43*[2]Summary!$E$9</f>
        <v>#VALUE!</v>
      </c>
      <c r="T43" s="140" t="e">
        <f>HLOOKUP(B43,[2]Summary!$I$1:$XFD$2,2,0)</f>
        <v>#N/A</v>
      </c>
      <c r="U43" s="141">
        <v>1</v>
      </c>
      <c r="V43" s="141">
        <v>1</v>
      </c>
      <c r="W43" s="141"/>
      <c r="X43" s="141"/>
      <c r="Y43" s="141"/>
      <c r="Z43" s="141" t="e">
        <f t="shared" si="4"/>
        <v>#N/A</v>
      </c>
      <c r="AA43" s="141">
        <f t="shared" si="4"/>
        <v>31</v>
      </c>
      <c r="AB43" s="141">
        <f t="shared" si="4"/>
        <v>0</v>
      </c>
      <c r="AC43" s="141">
        <f t="shared" si="4"/>
        <v>0</v>
      </c>
      <c r="AD43" s="141">
        <f t="shared" si="4"/>
        <v>0</v>
      </c>
      <c r="AE43" s="142" t="e">
        <f t="shared" si="1"/>
        <v>#N/A</v>
      </c>
      <c r="AF43" s="135">
        <f t="shared" si="2"/>
        <v>7.1233333333333331</v>
      </c>
      <c r="AG43" s="135"/>
    </row>
    <row r="44" spans="1:33" customFormat="1" ht="30.75">
      <c r="A44" s="135">
        <v>15</v>
      </c>
      <c r="B44" s="135">
        <v>2</v>
      </c>
      <c r="C44" s="135" t="s">
        <v>1405</v>
      </c>
      <c r="D44" s="145" t="s">
        <v>1547</v>
      </c>
      <c r="E44" s="145" t="s">
        <v>1548</v>
      </c>
      <c r="F44" s="145"/>
      <c r="G44" s="145"/>
      <c r="H44" s="145" t="s">
        <v>1549</v>
      </c>
      <c r="I44" s="145"/>
      <c r="J44" s="145" t="s">
        <v>1550</v>
      </c>
      <c r="K44" s="145"/>
      <c r="L44" s="152">
        <v>0.69</v>
      </c>
      <c r="M44" s="152"/>
      <c r="N44" s="149">
        <v>0</v>
      </c>
      <c r="O44" s="149">
        <v>3.9833333333333334</v>
      </c>
      <c r="P44" s="149"/>
      <c r="Q44" s="149"/>
      <c r="R44" s="145"/>
      <c r="S44" s="139" t="e" vm="1">
        <f>O44*30000+P44+Q44*[2]Summary!$E$9</f>
        <v>#VALUE!</v>
      </c>
      <c r="T44" s="140" t="e">
        <f>HLOOKUP(B44,[2]Summary!$I$1:$XFD$2,2,0)</f>
        <v>#N/A</v>
      </c>
      <c r="U44" s="141">
        <v>1</v>
      </c>
      <c r="V44" s="141">
        <v>1</v>
      </c>
      <c r="W44" s="141"/>
      <c r="X44" s="141"/>
      <c r="Y44" s="141"/>
      <c r="Z44" s="141" t="e">
        <f t="shared" si="4"/>
        <v>#N/A</v>
      </c>
      <c r="AA44" s="141">
        <f t="shared" si="4"/>
        <v>31</v>
      </c>
      <c r="AB44" s="141">
        <f t="shared" si="4"/>
        <v>0</v>
      </c>
      <c r="AC44" s="141">
        <f t="shared" si="4"/>
        <v>0</v>
      </c>
      <c r="AD44" s="141">
        <f t="shared" si="4"/>
        <v>0</v>
      </c>
      <c r="AE44" s="142" t="e">
        <f t="shared" si="1"/>
        <v>#N/A</v>
      </c>
      <c r="AF44" s="135">
        <f t="shared" si="2"/>
        <v>3.9833333333333334</v>
      </c>
      <c r="AG44" s="135"/>
    </row>
    <row r="45" spans="1:33" customFormat="1" ht="30.75">
      <c r="A45" s="135">
        <v>16</v>
      </c>
      <c r="B45" s="135">
        <v>2</v>
      </c>
      <c r="C45" s="135" t="s">
        <v>1411</v>
      </c>
      <c r="D45" s="145" t="s">
        <v>1551</v>
      </c>
      <c r="E45" s="145" t="s">
        <v>1552</v>
      </c>
      <c r="F45" s="145"/>
      <c r="G45" s="145"/>
      <c r="H45" s="145" t="s">
        <v>1553</v>
      </c>
      <c r="I45" s="145"/>
      <c r="J45" s="145" t="s">
        <v>1554</v>
      </c>
      <c r="K45" s="145"/>
      <c r="L45" s="137"/>
      <c r="M45" s="137"/>
      <c r="N45" s="149">
        <v>0</v>
      </c>
      <c r="O45" s="149">
        <v>12</v>
      </c>
      <c r="P45" s="149"/>
      <c r="Q45" s="149"/>
      <c r="R45" s="145"/>
      <c r="S45" s="139" t="e" vm="1">
        <f>O45*30000+P45+Q45*[2]Summary!$E$9</f>
        <v>#VALUE!</v>
      </c>
      <c r="T45" s="140" t="e">
        <f>HLOOKUP(B45,[2]Summary!$I$1:$XFD$2,2,0)</f>
        <v>#N/A</v>
      </c>
      <c r="U45" s="141">
        <v>1</v>
      </c>
      <c r="V45" s="141">
        <v>1</v>
      </c>
      <c r="W45" s="141"/>
      <c r="X45" s="141"/>
      <c r="Y45" s="141"/>
      <c r="Z45" s="141" t="e">
        <f t="shared" si="4"/>
        <v>#N/A</v>
      </c>
      <c r="AA45" s="141">
        <f t="shared" si="4"/>
        <v>31</v>
      </c>
      <c r="AB45" s="141">
        <f t="shared" si="4"/>
        <v>0</v>
      </c>
      <c r="AC45" s="141">
        <f t="shared" si="4"/>
        <v>0</v>
      </c>
      <c r="AD45" s="141">
        <f t="shared" si="4"/>
        <v>0</v>
      </c>
      <c r="AE45" s="142" t="e">
        <f t="shared" si="1"/>
        <v>#N/A</v>
      </c>
      <c r="AF45" s="135">
        <f t="shared" si="2"/>
        <v>12</v>
      </c>
      <c r="AG45" s="135"/>
    </row>
    <row r="46" spans="1:33" customFormat="1" ht="30.75">
      <c r="A46" s="135">
        <v>17</v>
      </c>
      <c r="B46" s="135">
        <v>2</v>
      </c>
      <c r="C46" s="135" t="s">
        <v>1416</v>
      </c>
      <c r="D46" s="145" t="s">
        <v>1555</v>
      </c>
      <c r="E46" s="145" t="s">
        <v>1556</v>
      </c>
      <c r="F46" s="145"/>
      <c r="G46" s="145"/>
      <c r="H46" s="145" t="s">
        <v>1557</v>
      </c>
      <c r="I46" s="145"/>
      <c r="J46" s="145" t="s">
        <v>1438</v>
      </c>
      <c r="K46" s="145"/>
      <c r="L46" s="137"/>
      <c r="M46" s="137"/>
      <c r="N46" s="149">
        <v>0</v>
      </c>
      <c r="O46" s="149">
        <v>2.7</v>
      </c>
      <c r="P46" s="149"/>
      <c r="Q46" s="149"/>
      <c r="R46" s="145"/>
      <c r="S46" s="139" t="e" vm="1">
        <f>O46*30000+P46+Q46*[2]Summary!$E$9</f>
        <v>#VALUE!</v>
      </c>
      <c r="T46" s="140" t="e">
        <f>HLOOKUP(B46,[2]Summary!$I$1:$XFD$2,2,0)</f>
        <v>#N/A</v>
      </c>
      <c r="U46" s="141">
        <v>1</v>
      </c>
      <c r="V46" s="141">
        <v>1</v>
      </c>
      <c r="W46" s="141"/>
      <c r="X46" s="141"/>
      <c r="Y46" s="141"/>
      <c r="Z46" s="141" t="e">
        <f t="shared" si="4"/>
        <v>#N/A</v>
      </c>
      <c r="AA46" s="141">
        <f t="shared" si="4"/>
        <v>31</v>
      </c>
      <c r="AB46" s="141">
        <f t="shared" si="4"/>
        <v>0</v>
      </c>
      <c r="AC46" s="141">
        <f t="shared" si="4"/>
        <v>0</v>
      </c>
      <c r="AD46" s="141">
        <f t="shared" si="4"/>
        <v>0</v>
      </c>
      <c r="AE46" s="142" t="e">
        <f t="shared" si="1"/>
        <v>#N/A</v>
      </c>
      <c r="AF46" s="135">
        <f t="shared" si="2"/>
        <v>2.7</v>
      </c>
      <c r="AG46" s="135"/>
    </row>
    <row r="47" spans="1:33" customFormat="1" ht="30.75">
      <c r="A47" s="135">
        <v>18</v>
      </c>
      <c r="B47" s="135">
        <v>2</v>
      </c>
      <c r="C47" s="135" t="s">
        <v>94</v>
      </c>
      <c r="D47" s="145" t="s">
        <v>1379</v>
      </c>
      <c r="E47" s="145" t="s">
        <v>1558</v>
      </c>
      <c r="F47" s="145"/>
      <c r="G47" s="145"/>
      <c r="H47" s="145" t="s">
        <v>1559</v>
      </c>
      <c r="I47" s="145"/>
      <c r="J47" s="145" t="s">
        <v>1438</v>
      </c>
      <c r="K47" s="145"/>
      <c r="L47" s="137"/>
      <c r="M47" s="137"/>
      <c r="N47" s="149">
        <v>0</v>
      </c>
      <c r="O47" s="149">
        <v>14.366666666666667</v>
      </c>
      <c r="P47" s="149"/>
      <c r="Q47" s="149"/>
      <c r="R47" s="145"/>
      <c r="S47" s="139" t="e" vm="1">
        <f>O47*30000+P47+Q47*[2]Summary!$E$9</f>
        <v>#VALUE!</v>
      </c>
      <c r="T47" s="140" t="e">
        <f>HLOOKUP(B47,[2]Summary!$I$1:$XFD$2,2,0)</f>
        <v>#N/A</v>
      </c>
      <c r="U47" s="141">
        <v>1</v>
      </c>
      <c r="V47" s="141">
        <v>1</v>
      </c>
      <c r="W47" s="141"/>
      <c r="X47" s="141"/>
      <c r="Y47" s="141"/>
      <c r="Z47" s="141" t="e">
        <f t="shared" si="4"/>
        <v>#N/A</v>
      </c>
      <c r="AA47" s="141">
        <f t="shared" si="4"/>
        <v>31</v>
      </c>
      <c r="AB47" s="141">
        <f t="shared" si="4"/>
        <v>0</v>
      </c>
      <c r="AC47" s="141">
        <f t="shared" si="4"/>
        <v>0</v>
      </c>
      <c r="AD47" s="141">
        <f t="shared" si="4"/>
        <v>0</v>
      </c>
      <c r="AE47" s="142" t="e">
        <f t="shared" si="1"/>
        <v>#N/A</v>
      </c>
      <c r="AF47" s="135">
        <f t="shared" si="2"/>
        <v>14.366666666666667</v>
      </c>
      <c r="AG47" s="135"/>
    </row>
    <row r="48" spans="1:33" customFormat="1" ht="30.75">
      <c r="A48" s="135">
        <v>19</v>
      </c>
      <c r="B48" s="135">
        <v>2</v>
      </c>
      <c r="C48" s="135" t="s">
        <v>180</v>
      </c>
      <c r="D48" s="145" t="s">
        <v>1394</v>
      </c>
      <c r="E48" s="145" t="s">
        <v>1560</v>
      </c>
      <c r="F48" s="145"/>
      <c r="G48" s="145"/>
      <c r="H48" s="145" t="s">
        <v>1561</v>
      </c>
      <c r="I48" s="145"/>
      <c r="J48" s="145" t="s">
        <v>1530</v>
      </c>
      <c r="K48" s="145"/>
      <c r="L48" s="137"/>
      <c r="M48" s="137"/>
      <c r="N48" s="149">
        <v>0</v>
      </c>
      <c r="O48" s="149">
        <v>2.3624999999999998</v>
      </c>
      <c r="P48" s="149"/>
      <c r="Q48" s="149"/>
      <c r="R48" s="145"/>
      <c r="S48" s="139" t="e" vm="1">
        <f>O48*30000+P48+Q48*[2]Summary!$E$9</f>
        <v>#VALUE!</v>
      </c>
      <c r="T48" s="140" t="e">
        <f>HLOOKUP(B48,[2]Summary!$I$1:$XFD$2,2,0)</f>
        <v>#N/A</v>
      </c>
      <c r="U48" s="141">
        <v>1</v>
      </c>
      <c r="V48" s="141">
        <v>1</v>
      </c>
      <c r="W48" s="141"/>
      <c r="X48" s="141"/>
      <c r="Y48" s="141"/>
      <c r="Z48" s="141" t="e">
        <f t="shared" si="4"/>
        <v>#N/A</v>
      </c>
      <c r="AA48" s="141">
        <f t="shared" si="4"/>
        <v>31</v>
      </c>
      <c r="AB48" s="141">
        <f t="shared" si="4"/>
        <v>0</v>
      </c>
      <c r="AC48" s="141">
        <f t="shared" si="4"/>
        <v>0</v>
      </c>
      <c r="AD48" s="141">
        <f t="shared" si="4"/>
        <v>0</v>
      </c>
      <c r="AE48" s="142" t="e">
        <f t="shared" si="1"/>
        <v>#N/A</v>
      </c>
      <c r="AF48" s="135">
        <f t="shared" si="2"/>
        <v>2.3624999999999998</v>
      </c>
      <c r="AG48" s="135"/>
    </row>
    <row r="49" spans="1:33" customFormat="1" ht="30.75">
      <c r="A49" s="135">
        <v>20</v>
      </c>
      <c r="B49" s="135">
        <v>2</v>
      </c>
      <c r="C49" s="135" t="s">
        <v>1373</v>
      </c>
      <c r="D49" s="145" t="s">
        <v>1562</v>
      </c>
      <c r="E49" s="145" t="s">
        <v>1563</v>
      </c>
      <c r="F49" s="145"/>
      <c r="G49" s="145"/>
      <c r="H49" s="145" t="s">
        <v>1564</v>
      </c>
      <c r="I49" s="145"/>
      <c r="J49" s="145" t="s">
        <v>1438</v>
      </c>
      <c r="K49" s="145"/>
      <c r="L49" s="148"/>
      <c r="M49" s="148"/>
      <c r="N49" s="149">
        <v>0</v>
      </c>
      <c r="O49" s="149">
        <v>1.8166666666666667</v>
      </c>
      <c r="P49" s="149"/>
      <c r="Q49" s="149"/>
      <c r="R49" s="145"/>
      <c r="S49" s="139" t="e" vm="1">
        <f>O49*30000+P49+Q49*[2]Summary!$E$9</f>
        <v>#VALUE!</v>
      </c>
      <c r="T49" s="140" t="e">
        <f>HLOOKUP(B49,[2]Summary!$I$1:$XFD$2,2,0)</f>
        <v>#N/A</v>
      </c>
      <c r="U49" s="141">
        <v>1</v>
      </c>
      <c r="V49" s="141">
        <v>1</v>
      </c>
      <c r="W49" s="141"/>
      <c r="X49" s="141"/>
      <c r="Y49" s="141"/>
      <c r="Z49" s="141" t="e">
        <f t="shared" si="4"/>
        <v>#N/A</v>
      </c>
      <c r="AA49" s="141">
        <f t="shared" si="4"/>
        <v>31</v>
      </c>
      <c r="AB49" s="141">
        <f t="shared" si="4"/>
        <v>0</v>
      </c>
      <c r="AC49" s="141">
        <f t="shared" si="4"/>
        <v>0</v>
      </c>
      <c r="AD49" s="141">
        <f t="shared" si="4"/>
        <v>0</v>
      </c>
      <c r="AE49" s="142" t="e">
        <f t="shared" si="1"/>
        <v>#N/A</v>
      </c>
      <c r="AF49" s="135">
        <f t="shared" si="2"/>
        <v>1.8166666666666667</v>
      </c>
      <c r="AG49" s="135"/>
    </row>
    <row r="50" spans="1:33" customFormat="1" ht="60.75">
      <c r="A50" s="135">
        <v>21</v>
      </c>
      <c r="B50" s="135">
        <v>2</v>
      </c>
      <c r="C50" s="135" t="s">
        <v>1434</v>
      </c>
      <c r="D50" s="145" t="s">
        <v>1565</v>
      </c>
      <c r="E50" s="153" t="s">
        <v>1566</v>
      </c>
      <c r="F50" s="145"/>
      <c r="G50" s="145"/>
      <c r="H50" s="154" t="s">
        <v>1567</v>
      </c>
      <c r="I50" s="154"/>
      <c r="J50" s="145" t="s">
        <v>1351</v>
      </c>
      <c r="K50" s="145"/>
      <c r="L50" s="137"/>
      <c r="M50" s="137"/>
      <c r="N50" s="149">
        <v>0</v>
      </c>
      <c r="O50" s="149">
        <v>97.516666666666666</v>
      </c>
      <c r="P50" s="149"/>
      <c r="Q50" s="149"/>
      <c r="R50" s="145"/>
      <c r="S50" s="144" t="e" vm="1">
        <f>O50*30000+P50+Q50*[2]Summary!$E$9</f>
        <v>#VALUE!</v>
      </c>
      <c r="T50" s="140" t="e">
        <f>HLOOKUP(B50,[2]Summary!$I$1:$XFD$2,2,0)</f>
        <v>#N/A</v>
      </c>
      <c r="U50" s="141">
        <v>1</v>
      </c>
      <c r="V50" s="141">
        <v>1</v>
      </c>
      <c r="W50" s="141"/>
      <c r="X50" s="141"/>
      <c r="Y50" s="141"/>
      <c r="Z50" s="141" t="e">
        <f t="shared" si="4"/>
        <v>#N/A</v>
      </c>
      <c r="AA50" s="141">
        <f t="shared" si="4"/>
        <v>31</v>
      </c>
      <c r="AB50" s="141">
        <f t="shared" si="4"/>
        <v>0</v>
      </c>
      <c r="AC50" s="141">
        <f t="shared" si="4"/>
        <v>0</v>
      </c>
      <c r="AD50" s="141">
        <f t="shared" si="4"/>
        <v>0</v>
      </c>
      <c r="AE50" s="142" t="e">
        <f t="shared" si="1"/>
        <v>#N/A</v>
      </c>
      <c r="AF50" s="135">
        <f t="shared" si="2"/>
        <v>97.516666666666666</v>
      </c>
      <c r="AG50" s="135" t="s">
        <v>1372</v>
      </c>
    </row>
    <row r="51" spans="1:33" customFormat="1" ht="30.75">
      <c r="A51" s="135">
        <v>22</v>
      </c>
      <c r="B51" s="135">
        <v>2</v>
      </c>
      <c r="C51" s="135" t="s">
        <v>1495</v>
      </c>
      <c r="D51" s="145" t="s">
        <v>1496</v>
      </c>
      <c r="E51" s="145" t="s">
        <v>1568</v>
      </c>
      <c r="F51" s="145"/>
      <c r="G51" s="145"/>
      <c r="H51" s="145" t="s">
        <v>1569</v>
      </c>
      <c r="I51" s="145"/>
      <c r="J51" s="145" t="s">
        <v>1369</v>
      </c>
      <c r="K51" s="145"/>
      <c r="L51" s="137"/>
      <c r="M51" s="137"/>
      <c r="N51" s="149">
        <v>0</v>
      </c>
      <c r="O51" s="149">
        <v>6</v>
      </c>
      <c r="P51" s="149"/>
      <c r="Q51" s="149"/>
      <c r="R51" s="145"/>
      <c r="S51" s="139" t="e" vm="1">
        <f>O51*30000+P51+Q51*[2]Summary!$E$9</f>
        <v>#VALUE!</v>
      </c>
      <c r="T51" s="140" t="e">
        <f>HLOOKUP(B51,[2]Summary!$I$1:$XFD$2,2,0)</f>
        <v>#N/A</v>
      </c>
      <c r="U51" s="141">
        <v>1</v>
      </c>
      <c r="V51" s="141">
        <v>1</v>
      </c>
      <c r="W51" s="141"/>
      <c r="X51" s="141"/>
      <c r="Y51" s="141"/>
      <c r="Z51" s="141" t="e">
        <f t="shared" si="4"/>
        <v>#N/A</v>
      </c>
      <c r="AA51" s="141">
        <f t="shared" si="4"/>
        <v>31</v>
      </c>
      <c r="AB51" s="141">
        <f t="shared" si="4"/>
        <v>0</v>
      </c>
      <c r="AC51" s="141">
        <f t="shared" si="4"/>
        <v>0</v>
      </c>
      <c r="AD51" s="141">
        <f t="shared" si="4"/>
        <v>0</v>
      </c>
      <c r="AE51" s="142" t="e">
        <f t="shared" si="1"/>
        <v>#N/A</v>
      </c>
      <c r="AF51" s="135">
        <f t="shared" si="2"/>
        <v>6</v>
      </c>
      <c r="AG51" s="135"/>
    </row>
    <row r="52" spans="1:33" customFormat="1" ht="45.75">
      <c r="A52" s="135">
        <v>23</v>
      </c>
      <c r="B52" s="135">
        <v>2</v>
      </c>
      <c r="C52" s="135" t="s">
        <v>1501</v>
      </c>
      <c r="D52" s="145" t="s">
        <v>1502</v>
      </c>
      <c r="E52" s="145" t="s">
        <v>1570</v>
      </c>
      <c r="F52" s="145"/>
      <c r="G52" s="145"/>
      <c r="H52" s="145" t="s">
        <v>1571</v>
      </c>
      <c r="I52" s="145"/>
      <c r="J52" s="145" t="s">
        <v>1351</v>
      </c>
      <c r="K52" s="145"/>
      <c r="L52" s="152">
        <v>0.71</v>
      </c>
      <c r="M52" s="152"/>
      <c r="N52" s="149">
        <v>0</v>
      </c>
      <c r="O52" s="149">
        <v>4.833333333333333</v>
      </c>
      <c r="P52" s="149"/>
      <c r="Q52" s="149"/>
      <c r="R52" s="145"/>
      <c r="S52" s="139" t="e" vm="1">
        <f>O52*30000+P52+Q52*[2]Summary!$E$9</f>
        <v>#VALUE!</v>
      </c>
      <c r="T52" s="140" t="e">
        <f>HLOOKUP(B52,[2]Summary!$I$1:$XFD$2,2,0)</f>
        <v>#N/A</v>
      </c>
      <c r="U52" s="141">
        <v>1</v>
      </c>
      <c r="V52" s="141">
        <v>1</v>
      </c>
      <c r="W52" s="141"/>
      <c r="X52" s="141"/>
      <c r="Y52" s="141"/>
      <c r="Z52" s="141" t="e">
        <f t="shared" si="4"/>
        <v>#N/A</v>
      </c>
      <c r="AA52" s="141">
        <f t="shared" si="4"/>
        <v>31</v>
      </c>
      <c r="AB52" s="141">
        <f t="shared" si="4"/>
        <v>0</v>
      </c>
      <c r="AC52" s="141">
        <f t="shared" si="4"/>
        <v>0</v>
      </c>
      <c r="AD52" s="141">
        <f t="shared" si="4"/>
        <v>0</v>
      </c>
      <c r="AE52" s="142" t="e">
        <f t="shared" si="1"/>
        <v>#N/A</v>
      </c>
      <c r="AF52" s="135">
        <f t="shared" si="2"/>
        <v>4.833333333333333</v>
      </c>
      <c r="AG52" s="135"/>
    </row>
    <row r="53" spans="1:33" customFormat="1" ht="45.75">
      <c r="A53" s="135">
        <v>24</v>
      </c>
      <c r="B53" s="135">
        <v>2</v>
      </c>
      <c r="C53" s="135" t="s">
        <v>1422</v>
      </c>
      <c r="D53" s="145" t="s">
        <v>1423</v>
      </c>
      <c r="E53" s="145" t="s">
        <v>1572</v>
      </c>
      <c r="F53" s="145"/>
      <c r="G53" s="145"/>
      <c r="H53" s="145" t="s">
        <v>1573</v>
      </c>
      <c r="I53" s="145"/>
      <c r="J53" s="145" t="s">
        <v>1530</v>
      </c>
      <c r="K53" s="145"/>
      <c r="L53" s="137"/>
      <c r="M53" s="137"/>
      <c r="N53" s="149">
        <v>0</v>
      </c>
      <c r="O53" s="149">
        <v>3.6666666666666665</v>
      </c>
      <c r="P53" s="149"/>
      <c r="Q53" s="149"/>
      <c r="R53" s="145"/>
      <c r="S53" s="139" t="e" vm="1">
        <f>O53*30000+P53+Q53*[2]Summary!$E$9</f>
        <v>#VALUE!</v>
      </c>
      <c r="T53" s="140" t="e">
        <f>HLOOKUP(B53,[2]Summary!$I$1:$XFD$2,2,0)</f>
        <v>#N/A</v>
      </c>
      <c r="U53" s="141">
        <v>1</v>
      </c>
      <c r="V53" s="141">
        <v>1</v>
      </c>
      <c r="W53" s="141"/>
      <c r="X53" s="141"/>
      <c r="Y53" s="141"/>
      <c r="Z53" s="141" t="e">
        <f t="shared" si="4"/>
        <v>#N/A</v>
      </c>
      <c r="AA53" s="141">
        <f t="shared" si="4"/>
        <v>31</v>
      </c>
      <c r="AB53" s="141">
        <f t="shared" si="4"/>
        <v>0</v>
      </c>
      <c r="AC53" s="141">
        <f t="shared" si="4"/>
        <v>0</v>
      </c>
      <c r="AD53" s="141">
        <f t="shared" si="4"/>
        <v>0</v>
      </c>
      <c r="AE53" s="142" t="e">
        <f t="shared" si="1"/>
        <v>#N/A</v>
      </c>
      <c r="AF53" s="135">
        <f t="shared" si="2"/>
        <v>3.6666666666666665</v>
      </c>
      <c r="AG53" s="135"/>
    </row>
    <row r="54" spans="1:33" customFormat="1" ht="45.75">
      <c r="A54" s="135">
        <v>25</v>
      </c>
      <c r="B54" s="135">
        <v>2</v>
      </c>
      <c r="C54" s="135" t="s">
        <v>1429</v>
      </c>
      <c r="D54" s="145" t="s">
        <v>1430</v>
      </c>
      <c r="E54" s="145" t="s">
        <v>1574</v>
      </c>
      <c r="F54" s="145"/>
      <c r="G54" s="145"/>
      <c r="H54" s="145" t="s">
        <v>1575</v>
      </c>
      <c r="I54" s="145"/>
      <c r="J54" s="145" t="s">
        <v>1369</v>
      </c>
      <c r="K54" s="145"/>
      <c r="L54" s="137"/>
      <c r="M54" s="137"/>
      <c r="N54" s="149">
        <v>0</v>
      </c>
      <c r="O54" s="149">
        <v>0.85750000000000004</v>
      </c>
      <c r="P54" s="149"/>
      <c r="Q54" s="149"/>
      <c r="R54" s="145"/>
      <c r="S54" s="139" t="e" vm="1">
        <f>O54*30000+P54+Q54*[2]Summary!$E$9</f>
        <v>#VALUE!</v>
      </c>
      <c r="T54" s="140" t="e">
        <f>HLOOKUP(B54,[2]Summary!$I$1:$XFD$2,2,0)</f>
        <v>#N/A</v>
      </c>
      <c r="U54" s="141">
        <v>1</v>
      </c>
      <c r="V54" s="141">
        <v>1</v>
      </c>
      <c r="W54" s="141"/>
      <c r="X54" s="141"/>
      <c r="Y54" s="141"/>
      <c r="Z54" s="141" t="e">
        <f t="shared" si="4"/>
        <v>#N/A</v>
      </c>
      <c r="AA54" s="141">
        <f t="shared" si="4"/>
        <v>31</v>
      </c>
      <c r="AB54" s="141">
        <f t="shared" si="4"/>
        <v>0</v>
      </c>
      <c r="AC54" s="141">
        <f t="shared" si="4"/>
        <v>0</v>
      </c>
      <c r="AD54" s="141">
        <f t="shared" si="4"/>
        <v>0</v>
      </c>
      <c r="AE54" s="142" t="e">
        <f t="shared" si="1"/>
        <v>#N/A</v>
      </c>
      <c r="AF54" s="135">
        <f t="shared" si="2"/>
        <v>0.85750000000000004</v>
      </c>
      <c r="AG54" s="135"/>
    </row>
    <row r="55" spans="1:33" customFormat="1" ht="30.75">
      <c r="A55" s="135">
        <v>26</v>
      </c>
      <c r="B55" s="135">
        <v>2</v>
      </c>
      <c r="C55" s="135" t="s">
        <v>1482</v>
      </c>
      <c r="D55" s="145" t="s">
        <v>1576</v>
      </c>
      <c r="E55" s="145" t="s">
        <v>1577</v>
      </c>
      <c r="F55" s="145"/>
      <c r="G55" s="145"/>
      <c r="H55" s="145" t="s">
        <v>1578</v>
      </c>
      <c r="I55" s="145"/>
      <c r="J55" s="145" t="s">
        <v>1530</v>
      </c>
      <c r="K55" s="145"/>
      <c r="L55" s="137"/>
      <c r="M55" s="137"/>
      <c r="N55" s="149">
        <v>0</v>
      </c>
      <c r="O55" s="149">
        <v>0.48222222222222222</v>
      </c>
      <c r="P55" s="149"/>
      <c r="Q55" s="149"/>
      <c r="R55" s="145"/>
      <c r="S55" s="139" t="e" vm="1">
        <f>O55*30000+P55+Q55*[2]Summary!$E$9</f>
        <v>#VALUE!</v>
      </c>
      <c r="T55" s="140" t="e">
        <f>HLOOKUP(B55,[2]Summary!$I$1:$XFD$2,2,0)</f>
        <v>#N/A</v>
      </c>
      <c r="U55" s="141">
        <v>1</v>
      </c>
      <c r="V55" s="141">
        <v>1</v>
      </c>
      <c r="W55" s="141"/>
      <c r="X55" s="141"/>
      <c r="Y55" s="141"/>
      <c r="Z55" s="141" t="e">
        <f t="shared" si="4"/>
        <v>#N/A</v>
      </c>
      <c r="AA55" s="141">
        <f t="shared" si="4"/>
        <v>31</v>
      </c>
      <c r="AB55" s="141">
        <f t="shared" si="4"/>
        <v>0</v>
      </c>
      <c r="AC55" s="141">
        <f t="shared" si="4"/>
        <v>0</v>
      </c>
      <c r="AD55" s="141">
        <f t="shared" si="4"/>
        <v>0</v>
      </c>
      <c r="AE55" s="142" t="e">
        <f t="shared" si="1"/>
        <v>#N/A</v>
      </c>
      <c r="AF55" s="135">
        <f t="shared" si="2"/>
        <v>0.48222222222222222</v>
      </c>
      <c r="AG55" s="135"/>
    </row>
    <row r="56" spans="1:33" customFormat="1" ht="91.5">
      <c r="A56" s="135">
        <v>1</v>
      </c>
      <c r="B56" s="135">
        <v>3</v>
      </c>
      <c r="C56" s="135" t="s">
        <v>1347</v>
      </c>
      <c r="D56" s="145" t="s">
        <v>1579</v>
      </c>
      <c r="E56" s="145" t="s">
        <v>1580</v>
      </c>
      <c r="F56" s="145" t="s">
        <v>1581</v>
      </c>
      <c r="G56" s="145" t="s">
        <v>1582</v>
      </c>
      <c r="H56" s="145" t="s">
        <v>1583</v>
      </c>
      <c r="I56" s="145" t="s">
        <v>1584</v>
      </c>
      <c r="J56" s="145" t="s">
        <v>1585</v>
      </c>
      <c r="K56" s="145" t="s">
        <v>1586</v>
      </c>
      <c r="L56" s="145" t="s">
        <v>1587</v>
      </c>
      <c r="M56" s="145" t="s">
        <v>1588</v>
      </c>
      <c r="N56" s="155">
        <f>443604/3600</f>
        <v>123.22333333333333</v>
      </c>
      <c r="O56" s="155"/>
      <c r="P56" s="156"/>
      <c r="Q56" s="145"/>
      <c r="R56" s="145"/>
      <c r="S56" s="139" t="e" vm="1">
        <f>O56*30000+P56+Q56*[2]Summary!$E$9</f>
        <v>#VALUE!</v>
      </c>
      <c r="T56" s="140" t="e">
        <f>HLOOKUP(B56,[2]Summary!$I$1:$XFD$2,2,0)</f>
        <v>#N/A</v>
      </c>
      <c r="U56" s="141">
        <v>0</v>
      </c>
      <c r="V56" s="141">
        <v>1</v>
      </c>
      <c r="W56" s="141"/>
      <c r="X56" s="141"/>
      <c r="Y56" s="141"/>
      <c r="Z56" s="141">
        <f t="shared" si="4"/>
        <v>0</v>
      </c>
      <c r="AA56" s="141">
        <f t="shared" si="4"/>
        <v>31</v>
      </c>
      <c r="AB56" s="141">
        <f t="shared" si="4"/>
        <v>0</v>
      </c>
      <c r="AC56" s="141">
        <f t="shared" si="4"/>
        <v>0</v>
      </c>
      <c r="AD56" s="141">
        <f t="shared" si="4"/>
        <v>0</v>
      </c>
      <c r="AE56" s="142" t="e" vm="2">
        <f t="shared" si="1"/>
        <v>#VALUE!</v>
      </c>
      <c r="AF56" s="135">
        <f t="shared" si="2"/>
        <v>123.22333333333333</v>
      </c>
      <c r="AG56" s="135"/>
    </row>
    <row r="57" spans="1:33" customFormat="1" ht="137.25">
      <c r="A57" s="135">
        <v>2</v>
      </c>
      <c r="B57" s="135">
        <v>3</v>
      </c>
      <c r="C57" s="135" t="s">
        <v>1354</v>
      </c>
      <c r="D57" s="145" t="s">
        <v>1589</v>
      </c>
      <c r="E57" s="145" t="s">
        <v>1590</v>
      </c>
      <c r="F57" s="145" t="s">
        <v>1591</v>
      </c>
      <c r="G57" s="145" t="s">
        <v>1592</v>
      </c>
      <c r="H57" s="145" t="s">
        <v>1593</v>
      </c>
      <c r="I57" s="145" t="s">
        <v>1594</v>
      </c>
      <c r="J57" s="145" t="s">
        <v>1595</v>
      </c>
      <c r="K57" s="145" t="s">
        <v>1596</v>
      </c>
      <c r="L57" s="145" t="s">
        <v>1597</v>
      </c>
      <c r="M57" s="145" t="s">
        <v>1598</v>
      </c>
      <c r="N57" s="155">
        <f>435210/3600</f>
        <v>120.89166666666667</v>
      </c>
      <c r="O57" s="155"/>
      <c r="P57" s="156"/>
      <c r="Q57" s="145"/>
      <c r="R57" s="145"/>
      <c r="S57" s="139" t="e" vm="1">
        <f>O57*30000+P57+Q57*[2]Summary!$E$9</f>
        <v>#VALUE!</v>
      </c>
      <c r="T57" s="140" t="e">
        <f>HLOOKUP(B57,[2]Summary!$I$1:$XFD$2,2,0)</f>
        <v>#N/A</v>
      </c>
      <c r="U57" s="141">
        <v>0</v>
      </c>
      <c r="V57" s="141">
        <v>1</v>
      </c>
      <c r="W57" s="141"/>
      <c r="X57" s="141"/>
      <c r="Y57" s="141"/>
      <c r="Z57" s="141">
        <f t="shared" si="4"/>
        <v>0</v>
      </c>
      <c r="AA57" s="141">
        <f t="shared" si="4"/>
        <v>31</v>
      </c>
      <c r="AB57" s="141">
        <f t="shared" si="4"/>
        <v>0</v>
      </c>
      <c r="AC57" s="141">
        <f t="shared" si="4"/>
        <v>0</v>
      </c>
      <c r="AD57" s="141">
        <f t="shared" si="4"/>
        <v>0</v>
      </c>
      <c r="AE57" s="142" t="e" vm="2">
        <f t="shared" si="1"/>
        <v>#VALUE!</v>
      </c>
      <c r="AF57" s="135">
        <f t="shared" si="2"/>
        <v>120.89166666666667</v>
      </c>
      <c r="AG57" s="135"/>
    </row>
    <row r="58" spans="1:33" customFormat="1" ht="106.5">
      <c r="A58" s="135">
        <v>3</v>
      </c>
      <c r="B58" s="135">
        <v>3</v>
      </c>
      <c r="C58" s="135" t="s">
        <v>456</v>
      </c>
      <c r="D58" s="145" t="s">
        <v>1599</v>
      </c>
      <c r="E58" s="145" t="s">
        <v>1600</v>
      </c>
      <c r="F58" s="145" t="s">
        <v>1601</v>
      </c>
      <c r="G58" s="145" t="s">
        <v>1602</v>
      </c>
      <c r="H58" s="145" t="s">
        <v>1603</v>
      </c>
      <c r="I58" s="145" t="s">
        <v>1604</v>
      </c>
      <c r="J58" s="145" t="s">
        <v>1605</v>
      </c>
      <c r="K58" s="145" t="s">
        <v>1606</v>
      </c>
      <c r="L58" s="145" t="s">
        <v>1607</v>
      </c>
      <c r="M58" s="145" t="s">
        <v>1608</v>
      </c>
      <c r="N58" s="155"/>
      <c r="O58" s="155">
        <f>421/60</f>
        <v>7.0166666666666666</v>
      </c>
      <c r="P58" s="156"/>
      <c r="Q58" s="145"/>
      <c r="R58" s="145"/>
      <c r="S58" s="139" t="e" vm="1">
        <f>O58*30000+P58+Q58*[2]Summary!$E$9</f>
        <v>#VALUE!</v>
      </c>
      <c r="T58" s="140" t="e">
        <f>HLOOKUP(B58,[2]Summary!$I$1:$XFD$2,2,0)</f>
        <v>#N/A</v>
      </c>
      <c r="U58" s="141">
        <v>0</v>
      </c>
      <c r="V58" s="141">
        <v>1</v>
      </c>
      <c r="W58" s="141"/>
      <c r="X58" s="141"/>
      <c r="Y58" s="141"/>
      <c r="Z58" s="141">
        <f t="shared" si="4"/>
        <v>0</v>
      </c>
      <c r="AA58" s="141">
        <f t="shared" si="4"/>
        <v>31</v>
      </c>
      <c r="AB58" s="141">
        <f t="shared" si="4"/>
        <v>0</v>
      </c>
      <c r="AC58" s="141">
        <f t="shared" si="4"/>
        <v>0</v>
      </c>
      <c r="AD58" s="141">
        <f t="shared" si="4"/>
        <v>0</v>
      </c>
      <c r="AE58" s="142" t="e" vm="2">
        <f t="shared" si="1"/>
        <v>#VALUE!</v>
      </c>
      <c r="AF58" s="135">
        <f t="shared" si="2"/>
        <v>7.0166666666666666</v>
      </c>
      <c r="AG58" s="135"/>
    </row>
    <row r="59" spans="1:33" customFormat="1" ht="121.5">
      <c r="A59" s="135">
        <v>4</v>
      </c>
      <c r="B59" s="135">
        <v>3</v>
      </c>
      <c r="C59" s="135" t="s">
        <v>59</v>
      </c>
      <c r="D59" s="145" t="s">
        <v>1609</v>
      </c>
      <c r="E59" s="145" t="s">
        <v>1610</v>
      </c>
      <c r="F59" s="145" t="s">
        <v>1611</v>
      </c>
      <c r="G59" s="145" t="s">
        <v>1612</v>
      </c>
      <c r="H59" s="145" t="s">
        <v>1613</v>
      </c>
      <c r="I59" s="145" t="s">
        <v>1614</v>
      </c>
      <c r="J59" s="145" t="s">
        <v>1615</v>
      </c>
      <c r="K59" s="145" t="s">
        <v>1616</v>
      </c>
      <c r="L59" s="145" t="s">
        <v>1617</v>
      </c>
      <c r="M59" s="145" t="s">
        <v>1618</v>
      </c>
      <c r="N59" s="155"/>
      <c r="O59" s="155">
        <f>2.67</f>
        <v>2.67</v>
      </c>
      <c r="P59" s="156"/>
      <c r="Q59" s="145"/>
      <c r="R59" s="145"/>
      <c r="S59" s="139" t="e" vm="1">
        <f>O59*30000+P59+Q59*[2]Summary!$E$9</f>
        <v>#VALUE!</v>
      </c>
      <c r="T59" s="140" t="e">
        <f>HLOOKUP(B59,[2]Summary!$I$1:$XFD$2,2,0)</f>
        <v>#N/A</v>
      </c>
      <c r="U59" s="141">
        <v>0</v>
      </c>
      <c r="V59" s="141">
        <v>1</v>
      </c>
      <c r="W59" s="141"/>
      <c r="X59" s="141"/>
      <c r="Y59" s="141"/>
      <c r="Z59" s="141">
        <f t="shared" si="4"/>
        <v>0</v>
      </c>
      <c r="AA59" s="141">
        <f t="shared" si="4"/>
        <v>31</v>
      </c>
      <c r="AB59" s="141">
        <f t="shared" si="4"/>
        <v>0</v>
      </c>
      <c r="AC59" s="141">
        <f t="shared" si="4"/>
        <v>0</v>
      </c>
      <c r="AD59" s="141">
        <f t="shared" si="4"/>
        <v>0</v>
      </c>
      <c r="AE59" s="142" t="e" vm="2">
        <f t="shared" si="1"/>
        <v>#VALUE!</v>
      </c>
      <c r="AF59" s="135">
        <f t="shared" si="2"/>
        <v>2.67</v>
      </c>
      <c r="AG59" s="135"/>
    </row>
    <row r="60" spans="1:33" customFormat="1" ht="106.5">
      <c r="A60" s="135">
        <v>5</v>
      </c>
      <c r="B60" s="135">
        <v>3</v>
      </c>
      <c r="C60" s="135" t="s">
        <v>503</v>
      </c>
      <c r="D60" s="145" t="s">
        <v>1619</v>
      </c>
      <c r="E60" s="145" t="s">
        <v>1620</v>
      </c>
      <c r="F60" s="145" t="s">
        <v>1621</v>
      </c>
      <c r="G60" s="145" t="s">
        <v>1622</v>
      </c>
      <c r="H60" s="145" t="s">
        <v>1623</v>
      </c>
      <c r="I60" s="145" t="s">
        <v>1624</v>
      </c>
      <c r="J60" s="145" t="s">
        <v>1625</v>
      </c>
      <c r="K60" s="145" t="s">
        <v>1626</v>
      </c>
      <c r="L60" s="145" t="s">
        <v>1627</v>
      </c>
      <c r="M60" s="145" t="s">
        <v>1628</v>
      </c>
      <c r="N60" s="155"/>
      <c r="O60" s="155">
        <v>7.25</v>
      </c>
      <c r="P60" s="156"/>
      <c r="Q60" s="145"/>
      <c r="R60" s="145"/>
      <c r="S60" s="139" t="e" vm="1">
        <f>O60*30000+P60+Q60*[2]Summary!$E$9</f>
        <v>#VALUE!</v>
      </c>
      <c r="T60" s="140" t="e">
        <f>HLOOKUP(B60,[2]Summary!$I$1:$XFD$2,2,0)</f>
        <v>#N/A</v>
      </c>
      <c r="U60" s="141">
        <v>0</v>
      </c>
      <c r="V60" s="141">
        <v>1</v>
      </c>
      <c r="W60" s="141"/>
      <c r="X60" s="141"/>
      <c r="Y60" s="141"/>
      <c r="Z60" s="141">
        <f t="shared" si="4"/>
        <v>0</v>
      </c>
      <c r="AA60" s="141">
        <f t="shared" si="4"/>
        <v>31</v>
      </c>
      <c r="AB60" s="141">
        <f t="shared" si="4"/>
        <v>0</v>
      </c>
      <c r="AC60" s="141">
        <f t="shared" si="4"/>
        <v>0</v>
      </c>
      <c r="AD60" s="141">
        <f t="shared" si="4"/>
        <v>0</v>
      </c>
      <c r="AE60" s="142" t="e" vm="2">
        <f t="shared" si="1"/>
        <v>#VALUE!</v>
      </c>
      <c r="AF60" s="135">
        <f t="shared" si="2"/>
        <v>7.25</v>
      </c>
      <c r="AG60" s="135"/>
    </row>
    <row r="61" spans="1:33" customFormat="1" ht="106.5">
      <c r="A61" s="135">
        <v>6</v>
      </c>
      <c r="B61" s="135">
        <v>3</v>
      </c>
      <c r="C61" s="135" t="s">
        <v>94</v>
      </c>
      <c r="D61" s="145" t="s">
        <v>1629</v>
      </c>
      <c r="E61" s="145" t="s">
        <v>1630</v>
      </c>
      <c r="F61" s="145" t="s">
        <v>1631</v>
      </c>
      <c r="G61" s="145" t="s">
        <v>1632</v>
      </c>
      <c r="H61" s="145" t="s">
        <v>1633</v>
      </c>
      <c r="I61" s="145" t="s">
        <v>1634</v>
      </c>
      <c r="J61" s="145" t="s">
        <v>1635</v>
      </c>
      <c r="K61" s="145" t="s">
        <v>1636</v>
      </c>
      <c r="L61" s="145" t="s">
        <v>1637</v>
      </c>
      <c r="M61" s="145" t="s">
        <v>1638</v>
      </c>
      <c r="N61" s="155"/>
      <c r="O61" s="155">
        <f>12+4/60+20/3600</f>
        <v>12.072222222222223</v>
      </c>
      <c r="P61" s="156"/>
      <c r="Q61" s="145"/>
      <c r="R61" s="145"/>
      <c r="S61" s="139" t="e" vm="1">
        <f>O61*30000+P61+Q61*[2]Summary!$E$9</f>
        <v>#VALUE!</v>
      </c>
      <c r="T61" s="140" t="e">
        <f>HLOOKUP(B61,[2]Summary!$I$1:$XFD$2,2,0)</f>
        <v>#N/A</v>
      </c>
      <c r="U61" s="141">
        <v>0</v>
      </c>
      <c r="V61" s="141">
        <v>1</v>
      </c>
      <c r="W61" s="141"/>
      <c r="X61" s="141"/>
      <c r="Y61" s="141"/>
      <c r="Z61" s="141">
        <f t="shared" si="4"/>
        <v>0</v>
      </c>
      <c r="AA61" s="141">
        <f t="shared" si="4"/>
        <v>31</v>
      </c>
      <c r="AB61" s="141">
        <f t="shared" si="4"/>
        <v>0</v>
      </c>
      <c r="AC61" s="141">
        <f t="shared" si="4"/>
        <v>0</v>
      </c>
      <c r="AD61" s="141">
        <f t="shared" si="4"/>
        <v>0</v>
      </c>
      <c r="AE61" s="142" t="e" vm="2">
        <f t="shared" si="1"/>
        <v>#VALUE!</v>
      </c>
      <c r="AF61" s="135">
        <f t="shared" si="2"/>
        <v>12.072222222222223</v>
      </c>
      <c r="AG61" s="135"/>
    </row>
    <row r="62" spans="1:33" customFormat="1" ht="167.25">
      <c r="A62" s="135">
        <v>7</v>
      </c>
      <c r="B62" s="135">
        <v>3</v>
      </c>
      <c r="C62" s="135" t="s">
        <v>106</v>
      </c>
      <c r="D62" s="145" t="s">
        <v>1639</v>
      </c>
      <c r="E62" s="145" t="s">
        <v>1640</v>
      </c>
      <c r="F62" s="145" t="s">
        <v>1641</v>
      </c>
      <c r="G62" s="145" t="s">
        <v>1642</v>
      </c>
      <c r="H62" s="145" t="s">
        <v>1643</v>
      </c>
      <c r="I62" s="145" t="s">
        <v>1644</v>
      </c>
      <c r="J62" s="145" t="s">
        <v>1645</v>
      </c>
      <c r="K62" s="157" t="s">
        <v>1646</v>
      </c>
      <c r="L62" s="145" t="s">
        <v>1647</v>
      </c>
      <c r="M62" s="145" t="s">
        <v>1648</v>
      </c>
      <c r="N62" s="155"/>
      <c r="O62" s="155">
        <f>43+40/60</f>
        <v>43.666666666666664</v>
      </c>
      <c r="P62" s="156"/>
      <c r="Q62" s="145"/>
      <c r="R62" s="145"/>
      <c r="S62" s="139" t="e" vm="1">
        <f>O62*30000+P62+Q62*[2]Summary!$E$9</f>
        <v>#VALUE!</v>
      </c>
      <c r="T62" s="140" t="e">
        <f>HLOOKUP(B62,[2]Summary!$I$1:$XFD$2,2,0)</f>
        <v>#N/A</v>
      </c>
      <c r="U62" s="141">
        <v>0</v>
      </c>
      <c r="V62" s="141">
        <v>1</v>
      </c>
      <c r="W62" s="141"/>
      <c r="X62" s="141"/>
      <c r="Y62" s="141"/>
      <c r="Z62" s="141">
        <f t="shared" si="4"/>
        <v>0</v>
      </c>
      <c r="AA62" s="141">
        <f t="shared" si="4"/>
        <v>31</v>
      </c>
      <c r="AB62" s="141">
        <f t="shared" si="4"/>
        <v>0</v>
      </c>
      <c r="AC62" s="141">
        <f t="shared" si="4"/>
        <v>0</v>
      </c>
      <c r="AD62" s="141">
        <f t="shared" si="4"/>
        <v>0</v>
      </c>
      <c r="AE62" s="142" t="e" vm="2">
        <f t="shared" si="1"/>
        <v>#VALUE!</v>
      </c>
      <c r="AF62" s="135">
        <f t="shared" si="2"/>
        <v>43.666666666666664</v>
      </c>
      <c r="AG62" s="135"/>
    </row>
    <row r="63" spans="1:33" customFormat="1" ht="409.6">
      <c r="A63" s="135">
        <v>8</v>
      </c>
      <c r="B63" s="135">
        <v>3</v>
      </c>
      <c r="C63" s="135" t="s">
        <v>106</v>
      </c>
      <c r="D63" s="145" t="s">
        <v>1649</v>
      </c>
      <c r="E63" s="145" t="s">
        <v>1650</v>
      </c>
      <c r="F63" s="145" t="s">
        <v>1651</v>
      </c>
      <c r="G63" s="157" t="s">
        <v>1652</v>
      </c>
      <c r="H63" s="145" t="s">
        <v>1653</v>
      </c>
      <c r="I63" s="145" t="s">
        <v>1654</v>
      </c>
      <c r="J63" s="145" t="s">
        <v>1655</v>
      </c>
      <c r="K63" s="157" t="s">
        <v>1656</v>
      </c>
      <c r="L63" s="145" t="s">
        <v>1657</v>
      </c>
      <c r="M63" s="145" t="s">
        <v>1658</v>
      </c>
      <c r="N63" s="155">
        <v>24</v>
      </c>
      <c r="O63" s="155"/>
      <c r="P63" s="156"/>
      <c r="Q63" s="145"/>
      <c r="R63" s="145"/>
      <c r="S63" s="139" t="e" vm="1">
        <f>O63*30000+P63+Q63*[2]Summary!$E$9</f>
        <v>#VALUE!</v>
      </c>
      <c r="T63" s="140" t="e">
        <f>HLOOKUP(B63,[2]Summary!$I$1:$XFD$2,2,0)</f>
        <v>#N/A</v>
      </c>
      <c r="U63" s="141">
        <v>0</v>
      </c>
      <c r="V63" s="141">
        <v>1</v>
      </c>
      <c r="W63" s="141"/>
      <c r="X63" s="141"/>
      <c r="Y63" s="141"/>
      <c r="Z63" s="141">
        <f t="shared" si="4"/>
        <v>0</v>
      </c>
      <c r="AA63" s="141">
        <f t="shared" si="4"/>
        <v>31</v>
      </c>
      <c r="AB63" s="141">
        <f t="shared" si="4"/>
        <v>0</v>
      </c>
      <c r="AC63" s="141">
        <f t="shared" si="4"/>
        <v>0</v>
      </c>
      <c r="AD63" s="141">
        <f t="shared" si="4"/>
        <v>0</v>
      </c>
      <c r="AE63" s="142" t="e" vm="2">
        <f t="shared" si="1"/>
        <v>#VALUE!</v>
      </c>
      <c r="AF63" s="135">
        <f t="shared" si="2"/>
        <v>24</v>
      </c>
      <c r="AG63" s="135"/>
    </row>
    <row r="64" spans="1:33" customFormat="1" ht="152.25">
      <c r="A64" s="135">
        <v>9</v>
      </c>
      <c r="B64" s="135">
        <v>3</v>
      </c>
      <c r="C64" s="135" t="s">
        <v>180</v>
      </c>
      <c r="D64" s="145" t="s">
        <v>1659</v>
      </c>
      <c r="E64" s="145" t="s">
        <v>1660</v>
      </c>
      <c r="F64" s="145" t="s">
        <v>1661</v>
      </c>
      <c r="G64" s="145" t="s">
        <v>1662</v>
      </c>
      <c r="H64" s="145" t="s">
        <v>1663</v>
      </c>
      <c r="I64" s="145" t="s">
        <v>1664</v>
      </c>
      <c r="J64" s="145" t="s">
        <v>1665</v>
      </c>
      <c r="K64" s="145" t="s">
        <v>1666</v>
      </c>
      <c r="L64" s="145" t="s">
        <v>1667</v>
      </c>
      <c r="M64" s="145" t="s">
        <v>1668</v>
      </c>
      <c r="N64" s="155">
        <v>5.18</v>
      </c>
      <c r="O64" s="155"/>
      <c r="P64" s="156"/>
      <c r="Q64" s="145"/>
      <c r="R64" s="145"/>
      <c r="S64" s="139" t="e" vm="1">
        <f>O64*30000+P64+Q64*[2]Summary!$E$9</f>
        <v>#VALUE!</v>
      </c>
      <c r="T64" s="140" t="e">
        <f>HLOOKUP(B64,[2]Summary!$I$1:$XFD$2,2,0)</f>
        <v>#N/A</v>
      </c>
      <c r="U64" s="141">
        <v>0</v>
      </c>
      <c r="V64" s="141">
        <v>1</v>
      </c>
      <c r="W64" s="141"/>
      <c r="X64" s="141"/>
      <c r="Y64" s="141"/>
      <c r="Z64" s="141">
        <f t="shared" si="4"/>
        <v>0</v>
      </c>
      <c r="AA64" s="141">
        <f t="shared" si="4"/>
        <v>31</v>
      </c>
      <c r="AB64" s="141">
        <f t="shared" si="4"/>
        <v>0</v>
      </c>
      <c r="AC64" s="141">
        <f t="shared" si="4"/>
        <v>0</v>
      </c>
      <c r="AD64" s="141">
        <f t="shared" si="4"/>
        <v>0</v>
      </c>
      <c r="AE64" s="142" t="e" vm="2">
        <f t="shared" si="1"/>
        <v>#VALUE!</v>
      </c>
      <c r="AF64" s="135">
        <f t="shared" si="2"/>
        <v>5.18</v>
      </c>
      <c r="AG64" s="135"/>
    </row>
    <row r="65" spans="1:33" customFormat="1" ht="106.5">
      <c r="A65" s="135">
        <v>10</v>
      </c>
      <c r="B65" s="135">
        <v>3</v>
      </c>
      <c r="C65" s="135" t="s">
        <v>195</v>
      </c>
      <c r="D65" s="145" t="s">
        <v>1669</v>
      </c>
      <c r="E65" s="145" t="s">
        <v>1670</v>
      </c>
      <c r="F65" s="145" t="s">
        <v>1671</v>
      </c>
      <c r="G65" s="145" t="s">
        <v>1672</v>
      </c>
      <c r="H65" s="145" t="s">
        <v>1673</v>
      </c>
      <c r="I65" s="145" t="s">
        <v>1674</v>
      </c>
      <c r="J65" s="145" t="s">
        <v>1675</v>
      </c>
      <c r="K65" s="145" t="s">
        <v>1676</v>
      </c>
      <c r="L65" s="145" t="s">
        <v>1677</v>
      </c>
      <c r="M65" s="145" t="s">
        <v>1678</v>
      </c>
      <c r="N65" s="155"/>
      <c r="O65" s="155">
        <f>2.6*22</f>
        <v>57.2</v>
      </c>
      <c r="P65" s="156"/>
      <c r="Q65" s="145"/>
      <c r="R65" s="145"/>
      <c r="S65" s="139" t="e" vm="1">
        <f>O65*30000+P65+Q65*[2]Summary!$E$9</f>
        <v>#VALUE!</v>
      </c>
      <c r="T65" s="140" t="e">
        <f>HLOOKUP(B65,[2]Summary!$I$1:$XFD$2,2,0)</f>
        <v>#N/A</v>
      </c>
      <c r="U65" s="141">
        <v>0</v>
      </c>
      <c r="V65" s="141">
        <v>1</v>
      </c>
      <c r="W65" s="141"/>
      <c r="X65" s="141"/>
      <c r="Y65" s="141"/>
      <c r="Z65" s="141">
        <f t="shared" si="4"/>
        <v>0</v>
      </c>
      <c r="AA65" s="141">
        <f t="shared" si="4"/>
        <v>31</v>
      </c>
      <c r="AB65" s="141">
        <f t="shared" si="4"/>
        <v>0</v>
      </c>
      <c r="AC65" s="141">
        <f t="shared" si="4"/>
        <v>0</v>
      </c>
      <c r="AD65" s="141">
        <f t="shared" si="4"/>
        <v>0</v>
      </c>
      <c r="AE65" s="142" t="e" vm="2">
        <f t="shared" si="1"/>
        <v>#VALUE!</v>
      </c>
      <c r="AF65" s="135">
        <f t="shared" si="2"/>
        <v>57.2</v>
      </c>
      <c r="AG65" s="135"/>
    </row>
    <row r="66" spans="1:33" customFormat="1" ht="106.5">
      <c r="A66" s="135">
        <v>11</v>
      </c>
      <c r="B66" s="135">
        <v>3</v>
      </c>
      <c r="C66" s="135" t="s">
        <v>195</v>
      </c>
      <c r="D66" s="145" t="s">
        <v>1679</v>
      </c>
      <c r="E66" s="145" t="s">
        <v>1680</v>
      </c>
      <c r="F66" s="145" t="s">
        <v>1681</v>
      </c>
      <c r="G66" s="145" t="s">
        <v>1682</v>
      </c>
      <c r="H66" s="145" t="s">
        <v>1683</v>
      </c>
      <c r="I66" s="145" t="s">
        <v>1684</v>
      </c>
      <c r="J66" s="145" t="s">
        <v>1685</v>
      </c>
      <c r="K66" s="145" t="s">
        <v>1686</v>
      </c>
      <c r="L66" s="145" t="s">
        <v>1687</v>
      </c>
      <c r="M66" s="145" t="s">
        <v>1688</v>
      </c>
      <c r="N66" s="155"/>
      <c r="O66" s="155">
        <f>(2081-320)*22/3600</f>
        <v>10.761666666666667</v>
      </c>
      <c r="P66" s="156"/>
      <c r="Q66" s="145"/>
      <c r="R66" s="145"/>
      <c r="S66" s="139" t="e" vm="1">
        <f>O66*30000+P66+Q66*[2]Summary!$E$9</f>
        <v>#VALUE!</v>
      </c>
      <c r="T66" s="140" t="e">
        <f>HLOOKUP(B66,[2]Summary!$I$1:$XFD$2,2,0)</f>
        <v>#N/A</v>
      </c>
      <c r="U66" s="141">
        <v>0</v>
      </c>
      <c r="V66" s="141">
        <v>1</v>
      </c>
      <c r="W66" s="141"/>
      <c r="X66" s="141"/>
      <c r="Y66" s="141"/>
      <c r="Z66" s="141">
        <f t="shared" si="4"/>
        <v>0</v>
      </c>
      <c r="AA66" s="141">
        <f t="shared" si="4"/>
        <v>31</v>
      </c>
      <c r="AB66" s="141">
        <f t="shared" si="4"/>
        <v>0</v>
      </c>
      <c r="AC66" s="141">
        <f t="shared" si="4"/>
        <v>0</v>
      </c>
      <c r="AD66" s="141">
        <f t="shared" si="4"/>
        <v>0</v>
      </c>
      <c r="AE66" s="142" t="e" vm="2">
        <f t="shared" si="1"/>
        <v>#VALUE!</v>
      </c>
      <c r="AF66" s="135">
        <f t="shared" si="2"/>
        <v>10.761666666666667</v>
      </c>
      <c r="AG66" s="135"/>
    </row>
    <row r="67" spans="1:33" customFormat="1" ht="72" customHeight="1">
      <c r="A67" s="135">
        <v>12</v>
      </c>
      <c r="B67" s="135">
        <v>3</v>
      </c>
      <c r="C67" s="135" t="s">
        <v>1689</v>
      </c>
      <c r="D67" s="158" t="s">
        <v>1690</v>
      </c>
      <c r="E67" s="145" t="s">
        <v>1691</v>
      </c>
      <c r="F67" s="145" t="s">
        <v>1692</v>
      </c>
      <c r="G67" s="145" t="s">
        <v>1693</v>
      </c>
      <c r="H67" s="145" t="s">
        <v>1694</v>
      </c>
      <c r="I67" s="145" t="s">
        <v>1695</v>
      </c>
      <c r="J67" s="145" t="s">
        <v>1696</v>
      </c>
      <c r="K67" s="145" t="s">
        <v>1697</v>
      </c>
      <c r="L67" s="145" t="s">
        <v>1698</v>
      </c>
      <c r="M67" s="145" t="s">
        <v>1699</v>
      </c>
      <c r="N67" s="155"/>
      <c r="O67" s="155">
        <f>520*22/3600</f>
        <v>3.1777777777777776</v>
      </c>
      <c r="P67" s="156"/>
      <c r="Q67" s="145"/>
      <c r="R67" s="145"/>
      <c r="S67" s="139" t="e" vm="1">
        <f>O67*30000+P67+Q67*[2]Summary!$E$9</f>
        <v>#VALUE!</v>
      </c>
      <c r="T67" s="140" t="e">
        <f>HLOOKUP(B67,[2]Summary!$I$1:$XFD$2,2,0)</f>
        <v>#N/A</v>
      </c>
      <c r="U67" s="141">
        <v>0</v>
      </c>
      <c r="V67" s="141">
        <v>1</v>
      </c>
      <c r="W67" s="141"/>
      <c r="X67" s="141"/>
      <c r="Y67" s="141"/>
      <c r="Z67" s="141">
        <f t="shared" ref="Z67:AD80" si="5">IF(U67=1,MIN(U$2-T67,U$2-T$2),0)</f>
        <v>0</v>
      </c>
      <c r="AA67" s="141">
        <f t="shared" si="5"/>
        <v>31</v>
      </c>
      <c r="AB67" s="141">
        <f t="shared" si="5"/>
        <v>0</v>
      </c>
      <c r="AC67" s="141">
        <f t="shared" si="5"/>
        <v>0</v>
      </c>
      <c r="AD67" s="141">
        <f t="shared" si="5"/>
        <v>0</v>
      </c>
      <c r="AE67" s="142" t="e" vm="2">
        <f t="shared" ref="AE67:AE80" si="6">SUM(Z67:AD67)/30*S67</f>
        <v>#VALUE!</v>
      </c>
      <c r="AF67" s="135">
        <f t="shared" ref="AF67:AF103" si="7">MAX(N67:R67)</f>
        <v>3.1777777777777776</v>
      </c>
      <c r="AG67" s="135" t="s">
        <v>1372</v>
      </c>
    </row>
    <row r="68" spans="1:33" customFormat="1" ht="76.5">
      <c r="A68" s="135">
        <v>13</v>
      </c>
      <c r="B68" s="135">
        <v>3</v>
      </c>
      <c r="C68" s="135" t="s">
        <v>1700</v>
      </c>
      <c r="D68" s="145" t="s">
        <v>1701</v>
      </c>
      <c r="E68" s="145" t="s">
        <v>1702</v>
      </c>
      <c r="F68" s="145" t="s">
        <v>1703</v>
      </c>
      <c r="G68" s="145" t="s">
        <v>1704</v>
      </c>
      <c r="H68" s="145" t="s">
        <v>1705</v>
      </c>
      <c r="I68" s="145"/>
      <c r="J68" s="145" t="s">
        <v>1706</v>
      </c>
      <c r="K68" s="145" t="s">
        <v>1707</v>
      </c>
      <c r="L68" s="145" t="s">
        <v>1708</v>
      </c>
      <c r="M68" s="145" t="s">
        <v>1709</v>
      </c>
      <c r="N68" s="155"/>
      <c r="O68" s="155">
        <f>17732/3600</f>
        <v>4.9255555555555555</v>
      </c>
      <c r="P68" s="156"/>
      <c r="Q68" s="145"/>
      <c r="R68" s="145"/>
      <c r="S68" s="139" t="e" vm="1">
        <f>O68*30000+P68+Q68*[2]Summary!$E$9</f>
        <v>#VALUE!</v>
      </c>
      <c r="T68" s="140" t="e">
        <f>HLOOKUP(B68,[2]Summary!$I$1:$XFD$2,2,0)</f>
        <v>#N/A</v>
      </c>
      <c r="U68" s="141">
        <v>0</v>
      </c>
      <c r="V68" s="141">
        <v>1</v>
      </c>
      <c r="W68" s="141"/>
      <c r="X68" s="141"/>
      <c r="Y68" s="141"/>
      <c r="Z68" s="141">
        <f t="shared" si="5"/>
        <v>0</v>
      </c>
      <c r="AA68" s="141">
        <f t="shared" si="5"/>
        <v>31</v>
      </c>
      <c r="AB68" s="141">
        <f t="shared" si="5"/>
        <v>0</v>
      </c>
      <c r="AC68" s="141">
        <f t="shared" si="5"/>
        <v>0</v>
      </c>
      <c r="AD68" s="141">
        <f t="shared" si="5"/>
        <v>0</v>
      </c>
      <c r="AE68" s="142" t="e" vm="2">
        <f t="shared" si="6"/>
        <v>#VALUE!</v>
      </c>
      <c r="AF68" s="135">
        <f t="shared" si="7"/>
        <v>4.9255555555555555</v>
      </c>
      <c r="AG68" s="135"/>
    </row>
    <row r="69" spans="1:33" customFormat="1" ht="137.25">
      <c r="A69" s="135">
        <v>14</v>
      </c>
      <c r="B69" s="135">
        <v>3</v>
      </c>
      <c r="C69" s="135" t="s">
        <v>1710</v>
      </c>
      <c r="D69" s="158" t="s">
        <v>1711</v>
      </c>
      <c r="E69" s="145" t="s">
        <v>1712</v>
      </c>
      <c r="F69" s="145" t="s">
        <v>1713</v>
      </c>
      <c r="G69" s="145" t="s">
        <v>1714</v>
      </c>
      <c r="H69" s="145" t="s">
        <v>1715</v>
      </c>
      <c r="I69" s="145" t="s">
        <v>1716</v>
      </c>
      <c r="J69" s="145" t="s">
        <v>1717</v>
      </c>
      <c r="K69" s="145" t="s">
        <v>1718</v>
      </c>
      <c r="L69" s="145" t="s">
        <v>1719</v>
      </c>
      <c r="M69" s="145" t="s">
        <v>1720</v>
      </c>
      <c r="N69" s="155"/>
      <c r="O69" s="155">
        <f>300/60</f>
        <v>5</v>
      </c>
      <c r="P69" s="156">
        <v>7452</v>
      </c>
      <c r="Q69" s="145"/>
      <c r="R69" s="145"/>
      <c r="S69" s="139" t="e" vm="1">
        <f>O69*30000+P69+Q69*[2]Summary!$E$9</f>
        <v>#VALUE!</v>
      </c>
      <c r="T69" s="140" t="e">
        <f>HLOOKUP(B69,[2]Summary!$I$1:$XFD$2,2,0)</f>
        <v>#N/A</v>
      </c>
      <c r="U69" s="141">
        <v>0</v>
      </c>
      <c r="V69" s="141">
        <v>1</v>
      </c>
      <c r="W69" s="141"/>
      <c r="X69" s="141"/>
      <c r="Y69" s="141"/>
      <c r="Z69" s="141">
        <f t="shared" si="5"/>
        <v>0</v>
      </c>
      <c r="AA69" s="141">
        <f t="shared" si="5"/>
        <v>31</v>
      </c>
      <c r="AB69" s="141">
        <f t="shared" si="5"/>
        <v>0</v>
      </c>
      <c r="AC69" s="141">
        <f t="shared" si="5"/>
        <v>0</v>
      </c>
      <c r="AD69" s="141">
        <f t="shared" si="5"/>
        <v>0</v>
      </c>
      <c r="AE69" s="142" t="e" vm="2">
        <f t="shared" si="6"/>
        <v>#VALUE!</v>
      </c>
      <c r="AF69" s="135">
        <f t="shared" si="7"/>
        <v>7452</v>
      </c>
      <c r="AG69" s="135"/>
    </row>
    <row r="70" spans="1:33" customFormat="1" ht="167.25">
      <c r="A70" s="135">
        <v>15</v>
      </c>
      <c r="B70" s="135">
        <v>3</v>
      </c>
      <c r="C70" s="135" t="s">
        <v>1721</v>
      </c>
      <c r="D70" s="145" t="s">
        <v>1722</v>
      </c>
      <c r="E70" s="145" t="s">
        <v>1723</v>
      </c>
      <c r="F70" s="145" t="s">
        <v>1724</v>
      </c>
      <c r="G70" s="145" t="s">
        <v>1725</v>
      </c>
      <c r="H70" s="145" t="s">
        <v>1726</v>
      </c>
      <c r="I70" s="145" t="s">
        <v>1727</v>
      </c>
      <c r="J70" s="145" t="s">
        <v>1728</v>
      </c>
      <c r="K70" s="145" t="s">
        <v>1729</v>
      </c>
      <c r="L70" s="145" t="s">
        <v>1730</v>
      </c>
      <c r="M70" s="145" t="s">
        <v>1731</v>
      </c>
      <c r="N70" s="155"/>
      <c r="O70" s="155"/>
      <c r="P70" s="156">
        <v>73333</v>
      </c>
      <c r="Q70" s="145"/>
      <c r="R70" s="145"/>
      <c r="S70" s="139" t="e" vm="1">
        <f>O70*30000+P70+Q70*[2]Summary!$E$9</f>
        <v>#VALUE!</v>
      </c>
      <c r="T70" s="140" t="e">
        <f>HLOOKUP(B70,[2]Summary!$I$1:$XFD$2,2,0)</f>
        <v>#N/A</v>
      </c>
      <c r="U70" s="141">
        <v>0</v>
      </c>
      <c r="V70" s="141">
        <v>1</v>
      </c>
      <c r="W70" s="141"/>
      <c r="X70" s="141"/>
      <c r="Y70" s="141"/>
      <c r="Z70" s="141">
        <f t="shared" si="5"/>
        <v>0</v>
      </c>
      <c r="AA70" s="141">
        <f t="shared" si="5"/>
        <v>31</v>
      </c>
      <c r="AB70" s="141">
        <f t="shared" si="5"/>
        <v>0</v>
      </c>
      <c r="AC70" s="141">
        <f t="shared" si="5"/>
        <v>0</v>
      </c>
      <c r="AD70" s="141">
        <f t="shared" si="5"/>
        <v>0</v>
      </c>
      <c r="AE70" s="142" t="e" vm="2">
        <f t="shared" si="6"/>
        <v>#VALUE!</v>
      </c>
      <c r="AF70" s="135">
        <f t="shared" si="7"/>
        <v>73333</v>
      </c>
      <c r="AG70" s="135"/>
    </row>
    <row r="71" spans="1:33" customFormat="1" ht="167.25">
      <c r="A71" s="135">
        <v>16</v>
      </c>
      <c r="B71" s="135">
        <v>3</v>
      </c>
      <c r="C71" s="135" t="s">
        <v>259</v>
      </c>
      <c r="D71" s="145" t="s">
        <v>1732</v>
      </c>
      <c r="E71" s="145" t="s">
        <v>1733</v>
      </c>
      <c r="F71" s="145" t="s">
        <v>1734</v>
      </c>
      <c r="G71" s="145" t="s">
        <v>1735</v>
      </c>
      <c r="H71" s="145" t="s">
        <v>1736</v>
      </c>
      <c r="I71" s="145" t="s">
        <v>1737</v>
      </c>
      <c r="J71" s="145" t="s">
        <v>1738</v>
      </c>
      <c r="K71" s="145" t="s">
        <v>1739</v>
      </c>
      <c r="L71" s="145" t="s">
        <v>1740</v>
      </c>
      <c r="M71" s="145" t="s">
        <v>1741</v>
      </c>
      <c r="N71" s="155"/>
      <c r="O71" s="155">
        <f>24+26/60+5/3600</f>
        <v>24.434722222222224</v>
      </c>
      <c r="P71" s="156"/>
      <c r="Q71" s="145"/>
      <c r="R71" s="145"/>
      <c r="S71" s="139" t="e" vm="1">
        <f>O71*30000+P71+Q71*[2]Summary!$E$9</f>
        <v>#VALUE!</v>
      </c>
      <c r="T71" s="140" t="e">
        <f>HLOOKUP(B71,[2]Summary!$I$1:$XFD$2,2,0)</f>
        <v>#N/A</v>
      </c>
      <c r="U71" s="141">
        <v>0</v>
      </c>
      <c r="V71" s="141">
        <v>1</v>
      </c>
      <c r="W71" s="141"/>
      <c r="X71" s="141"/>
      <c r="Y71" s="141"/>
      <c r="Z71" s="141">
        <f t="shared" si="5"/>
        <v>0</v>
      </c>
      <c r="AA71" s="141">
        <f t="shared" si="5"/>
        <v>31</v>
      </c>
      <c r="AB71" s="141">
        <f t="shared" si="5"/>
        <v>0</v>
      </c>
      <c r="AC71" s="141">
        <f t="shared" si="5"/>
        <v>0</v>
      </c>
      <c r="AD71" s="141">
        <f t="shared" si="5"/>
        <v>0</v>
      </c>
      <c r="AE71" s="142" t="e" vm="2">
        <f t="shared" si="6"/>
        <v>#VALUE!</v>
      </c>
      <c r="AF71" s="135">
        <f t="shared" si="7"/>
        <v>24.434722222222224</v>
      </c>
      <c r="AG71" s="135"/>
    </row>
    <row r="72" spans="1:33" customFormat="1" ht="106.5">
      <c r="A72" s="135">
        <v>17</v>
      </c>
      <c r="B72" s="135">
        <v>3</v>
      </c>
      <c r="C72" s="135" t="s">
        <v>1205</v>
      </c>
      <c r="D72" s="145" t="s">
        <v>1742</v>
      </c>
      <c r="E72" s="145" t="s">
        <v>1743</v>
      </c>
      <c r="F72" s="145" t="s">
        <v>1744</v>
      </c>
      <c r="G72" s="145"/>
      <c r="H72" s="145" t="s">
        <v>1745</v>
      </c>
      <c r="I72" s="145" t="s">
        <v>1746</v>
      </c>
      <c r="J72" s="145" t="s">
        <v>1747</v>
      </c>
      <c r="K72" s="145"/>
      <c r="L72" s="145" t="s">
        <v>1748</v>
      </c>
      <c r="M72" s="145" t="s">
        <v>1749</v>
      </c>
      <c r="N72" s="155"/>
      <c r="O72" s="155">
        <f>2215.14/60</f>
        <v>36.918999999999997</v>
      </c>
      <c r="P72" s="156"/>
      <c r="Q72" s="145"/>
      <c r="R72" s="145"/>
      <c r="S72" s="139" t="e" vm="1">
        <f>O72*30000+P72+Q72*[2]Summary!$E$9</f>
        <v>#VALUE!</v>
      </c>
      <c r="T72" s="140" t="e">
        <f>HLOOKUP(B72,[2]Summary!$I$1:$XFD$2,2,0)</f>
        <v>#N/A</v>
      </c>
      <c r="U72" s="141">
        <v>0</v>
      </c>
      <c r="V72" s="141">
        <v>1</v>
      </c>
      <c r="W72" s="141"/>
      <c r="X72" s="141"/>
      <c r="Y72" s="141"/>
      <c r="Z72" s="141">
        <f t="shared" si="5"/>
        <v>0</v>
      </c>
      <c r="AA72" s="141">
        <f t="shared" si="5"/>
        <v>31</v>
      </c>
      <c r="AB72" s="141">
        <f t="shared" si="5"/>
        <v>0</v>
      </c>
      <c r="AC72" s="141">
        <f t="shared" si="5"/>
        <v>0</v>
      </c>
      <c r="AD72" s="141">
        <f t="shared" si="5"/>
        <v>0</v>
      </c>
      <c r="AE72" s="142" t="e" vm="2">
        <f t="shared" si="6"/>
        <v>#VALUE!</v>
      </c>
      <c r="AF72" s="135">
        <f t="shared" si="7"/>
        <v>36.918999999999997</v>
      </c>
      <c r="AG72" s="135"/>
    </row>
    <row r="73" spans="1:33" customFormat="1" ht="76.5">
      <c r="A73" s="135">
        <v>18</v>
      </c>
      <c r="B73" s="135">
        <v>3</v>
      </c>
      <c r="C73" s="135" t="s">
        <v>1218</v>
      </c>
      <c r="D73" s="145" t="s">
        <v>1750</v>
      </c>
      <c r="E73" s="145" t="s">
        <v>1751</v>
      </c>
      <c r="F73" s="145" t="s">
        <v>1752</v>
      </c>
      <c r="G73" s="145" t="s">
        <v>1753</v>
      </c>
      <c r="H73" s="145" t="s">
        <v>1754</v>
      </c>
      <c r="I73" s="145" t="s">
        <v>1755</v>
      </c>
      <c r="J73" s="145" t="s">
        <v>1756</v>
      </c>
      <c r="K73" s="145" t="s">
        <v>1757</v>
      </c>
      <c r="L73" s="145" t="s">
        <v>1758</v>
      </c>
      <c r="M73" s="145" t="s">
        <v>1759</v>
      </c>
      <c r="N73" s="155"/>
      <c r="O73" s="155">
        <f>12000/3600*22</f>
        <v>73.333333333333343</v>
      </c>
      <c r="P73" s="156"/>
      <c r="Q73" s="145"/>
      <c r="R73" s="145"/>
      <c r="S73" s="139" t="e" vm="1">
        <f>O73*30000+P73+Q73*[2]Summary!$E$9</f>
        <v>#VALUE!</v>
      </c>
      <c r="T73" s="140" t="e">
        <f>HLOOKUP(B73,[2]Summary!$I$1:$XFD$2,2,0)</f>
        <v>#N/A</v>
      </c>
      <c r="U73" s="141">
        <v>0</v>
      </c>
      <c r="V73" s="141">
        <v>1</v>
      </c>
      <c r="W73" s="141"/>
      <c r="X73" s="141"/>
      <c r="Y73" s="141"/>
      <c r="Z73" s="141">
        <f t="shared" si="5"/>
        <v>0</v>
      </c>
      <c r="AA73" s="141">
        <f t="shared" si="5"/>
        <v>31</v>
      </c>
      <c r="AB73" s="141">
        <f t="shared" si="5"/>
        <v>0</v>
      </c>
      <c r="AC73" s="141">
        <f t="shared" si="5"/>
        <v>0</v>
      </c>
      <c r="AD73" s="141">
        <f t="shared" si="5"/>
        <v>0</v>
      </c>
      <c r="AE73" s="142" t="e" vm="2">
        <f t="shared" si="6"/>
        <v>#VALUE!</v>
      </c>
      <c r="AF73" s="135">
        <f t="shared" si="7"/>
        <v>73.333333333333343</v>
      </c>
      <c r="AG73" s="135"/>
    </row>
    <row r="74" spans="1:33" customFormat="1" ht="91.5">
      <c r="A74" s="135">
        <v>19</v>
      </c>
      <c r="B74" s="135">
        <v>3</v>
      </c>
      <c r="C74" s="135" t="s">
        <v>313</v>
      </c>
      <c r="D74" s="145" t="s">
        <v>1760</v>
      </c>
      <c r="E74" s="145" t="s">
        <v>1761</v>
      </c>
      <c r="F74" s="145" t="s">
        <v>1762</v>
      </c>
      <c r="G74" s="145"/>
      <c r="H74" s="145" t="s">
        <v>1763</v>
      </c>
      <c r="I74" s="145" t="s">
        <v>1764</v>
      </c>
      <c r="J74" s="145" t="s">
        <v>1765</v>
      </c>
      <c r="K74" s="145"/>
      <c r="L74" s="145"/>
      <c r="M74" s="145" t="s">
        <v>1766</v>
      </c>
      <c r="N74" s="155"/>
      <c r="O74" s="155">
        <f>(208+39)*30/3600</f>
        <v>2.0583333333333331</v>
      </c>
      <c r="P74" s="156"/>
      <c r="Q74" s="145"/>
      <c r="R74" s="145"/>
      <c r="S74" s="139" t="e" vm="1">
        <f>O74*30000+P74+Q74*[2]Summary!$E$9</f>
        <v>#VALUE!</v>
      </c>
      <c r="T74" s="140" t="e">
        <f>HLOOKUP(B74,[2]Summary!$I$1:$XFD$2,2,0)</f>
        <v>#N/A</v>
      </c>
      <c r="U74" s="141">
        <v>0</v>
      </c>
      <c r="V74" s="141">
        <v>1</v>
      </c>
      <c r="W74" s="141"/>
      <c r="X74" s="141"/>
      <c r="Y74" s="141"/>
      <c r="Z74" s="141">
        <f t="shared" si="5"/>
        <v>0</v>
      </c>
      <c r="AA74" s="141">
        <f t="shared" si="5"/>
        <v>31</v>
      </c>
      <c r="AB74" s="141">
        <f t="shared" si="5"/>
        <v>0</v>
      </c>
      <c r="AC74" s="141">
        <f t="shared" si="5"/>
        <v>0</v>
      </c>
      <c r="AD74" s="141">
        <f t="shared" si="5"/>
        <v>0</v>
      </c>
      <c r="AE74" s="142" t="e" vm="2">
        <f t="shared" si="6"/>
        <v>#VALUE!</v>
      </c>
      <c r="AF74" s="135">
        <f t="shared" si="7"/>
        <v>2.0583333333333331</v>
      </c>
      <c r="AG74" s="135"/>
    </row>
    <row r="75" spans="1:33" customFormat="1" ht="91.5">
      <c r="A75" s="135">
        <v>20</v>
      </c>
      <c r="B75" s="135">
        <v>3</v>
      </c>
      <c r="C75" s="135" t="s">
        <v>815</v>
      </c>
      <c r="D75" s="145" t="s">
        <v>1767</v>
      </c>
      <c r="E75" s="145" t="s">
        <v>1768</v>
      </c>
      <c r="F75" s="145" t="s">
        <v>1769</v>
      </c>
      <c r="G75" s="145"/>
      <c r="H75" s="145" t="s">
        <v>1770</v>
      </c>
      <c r="I75" s="145" t="s">
        <v>1771</v>
      </c>
      <c r="J75" s="145"/>
      <c r="K75" s="145"/>
      <c r="L75" s="145" t="s">
        <v>1772</v>
      </c>
      <c r="M75" s="145" t="s">
        <v>1773</v>
      </c>
      <c r="N75" s="155"/>
      <c r="O75" s="159">
        <v>5.2</v>
      </c>
      <c r="P75" s="156"/>
      <c r="Q75" s="145"/>
      <c r="R75" s="145"/>
      <c r="S75" s="139" t="e" vm="1">
        <f>O75*30000+P75+Q75*[2]Summary!$E$9</f>
        <v>#VALUE!</v>
      </c>
      <c r="T75" s="140" t="e">
        <f>HLOOKUP(B75,[2]Summary!$I$1:$XFD$2,2,0)</f>
        <v>#N/A</v>
      </c>
      <c r="U75" s="141">
        <v>0</v>
      </c>
      <c r="V75" s="141">
        <v>1</v>
      </c>
      <c r="W75" s="141"/>
      <c r="X75" s="141"/>
      <c r="Y75" s="141"/>
      <c r="Z75" s="141">
        <f t="shared" si="5"/>
        <v>0</v>
      </c>
      <c r="AA75" s="141">
        <f t="shared" si="5"/>
        <v>31</v>
      </c>
      <c r="AB75" s="141">
        <f t="shared" si="5"/>
        <v>0</v>
      </c>
      <c r="AC75" s="141">
        <f t="shared" si="5"/>
        <v>0</v>
      </c>
      <c r="AD75" s="141">
        <f t="shared" si="5"/>
        <v>0</v>
      </c>
      <c r="AE75" s="142" t="e" vm="2">
        <f t="shared" si="6"/>
        <v>#VALUE!</v>
      </c>
      <c r="AF75" s="135">
        <f t="shared" si="7"/>
        <v>5.2</v>
      </c>
      <c r="AG75" s="135"/>
    </row>
    <row r="76" spans="1:33" customFormat="1" ht="152.25">
      <c r="A76" s="135">
        <v>21</v>
      </c>
      <c r="B76" s="135">
        <v>3</v>
      </c>
      <c r="C76" s="135" t="s">
        <v>1774</v>
      </c>
      <c r="D76" s="145" t="s">
        <v>1775</v>
      </c>
      <c r="E76" s="145" t="s">
        <v>1776</v>
      </c>
      <c r="F76" s="145" t="s">
        <v>1777</v>
      </c>
      <c r="G76" s="145"/>
      <c r="H76" s="145" t="s">
        <v>1778</v>
      </c>
      <c r="I76" s="145" t="s">
        <v>1779</v>
      </c>
      <c r="J76" s="145" t="s">
        <v>1780</v>
      </c>
      <c r="K76" s="145"/>
      <c r="L76" s="145" t="s">
        <v>1781</v>
      </c>
      <c r="M76" s="145"/>
      <c r="N76" s="155"/>
      <c r="O76" s="159">
        <f>7*30/3600</f>
        <v>5.8333333333333334E-2</v>
      </c>
      <c r="P76" s="156"/>
      <c r="Q76" s="145"/>
      <c r="R76" s="145"/>
      <c r="S76" s="139" t="e" vm="1">
        <f>O76*30000+P76+Q76*[2]Summary!$E$9</f>
        <v>#VALUE!</v>
      </c>
      <c r="T76" s="140" t="e">
        <f>HLOOKUP(B76,[2]Summary!$I$1:$XFD$2,2,0)</f>
        <v>#N/A</v>
      </c>
      <c r="U76" s="141">
        <v>0</v>
      </c>
      <c r="V76" s="141">
        <v>1</v>
      </c>
      <c r="W76" s="141"/>
      <c r="X76" s="141"/>
      <c r="Y76" s="141"/>
      <c r="Z76" s="141">
        <f t="shared" si="5"/>
        <v>0</v>
      </c>
      <c r="AA76" s="141">
        <f t="shared" si="5"/>
        <v>31</v>
      </c>
      <c r="AB76" s="141">
        <f t="shared" si="5"/>
        <v>0</v>
      </c>
      <c r="AC76" s="141">
        <f t="shared" si="5"/>
        <v>0</v>
      </c>
      <c r="AD76" s="141">
        <f t="shared" si="5"/>
        <v>0</v>
      </c>
      <c r="AE76" s="142" t="e" vm="2">
        <f t="shared" si="6"/>
        <v>#VALUE!</v>
      </c>
      <c r="AF76" s="135">
        <f t="shared" si="7"/>
        <v>5.8333333333333334E-2</v>
      </c>
      <c r="AG76" s="135"/>
    </row>
    <row r="77" spans="1:33" customFormat="1" ht="167.25">
      <c r="A77" s="135">
        <v>22</v>
      </c>
      <c r="B77" s="135">
        <v>3</v>
      </c>
      <c r="C77" s="135" t="s">
        <v>1782</v>
      </c>
      <c r="D77" s="145" t="s">
        <v>1783</v>
      </c>
      <c r="E77" s="145" t="s">
        <v>1784</v>
      </c>
      <c r="F77" s="145" t="s">
        <v>1785</v>
      </c>
      <c r="G77" s="145" t="s">
        <v>1786</v>
      </c>
      <c r="H77" s="145" t="s">
        <v>1787</v>
      </c>
      <c r="I77" s="145" t="s">
        <v>1788</v>
      </c>
      <c r="J77" s="145" t="s">
        <v>1789</v>
      </c>
      <c r="K77" s="145" t="s">
        <v>1790</v>
      </c>
      <c r="L77" s="145" t="s">
        <v>1791</v>
      </c>
      <c r="M77" s="145" t="s">
        <v>1792</v>
      </c>
      <c r="N77" s="155"/>
      <c r="O77" s="155"/>
      <c r="P77" s="156">
        <f>14/500*35000</f>
        <v>980</v>
      </c>
      <c r="Q77" s="145"/>
      <c r="R77" s="145"/>
      <c r="S77" s="139" t="e" vm="1">
        <f>O77*30000+P77+Q77*[2]Summary!$E$9</f>
        <v>#VALUE!</v>
      </c>
      <c r="T77" s="140" t="e">
        <f>HLOOKUP(B77,[2]Summary!$I$1:$XFD$2,2,0)</f>
        <v>#N/A</v>
      </c>
      <c r="U77" s="141">
        <v>0</v>
      </c>
      <c r="V77" s="141">
        <v>1</v>
      </c>
      <c r="W77" s="141"/>
      <c r="X77" s="141"/>
      <c r="Y77" s="141"/>
      <c r="Z77" s="141">
        <f t="shared" si="5"/>
        <v>0</v>
      </c>
      <c r="AA77" s="141">
        <f t="shared" si="5"/>
        <v>31</v>
      </c>
      <c r="AB77" s="141">
        <f t="shared" si="5"/>
        <v>0</v>
      </c>
      <c r="AC77" s="141">
        <f t="shared" si="5"/>
        <v>0</v>
      </c>
      <c r="AD77" s="141">
        <f t="shared" si="5"/>
        <v>0</v>
      </c>
      <c r="AE77" s="142" t="e" vm="2">
        <f t="shared" si="6"/>
        <v>#VALUE!</v>
      </c>
      <c r="AF77" s="135">
        <f t="shared" si="7"/>
        <v>980</v>
      </c>
      <c r="AG77" s="135"/>
    </row>
    <row r="78" spans="1:33" customFormat="1" ht="152.25">
      <c r="A78" s="135">
        <v>23</v>
      </c>
      <c r="B78" s="135">
        <v>3</v>
      </c>
      <c r="C78" s="135" t="s">
        <v>393</v>
      </c>
      <c r="D78" s="145" t="s">
        <v>1793</v>
      </c>
      <c r="E78" s="145" t="s">
        <v>1794</v>
      </c>
      <c r="F78" s="145" t="s">
        <v>1795</v>
      </c>
      <c r="G78" s="145" t="s">
        <v>1796</v>
      </c>
      <c r="H78" s="145" t="s">
        <v>1797</v>
      </c>
      <c r="I78" s="145" t="s">
        <v>1798</v>
      </c>
      <c r="J78" s="145" t="s">
        <v>1799</v>
      </c>
      <c r="K78" s="145" t="s">
        <v>1800</v>
      </c>
      <c r="L78" s="145" t="s">
        <v>1801</v>
      </c>
      <c r="M78" s="145" t="s">
        <v>1802</v>
      </c>
      <c r="N78" s="155"/>
      <c r="O78" s="155">
        <v>1.32</v>
      </c>
      <c r="P78" s="156"/>
      <c r="Q78" s="145"/>
      <c r="R78" s="145"/>
      <c r="S78" s="139" t="e" vm="1">
        <f>O78*30000+P78+Q78*[2]Summary!$E$9</f>
        <v>#VALUE!</v>
      </c>
      <c r="T78" s="140" t="e">
        <f>HLOOKUP(B78,[2]Summary!$I$1:$XFD$2,2,0)</f>
        <v>#N/A</v>
      </c>
      <c r="U78" s="141">
        <v>0</v>
      </c>
      <c r="V78" s="141">
        <v>1</v>
      </c>
      <c r="W78" s="141"/>
      <c r="X78" s="141"/>
      <c r="Y78" s="141"/>
      <c r="Z78" s="141">
        <f t="shared" si="5"/>
        <v>0</v>
      </c>
      <c r="AA78" s="141">
        <f t="shared" si="5"/>
        <v>31</v>
      </c>
      <c r="AB78" s="141">
        <f t="shared" si="5"/>
        <v>0</v>
      </c>
      <c r="AC78" s="141">
        <f t="shared" si="5"/>
        <v>0</v>
      </c>
      <c r="AD78" s="141">
        <f t="shared" si="5"/>
        <v>0</v>
      </c>
      <c r="AE78" s="142" t="e" vm="2">
        <f t="shared" si="6"/>
        <v>#VALUE!</v>
      </c>
      <c r="AF78" s="135">
        <f t="shared" si="7"/>
        <v>1.32</v>
      </c>
      <c r="AG78" s="135"/>
    </row>
    <row r="79" spans="1:33" customFormat="1" ht="137.25">
      <c r="A79" s="135">
        <v>24</v>
      </c>
      <c r="B79" s="135">
        <v>3</v>
      </c>
      <c r="C79" s="135" t="s">
        <v>405</v>
      </c>
      <c r="D79" s="145" t="s">
        <v>1803</v>
      </c>
      <c r="E79" s="145" t="s">
        <v>1804</v>
      </c>
      <c r="F79" s="145" t="s">
        <v>1805</v>
      </c>
      <c r="G79" s="145" t="s">
        <v>1806</v>
      </c>
      <c r="H79" s="145" t="s">
        <v>1807</v>
      </c>
      <c r="I79" s="145" t="s">
        <v>1808</v>
      </c>
      <c r="J79" s="145" t="s">
        <v>1809</v>
      </c>
      <c r="K79" s="145" t="s">
        <v>1810</v>
      </c>
      <c r="L79" s="145" t="s">
        <v>1811</v>
      </c>
      <c r="M79" s="145" t="s">
        <v>1812</v>
      </c>
      <c r="N79" s="155"/>
      <c r="O79" s="155">
        <v>15</v>
      </c>
      <c r="P79" s="156"/>
      <c r="Q79" s="145"/>
      <c r="R79" s="145"/>
      <c r="S79" s="139" t="e" vm="1">
        <f>O79*30000+P79+Q79*[2]Summary!$E$9</f>
        <v>#VALUE!</v>
      </c>
      <c r="T79" s="140" t="e">
        <f>HLOOKUP(B79,[2]Summary!$I$1:$XFD$2,2,0)</f>
        <v>#N/A</v>
      </c>
      <c r="U79" s="141">
        <v>0</v>
      </c>
      <c r="V79" s="141">
        <v>1</v>
      </c>
      <c r="W79" s="141"/>
      <c r="X79" s="141"/>
      <c r="Y79" s="141"/>
      <c r="Z79" s="141">
        <f t="shared" si="5"/>
        <v>0</v>
      </c>
      <c r="AA79" s="141">
        <f t="shared" si="5"/>
        <v>31</v>
      </c>
      <c r="AB79" s="141">
        <f t="shared" si="5"/>
        <v>0</v>
      </c>
      <c r="AC79" s="141">
        <f t="shared" si="5"/>
        <v>0</v>
      </c>
      <c r="AD79" s="141">
        <f t="shared" si="5"/>
        <v>0</v>
      </c>
      <c r="AE79" s="142" t="e" vm="2">
        <f t="shared" si="6"/>
        <v>#VALUE!</v>
      </c>
      <c r="AF79" s="135">
        <f t="shared" si="7"/>
        <v>15</v>
      </c>
      <c r="AG79" s="135"/>
    </row>
    <row r="80" spans="1:33" customFormat="1" ht="121.5">
      <c r="A80" s="135">
        <v>25</v>
      </c>
      <c r="B80" s="135">
        <v>3</v>
      </c>
      <c r="C80" s="135" t="s">
        <v>416</v>
      </c>
      <c r="D80" s="145" t="s">
        <v>1813</v>
      </c>
      <c r="E80" s="145" t="s">
        <v>1814</v>
      </c>
      <c r="F80" s="145" t="s">
        <v>1815</v>
      </c>
      <c r="G80" s="145" t="s">
        <v>1816</v>
      </c>
      <c r="H80" s="145" t="s">
        <v>1817</v>
      </c>
      <c r="I80" s="145" t="s">
        <v>1818</v>
      </c>
      <c r="J80" s="145" t="s">
        <v>1819</v>
      </c>
      <c r="K80" s="145" t="s">
        <v>1820</v>
      </c>
      <c r="L80" s="145" t="s">
        <v>1821</v>
      </c>
      <c r="M80" s="145" t="s">
        <v>1822</v>
      </c>
      <c r="N80" s="155"/>
      <c r="O80" s="155">
        <f>2596/60/60*4/3</f>
        <v>0.96148148148148149</v>
      </c>
      <c r="P80" s="156"/>
      <c r="Q80" s="145"/>
      <c r="R80" s="145"/>
      <c r="S80" s="139" t="e" vm="1">
        <f>O80*30000+P80+Q80*[2]Summary!$E$9</f>
        <v>#VALUE!</v>
      </c>
      <c r="T80" s="140" t="e">
        <f>HLOOKUP(B80,[2]Summary!$I$1:$XFD$2,2,0)</f>
        <v>#N/A</v>
      </c>
      <c r="U80" s="141">
        <v>0</v>
      </c>
      <c r="V80" s="141">
        <v>1</v>
      </c>
      <c r="W80" s="141"/>
      <c r="X80" s="141"/>
      <c r="Y80" s="141"/>
      <c r="Z80" s="141">
        <f t="shared" si="5"/>
        <v>0</v>
      </c>
      <c r="AA80" s="141">
        <f t="shared" si="5"/>
        <v>31</v>
      </c>
      <c r="AB80" s="141">
        <f t="shared" si="5"/>
        <v>0</v>
      </c>
      <c r="AC80" s="141">
        <f t="shared" si="5"/>
        <v>0</v>
      </c>
      <c r="AD80" s="141">
        <f t="shared" si="5"/>
        <v>0</v>
      </c>
      <c r="AE80" s="142" t="e" vm="2">
        <f t="shared" si="6"/>
        <v>#VALUE!</v>
      </c>
      <c r="AF80" s="135">
        <f t="shared" si="7"/>
        <v>0.96148148148148149</v>
      </c>
      <c r="AG80" s="135"/>
    </row>
    <row r="81" spans="1:33" customFormat="1" ht="137.25">
      <c r="A81" s="135">
        <v>1</v>
      </c>
      <c r="B81" s="135">
        <v>4</v>
      </c>
      <c r="C81" s="135" t="s">
        <v>1347</v>
      </c>
      <c r="D81" s="145" t="s">
        <v>1823</v>
      </c>
      <c r="E81" s="145" t="s">
        <v>1824</v>
      </c>
      <c r="F81" s="145" t="s">
        <v>1825</v>
      </c>
      <c r="G81" s="145" t="s">
        <v>1826</v>
      </c>
      <c r="H81" s="145" t="s">
        <v>1827</v>
      </c>
      <c r="I81" s="145" t="s">
        <v>1828</v>
      </c>
      <c r="J81" s="145" t="s">
        <v>1829</v>
      </c>
      <c r="K81" s="145"/>
      <c r="L81" s="145"/>
      <c r="M81" s="145" t="s">
        <v>1830</v>
      </c>
      <c r="N81" s="145"/>
      <c r="O81" s="155"/>
      <c r="P81" s="149"/>
      <c r="Q81" s="145"/>
      <c r="R81" s="145"/>
      <c r="S81" s="139" t="e" vm="1">
        <f>O81*30000+P81+Q81*[2]Summary!$E$9</f>
        <v>#VALUE!</v>
      </c>
      <c r="T81" s="135"/>
      <c r="U81" s="135"/>
      <c r="V81" s="135"/>
      <c r="W81" s="135"/>
      <c r="X81" s="135"/>
      <c r="Y81" s="135"/>
      <c r="Z81" s="135"/>
      <c r="AA81" s="135"/>
      <c r="AB81" s="135"/>
      <c r="AC81" s="135"/>
      <c r="AD81" s="135"/>
      <c r="AE81" s="135"/>
      <c r="AF81" s="135">
        <f t="shared" si="7"/>
        <v>0</v>
      </c>
      <c r="AG81" s="135"/>
    </row>
    <row r="82" spans="1:33" customFormat="1" ht="121.5">
      <c r="A82" s="135">
        <v>2</v>
      </c>
      <c r="B82" s="135">
        <v>4</v>
      </c>
      <c r="C82" s="135" t="s">
        <v>1354</v>
      </c>
      <c r="D82" s="145" t="s">
        <v>1831</v>
      </c>
      <c r="E82" s="145" t="s">
        <v>1832</v>
      </c>
      <c r="F82" s="145" t="s">
        <v>1833</v>
      </c>
      <c r="G82" s="145" t="s">
        <v>1834</v>
      </c>
      <c r="H82" s="145" t="s">
        <v>1835</v>
      </c>
      <c r="I82" s="145" t="e">
        <f>"1.Terbatasnya waktu Team Leader melakukan penjadwalan sesuai dengan schedule agent"&amp;#REF!&amp;#REF!</f>
        <v>#REF!</v>
      </c>
      <c r="J82" s="145" t="s">
        <v>1836</v>
      </c>
      <c r="K82" s="145"/>
      <c r="L82" s="145" t="s">
        <v>1837</v>
      </c>
      <c r="M82" s="145" t="s">
        <v>1838</v>
      </c>
      <c r="N82" s="145"/>
      <c r="O82" s="155">
        <f>1+8/60+27/3600</f>
        <v>1.1408333333333334</v>
      </c>
      <c r="P82" s="149"/>
      <c r="Q82" s="145"/>
      <c r="R82" s="145"/>
      <c r="S82" s="139" t="e" vm="1">
        <f>O82*30000+P82+Q82*[2]Summary!$E$9</f>
        <v>#VALUE!</v>
      </c>
      <c r="T82" s="135"/>
      <c r="U82" s="135"/>
      <c r="V82" s="135"/>
      <c r="W82" s="135"/>
      <c r="X82" s="135"/>
      <c r="Y82" s="135"/>
      <c r="Z82" s="135"/>
      <c r="AA82" s="135"/>
      <c r="AB82" s="135"/>
      <c r="AC82" s="135"/>
      <c r="AD82" s="135"/>
      <c r="AE82" s="135"/>
      <c r="AF82" s="135">
        <f t="shared" si="7"/>
        <v>1.1408333333333334</v>
      </c>
      <c r="AG82" s="135"/>
    </row>
    <row r="83" spans="1:33" customFormat="1" ht="76.5">
      <c r="A83" s="135">
        <v>3</v>
      </c>
      <c r="B83" s="135">
        <v>4</v>
      </c>
      <c r="C83" s="135" t="s">
        <v>456</v>
      </c>
      <c r="D83" s="145" t="s">
        <v>1839</v>
      </c>
      <c r="E83" s="145" t="s">
        <v>1840</v>
      </c>
      <c r="F83" s="145" t="s">
        <v>1841</v>
      </c>
      <c r="G83" s="145" t="s">
        <v>1842</v>
      </c>
      <c r="H83" s="145" t="s">
        <v>1843</v>
      </c>
      <c r="I83" s="145" t="s">
        <v>1844</v>
      </c>
      <c r="J83" s="145" t="s">
        <v>1845</v>
      </c>
      <c r="K83" s="145" t="s">
        <v>1846</v>
      </c>
      <c r="L83" s="145" t="s">
        <v>1847</v>
      </c>
      <c r="M83" s="145" t="s">
        <v>1848</v>
      </c>
      <c r="N83" s="145"/>
      <c r="O83" s="155">
        <v>8</v>
      </c>
      <c r="P83" s="149"/>
      <c r="Q83" s="145"/>
      <c r="R83" s="145"/>
      <c r="S83" s="139" t="e" vm="1">
        <f>O83*30000+P83+Q83*[2]Summary!$E$9</f>
        <v>#VALUE!</v>
      </c>
      <c r="T83" s="135"/>
      <c r="U83" s="135"/>
      <c r="V83" s="135"/>
      <c r="W83" s="135"/>
      <c r="X83" s="135"/>
      <c r="Y83" s="135"/>
      <c r="Z83" s="135"/>
      <c r="AA83" s="135"/>
      <c r="AB83" s="135"/>
      <c r="AC83" s="135"/>
      <c r="AD83" s="135"/>
      <c r="AE83" s="135"/>
      <c r="AF83" s="135">
        <f t="shared" si="7"/>
        <v>8</v>
      </c>
      <c r="AG83" s="135"/>
    </row>
    <row r="84" spans="1:33" customFormat="1" ht="167.25">
      <c r="A84" s="135">
        <f>A83+1</f>
        <v>4</v>
      </c>
      <c r="B84" s="135">
        <v>4</v>
      </c>
      <c r="C84" s="135" t="s">
        <v>1721</v>
      </c>
      <c r="D84" s="145" t="s">
        <v>1849</v>
      </c>
      <c r="E84" s="145" t="s">
        <v>1850</v>
      </c>
      <c r="F84" s="145" t="s">
        <v>1851</v>
      </c>
      <c r="G84" s="145" t="s">
        <v>1852</v>
      </c>
      <c r="H84" s="145" t="s">
        <v>1853</v>
      </c>
      <c r="I84" s="145" t="s">
        <v>1854</v>
      </c>
      <c r="J84" s="145" t="s">
        <v>1855</v>
      </c>
      <c r="K84" s="145" t="s">
        <v>1856</v>
      </c>
      <c r="L84" s="145" t="s">
        <v>1857</v>
      </c>
      <c r="M84" s="145" t="s">
        <v>1858</v>
      </c>
      <c r="N84" s="145"/>
      <c r="O84" s="155"/>
      <c r="P84" s="149">
        <v>210000</v>
      </c>
      <c r="Q84" s="145"/>
      <c r="R84" s="145"/>
      <c r="S84" s="139" t="e" vm="1">
        <f>O84*30000+P84+Q84*[2]Summary!$E$9</f>
        <v>#VALUE!</v>
      </c>
      <c r="T84" s="135"/>
      <c r="U84" s="135"/>
      <c r="V84" s="135"/>
      <c r="W84" s="135"/>
      <c r="X84" s="135"/>
      <c r="Y84" s="135"/>
      <c r="Z84" s="135"/>
      <c r="AA84" s="135"/>
      <c r="AB84" s="135"/>
      <c r="AC84" s="135"/>
      <c r="AD84" s="135"/>
      <c r="AE84" s="135"/>
      <c r="AF84" s="135">
        <f t="shared" si="7"/>
        <v>210000</v>
      </c>
      <c r="AG84" s="135"/>
    </row>
    <row r="85" spans="1:33" customFormat="1" ht="91.5">
      <c r="A85" s="135">
        <v>4</v>
      </c>
      <c r="B85" s="135">
        <v>4</v>
      </c>
      <c r="C85" s="135" t="s">
        <v>59</v>
      </c>
      <c r="D85" s="145" t="s">
        <v>1859</v>
      </c>
      <c r="E85" s="145" t="s">
        <v>1860</v>
      </c>
      <c r="F85" s="145" t="s">
        <v>1861</v>
      </c>
      <c r="G85" s="145" t="s">
        <v>1862</v>
      </c>
      <c r="H85" s="145" t="s">
        <v>1863</v>
      </c>
      <c r="I85" s="145" t="s">
        <v>1864</v>
      </c>
      <c r="J85" s="145" t="s">
        <v>1865</v>
      </c>
      <c r="K85" s="145" t="s">
        <v>1866</v>
      </c>
      <c r="L85" s="145" t="s">
        <v>1867</v>
      </c>
      <c r="M85" s="145" t="s">
        <v>1868</v>
      </c>
      <c r="N85" s="145"/>
      <c r="O85" s="155">
        <f>296/60</f>
        <v>4.9333333333333336</v>
      </c>
      <c r="P85" s="149"/>
      <c r="Q85" s="145"/>
      <c r="R85" s="145"/>
      <c r="S85" s="139" t="e" vm="1">
        <f>O85*30000+P85+Q85*[2]Summary!$E$9</f>
        <v>#VALUE!</v>
      </c>
      <c r="T85" s="135"/>
      <c r="U85" s="135"/>
      <c r="V85" s="135"/>
      <c r="W85" s="135"/>
      <c r="X85" s="135"/>
      <c r="Y85" s="135"/>
      <c r="Z85" s="135"/>
      <c r="AA85" s="135"/>
      <c r="AB85" s="135"/>
      <c r="AC85" s="135"/>
      <c r="AD85" s="135"/>
      <c r="AE85" s="135"/>
      <c r="AF85" s="135">
        <f t="shared" si="7"/>
        <v>4.9333333333333336</v>
      </c>
      <c r="AG85" s="135"/>
    </row>
    <row r="86" spans="1:33" customFormat="1" ht="91.5">
      <c r="A86" s="135">
        <f>A85+1</f>
        <v>5</v>
      </c>
      <c r="B86" s="135">
        <v>4</v>
      </c>
      <c r="C86" s="135" t="s">
        <v>94</v>
      </c>
      <c r="D86" s="145" t="s">
        <v>1869</v>
      </c>
      <c r="E86" s="145" t="s">
        <v>1870</v>
      </c>
      <c r="F86" s="145" t="s">
        <v>1871</v>
      </c>
      <c r="G86" s="145" t="s">
        <v>1872</v>
      </c>
      <c r="H86" s="145" t="s">
        <v>1873</v>
      </c>
      <c r="I86" s="145" t="s">
        <v>1874</v>
      </c>
      <c r="J86" s="145" t="s">
        <v>1875</v>
      </c>
      <c r="K86" s="145" t="s">
        <v>1876</v>
      </c>
      <c r="L86" s="145" t="s">
        <v>1877</v>
      </c>
      <c r="M86" s="145" t="s">
        <v>1878</v>
      </c>
      <c r="N86" s="145"/>
      <c r="O86" s="155">
        <f>5+22/60</f>
        <v>5.3666666666666663</v>
      </c>
      <c r="P86" s="149"/>
      <c r="Q86" s="145"/>
      <c r="R86" s="145"/>
      <c r="S86" s="139" t="e" vm="1">
        <f>O86*30000+P86+Q86*[2]Summary!$E$9</f>
        <v>#VALUE!</v>
      </c>
      <c r="T86" s="135"/>
      <c r="U86" s="135"/>
      <c r="V86" s="135"/>
      <c r="W86" s="135"/>
      <c r="X86" s="135"/>
      <c r="Y86" s="135"/>
      <c r="Z86" s="135"/>
      <c r="AA86" s="135"/>
      <c r="AB86" s="135"/>
      <c r="AC86" s="135"/>
      <c r="AD86" s="135"/>
      <c r="AE86" s="135"/>
      <c r="AF86" s="135">
        <f t="shared" si="7"/>
        <v>5.3666666666666663</v>
      </c>
      <c r="AG86" s="135"/>
    </row>
    <row r="87" spans="1:33" customFormat="1" ht="91.5">
      <c r="A87" s="135">
        <v>5</v>
      </c>
      <c r="B87" s="135">
        <v>4</v>
      </c>
      <c r="C87" s="135" t="s">
        <v>78</v>
      </c>
      <c r="D87" s="145" t="s">
        <v>1879</v>
      </c>
      <c r="E87" s="145" t="s">
        <v>1880</v>
      </c>
      <c r="F87" s="145" t="s">
        <v>1881</v>
      </c>
      <c r="G87" s="145" t="s">
        <v>1882</v>
      </c>
      <c r="H87" s="145" t="s">
        <v>1883</v>
      </c>
      <c r="I87" s="145" t="s">
        <v>1884</v>
      </c>
      <c r="J87" s="145" t="s">
        <v>1885</v>
      </c>
      <c r="K87" s="145"/>
      <c r="L87" s="145"/>
      <c r="M87" s="145"/>
      <c r="N87" s="145"/>
      <c r="O87" s="155"/>
      <c r="P87" s="149"/>
      <c r="Q87" s="145"/>
      <c r="R87" s="145"/>
      <c r="S87" s="139" t="e" vm="1">
        <f>O87*30000+P87+Q87*[2]Summary!$E$9</f>
        <v>#VALUE!</v>
      </c>
      <c r="T87" s="135"/>
      <c r="U87" s="135"/>
      <c r="V87" s="135"/>
      <c r="W87" s="135"/>
      <c r="X87" s="135"/>
      <c r="Y87" s="135"/>
      <c r="Z87" s="135"/>
      <c r="AA87" s="135"/>
      <c r="AB87" s="135"/>
      <c r="AC87" s="135"/>
      <c r="AD87" s="135"/>
      <c r="AE87" s="135"/>
      <c r="AF87" s="135">
        <f t="shared" si="7"/>
        <v>0</v>
      </c>
      <c r="AG87" s="135"/>
    </row>
    <row r="88" spans="1:33" customFormat="1" ht="76.5">
      <c r="A88" s="135">
        <f t="shared" ref="A88:A105" si="8">A87+1</f>
        <v>6</v>
      </c>
      <c r="B88" s="135">
        <v>4</v>
      </c>
      <c r="C88" s="135" t="s">
        <v>106</v>
      </c>
      <c r="D88" s="145" t="s">
        <v>1886</v>
      </c>
      <c r="E88" s="145" t="s">
        <v>1887</v>
      </c>
      <c r="F88" s="145" t="s">
        <v>1888</v>
      </c>
      <c r="G88" s="145" t="s">
        <v>1889</v>
      </c>
      <c r="H88" s="145" t="s">
        <v>1890</v>
      </c>
      <c r="I88" s="145" t="s">
        <v>1891</v>
      </c>
      <c r="J88" s="145" t="s">
        <v>1892</v>
      </c>
      <c r="K88" s="145" t="s">
        <v>1893</v>
      </c>
      <c r="L88" s="145" t="s">
        <v>1894</v>
      </c>
      <c r="M88" s="145" t="s">
        <v>1895</v>
      </c>
      <c r="N88" s="145">
        <v>24</v>
      </c>
      <c r="O88" s="155"/>
      <c r="P88" s="149"/>
      <c r="Q88" s="145"/>
      <c r="R88" s="145"/>
      <c r="S88" s="139" t="e" vm="1">
        <f>O88*30000+P88+Q88*[2]Summary!$E$9</f>
        <v>#VALUE!</v>
      </c>
      <c r="T88" s="135"/>
      <c r="U88" s="135"/>
      <c r="V88" s="135"/>
      <c r="W88" s="135"/>
      <c r="X88" s="135"/>
      <c r="Y88" s="135"/>
      <c r="Z88" s="135"/>
      <c r="AA88" s="135"/>
      <c r="AB88" s="135"/>
      <c r="AC88" s="135"/>
      <c r="AD88" s="135"/>
      <c r="AE88" s="135"/>
      <c r="AF88" s="135">
        <f t="shared" si="7"/>
        <v>24</v>
      </c>
      <c r="AG88" s="135"/>
    </row>
    <row r="89" spans="1:33" customFormat="1" ht="137.25">
      <c r="A89" s="135">
        <f t="shared" si="8"/>
        <v>7</v>
      </c>
      <c r="B89" s="135">
        <v>4</v>
      </c>
      <c r="C89" s="135" t="s">
        <v>259</v>
      </c>
      <c r="D89" s="145" t="s">
        <v>1896</v>
      </c>
      <c r="E89" s="145" t="s">
        <v>1897</v>
      </c>
      <c r="F89" s="145" t="s">
        <v>1898</v>
      </c>
      <c r="G89" s="145" t="s">
        <v>1899</v>
      </c>
      <c r="H89" s="145" t="s">
        <v>1900</v>
      </c>
      <c r="I89" s="145" t="s">
        <v>1901</v>
      </c>
      <c r="J89" s="145" t="s">
        <v>1902</v>
      </c>
      <c r="K89" s="145" t="s">
        <v>1903</v>
      </c>
      <c r="L89" s="145" t="s">
        <v>1904</v>
      </c>
      <c r="M89" s="145" t="s">
        <v>1905</v>
      </c>
      <c r="N89" s="145">
        <f>48+37/60+42/3600</f>
        <v>48.62833333333333</v>
      </c>
      <c r="O89" s="155"/>
      <c r="P89" s="149"/>
      <c r="Q89" s="145"/>
      <c r="R89" s="145"/>
      <c r="S89" s="139" t="e" vm="1">
        <f>O89*30000+P89+Q89*[2]Summary!$E$9</f>
        <v>#VALUE!</v>
      </c>
      <c r="T89" s="135"/>
      <c r="U89" s="135"/>
      <c r="V89" s="135"/>
      <c r="W89" s="135"/>
      <c r="X89" s="135"/>
      <c r="Y89" s="135"/>
      <c r="Z89" s="135"/>
      <c r="AA89" s="135"/>
      <c r="AB89" s="135"/>
      <c r="AC89" s="135"/>
      <c r="AD89" s="135"/>
      <c r="AE89" s="135"/>
      <c r="AF89" s="135">
        <f t="shared" si="7"/>
        <v>48.62833333333333</v>
      </c>
      <c r="AG89" s="135"/>
    </row>
    <row r="90" spans="1:33" customFormat="1" ht="106.5">
      <c r="A90" s="135">
        <f t="shared" si="8"/>
        <v>8</v>
      </c>
      <c r="B90" s="135">
        <v>4</v>
      </c>
      <c r="C90" s="135" t="s">
        <v>815</v>
      </c>
      <c r="D90" s="158" t="s">
        <v>1906</v>
      </c>
      <c r="E90" s="145" t="s">
        <v>1907</v>
      </c>
      <c r="F90" s="145" t="s">
        <v>1908</v>
      </c>
      <c r="G90" s="145" t="s">
        <v>1909</v>
      </c>
      <c r="H90" s="145" t="s">
        <v>1910</v>
      </c>
      <c r="I90" s="145" t="s">
        <v>1911</v>
      </c>
      <c r="J90" s="145" t="s">
        <v>1912</v>
      </c>
      <c r="K90" s="145" t="s">
        <v>1913</v>
      </c>
      <c r="L90" s="145" t="s">
        <v>1914</v>
      </c>
      <c r="M90" s="145" t="s">
        <v>1915</v>
      </c>
      <c r="N90" s="145"/>
      <c r="O90" s="159">
        <f>0.54*21</f>
        <v>11.34</v>
      </c>
      <c r="P90" s="149"/>
      <c r="Q90" s="145"/>
      <c r="R90" s="145"/>
      <c r="S90" s="139" t="e" vm="1">
        <f>O90*30000+P90+Q90*[2]Summary!$E$9</f>
        <v>#VALUE!</v>
      </c>
      <c r="T90" s="135"/>
      <c r="U90" s="135"/>
      <c r="V90" s="135"/>
      <c r="W90" s="135"/>
      <c r="X90" s="135"/>
      <c r="Y90" s="135"/>
      <c r="Z90" s="135"/>
      <c r="AA90" s="135"/>
      <c r="AB90" s="135"/>
      <c r="AC90" s="135"/>
      <c r="AD90" s="135"/>
      <c r="AE90" s="135"/>
      <c r="AF90" s="135">
        <f t="shared" si="7"/>
        <v>11.34</v>
      </c>
      <c r="AG90" s="135"/>
    </row>
    <row r="91" spans="1:33" customFormat="1" ht="121.5">
      <c r="A91" s="135">
        <f t="shared" si="8"/>
        <v>9</v>
      </c>
      <c r="B91" s="135">
        <v>4</v>
      </c>
      <c r="C91" s="135" t="s">
        <v>393</v>
      </c>
      <c r="D91" s="145" t="s">
        <v>1916</v>
      </c>
      <c r="E91" s="145" t="s">
        <v>1917</v>
      </c>
      <c r="F91" s="145" t="s">
        <v>1918</v>
      </c>
      <c r="G91" s="145" t="s">
        <v>1919</v>
      </c>
      <c r="H91" s="145" t="s">
        <v>1920</v>
      </c>
      <c r="I91" s="145" t="s">
        <v>1921</v>
      </c>
      <c r="J91" s="145" t="s">
        <v>1922</v>
      </c>
      <c r="K91" s="145" t="s">
        <v>1923</v>
      </c>
      <c r="L91" s="145" t="s">
        <v>1924</v>
      </c>
      <c r="M91" s="145" t="s">
        <v>1925</v>
      </c>
      <c r="N91" s="145"/>
      <c r="O91" s="155">
        <v>1.5</v>
      </c>
      <c r="P91" s="149"/>
      <c r="Q91" s="145"/>
      <c r="R91" s="145"/>
      <c r="S91" s="139" t="e" vm="1">
        <f>O91*30000+P91+Q91*[2]Summary!$E$9</f>
        <v>#VALUE!</v>
      </c>
      <c r="T91" s="135"/>
      <c r="U91" s="135"/>
      <c r="V91" s="135"/>
      <c r="W91" s="135"/>
      <c r="X91" s="135"/>
      <c r="Y91" s="135"/>
      <c r="Z91" s="135"/>
      <c r="AA91" s="135"/>
      <c r="AB91" s="135"/>
      <c r="AC91" s="135"/>
      <c r="AD91" s="135"/>
      <c r="AE91" s="135"/>
      <c r="AF91" s="135">
        <f t="shared" si="7"/>
        <v>1.5</v>
      </c>
      <c r="AG91" s="135"/>
    </row>
    <row r="92" spans="1:33" customFormat="1" ht="60.75">
      <c r="A92" s="135">
        <f t="shared" si="8"/>
        <v>10</v>
      </c>
      <c r="B92" s="135">
        <v>4</v>
      </c>
      <c r="C92" s="135" t="s">
        <v>313</v>
      </c>
      <c r="D92" s="145" t="s">
        <v>1926</v>
      </c>
      <c r="E92" s="145" t="s">
        <v>1927</v>
      </c>
      <c r="F92" s="145" t="s">
        <v>1928</v>
      </c>
      <c r="G92" s="145" t="s">
        <v>1929</v>
      </c>
      <c r="H92" s="145" t="s">
        <v>1930</v>
      </c>
      <c r="I92" s="145"/>
      <c r="J92" s="145"/>
      <c r="K92" s="145"/>
      <c r="L92" s="145"/>
      <c r="M92" s="145"/>
      <c r="N92" s="145"/>
      <c r="O92" s="155"/>
      <c r="P92" s="149"/>
      <c r="Q92" s="145"/>
      <c r="R92" s="145"/>
      <c r="S92" s="139" t="e" vm="1">
        <f>O92*30000+P92+Q92*[2]Summary!$E$9</f>
        <v>#VALUE!</v>
      </c>
      <c r="T92" s="135"/>
      <c r="U92" s="135"/>
      <c r="V92" s="135"/>
      <c r="W92" s="135"/>
      <c r="X92" s="135"/>
      <c r="Y92" s="135"/>
      <c r="Z92" s="135"/>
      <c r="AA92" s="135"/>
      <c r="AB92" s="135"/>
      <c r="AC92" s="135"/>
      <c r="AD92" s="135"/>
      <c r="AE92" s="135"/>
      <c r="AF92" s="135">
        <f t="shared" si="7"/>
        <v>0</v>
      </c>
      <c r="AG92" s="135"/>
    </row>
    <row r="93" spans="1:33" customFormat="1" ht="106.5">
      <c r="A93" s="135">
        <f t="shared" si="8"/>
        <v>11</v>
      </c>
      <c r="B93" s="135">
        <v>4</v>
      </c>
      <c r="C93" s="135" t="s">
        <v>1218</v>
      </c>
      <c r="D93" s="145" t="s">
        <v>1931</v>
      </c>
      <c r="E93" s="145" t="s">
        <v>1932</v>
      </c>
      <c r="F93" s="145" t="s">
        <v>1933</v>
      </c>
      <c r="G93" s="145" t="s">
        <v>1934</v>
      </c>
      <c r="H93" s="145" t="s">
        <v>1935</v>
      </c>
      <c r="I93" s="145" t="s">
        <v>1936</v>
      </c>
      <c r="J93" s="145" t="s">
        <v>1937</v>
      </c>
      <c r="K93" s="145" t="s">
        <v>1938</v>
      </c>
      <c r="L93" s="145" t="s">
        <v>1939</v>
      </c>
      <c r="M93" s="145" t="s">
        <v>1940</v>
      </c>
      <c r="N93" s="145"/>
      <c r="O93" s="155">
        <f>11+3/60</f>
        <v>11.05</v>
      </c>
      <c r="P93" s="149"/>
      <c r="Q93" s="145"/>
      <c r="R93" s="145"/>
      <c r="S93" s="139" t="e" vm="1">
        <f>O93*30000+P93+Q93*[2]Summary!$E$9</f>
        <v>#VALUE!</v>
      </c>
      <c r="T93" s="135"/>
      <c r="U93" s="135"/>
      <c r="V93" s="135"/>
      <c r="W93" s="135"/>
      <c r="X93" s="135"/>
      <c r="Y93" s="135"/>
      <c r="Z93" s="135"/>
      <c r="AA93" s="135"/>
      <c r="AB93" s="135"/>
      <c r="AC93" s="135"/>
      <c r="AD93" s="135"/>
      <c r="AE93" s="135"/>
      <c r="AF93" s="135">
        <f t="shared" si="7"/>
        <v>11.05</v>
      </c>
      <c r="AG93" s="135"/>
    </row>
    <row r="94" spans="1:33" customFormat="1" ht="137.25">
      <c r="A94" s="135">
        <f t="shared" si="8"/>
        <v>12</v>
      </c>
      <c r="B94" s="135">
        <v>4</v>
      </c>
      <c r="C94" s="135" t="s">
        <v>195</v>
      </c>
      <c r="D94" s="145" t="s">
        <v>1941</v>
      </c>
      <c r="E94" s="145" t="s">
        <v>1942</v>
      </c>
      <c r="F94" s="145" t="s">
        <v>1943</v>
      </c>
      <c r="G94" s="145" t="s">
        <v>1944</v>
      </c>
      <c r="H94" s="145" t="s">
        <v>1945</v>
      </c>
      <c r="I94" s="145" t="s">
        <v>1946</v>
      </c>
      <c r="J94" s="145" t="s">
        <v>1947</v>
      </c>
      <c r="K94" s="145" t="s">
        <v>1948</v>
      </c>
      <c r="L94" s="145" t="s">
        <v>1949</v>
      </c>
      <c r="M94" s="145" t="s">
        <v>1950</v>
      </c>
      <c r="N94" s="145"/>
      <c r="O94" s="155">
        <f>(1703-384)/3600*4</f>
        <v>1.4655555555555555</v>
      </c>
      <c r="P94" s="149"/>
      <c r="Q94" s="145"/>
      <c r="R94" s="145"/>
      <c r="S94" s="139" t="e" vm="1">
        <f>O94*30000+P94+Q94*[2]Summary!$E$9</f>
        <v>#VALUE!</v>
      </c>
      <c r="T94" s="135"/>
      <c r="U94" s="135"/>
      <c r="V94" s="135"/>
      <c r="W94" s="135"/>
      <c r="X94" s="135"/>
      <c r="Y94" s="135"/>
      <c r="Z94" s="135"/>
      <c r="AA94" s="135"/>
      <c r="AB94" s="135"/>
      <c r="AC94" s="135"/>
      <c r="AD94" s="135"/>
      <c r="AE94" s="135"/>
      <c r="AF94" s="135">
        <f t="shared" si="7"/>
        <v>1.4655555555555555</v>
      </c>
      <c r="AG94" s="135"/>
    </row>
    <row r="95" spans="1:33" customFormat="1" ht="91.5">
      <c r="A95" s="135">
        <f t="shared" si="8"/>
        <v>13</v>
      </c>
      <c r="B95" s="135">
        <v>4</v>
      </c>
      <c r="C95" s="135" t="s">
        <v>1774</v>
      </c>
      <c r="D95" s="145" t="s">
        <v>1951</v>
      </c>
      <c r="E95" s="145" t="s">
        <v>1952</v>
      </c>
      <c r="F95" s="145" t="s">
        <v>1953</v>
      </c>
      <c r="G95" s="145" t="s">
        <v>1954</v>
      </c>
      <c r="H95" s="145" t="s">
        <v>1955</v>
      </c>
      <c r="I95" s="145"/>
      <c r="J95" s="145"/>
      <c r="K95" s="145"/>
      <c r="L95" s="145"/>
      <c r="M95" s="145"/>
      <c r="N95" s="145"/>
      <c r="O95" s="159"/>
      <c r="P95" s="149"/>
      <c r="Q95" s="145"/>
      <c r="R95" s="145"/>
      <c r="S95" s="139" t="e" vm="1">
        <f>O95*30000+P95+Q95*[2]Summary!$E$9</f>
        <v>#VALUE!</v>
      </c>
      <c r="T95" s="135"/>
      <c r="U95" s="135"/>
      <c r="V95" s="135"/>
      <c r="W95" s="135"/>
      <c r="X95" s="135"/>
      <c r="Y95" s="135"/>
      <c r="Z95" s="135"/>
      <c r="AA95" s="135"/>
      <c r="AB95" s="135"/>
      <c r="AC95" s="135"/>
      <c r="AD95" s="135"/>
      <c r="AE95" s="135"/>
      <c r="AF95" s="135">
        <f t="shared" si="7"/>
        <v>0</v>
      </c>
      <c r="AG95" s="135"/>
    </row>
    <row r="96" spans="1:33" customFormat="1" ht="106.5">
      <c r="A96" s="135">
        <f t="shared" si="8"/>
        <v>14</v>
      </c>
      <c r="B96" s="135">
        <v>4</v>
      </c>
      <c r="C96" s="135" t="s">
        <v>1710</v>
      </c>
      <c r="D96" s="145" t="s">
        <v>1956</v>
      </c>
      <c r="E96" s="145" t="s">
        <v>1957</v>
      </c>
      <c r="F96" s="145" t="s">
        <v>1958</v>
      </c>
      <c r="G96" s="145" t="s">
        <v>1959</v>
      </c>
      <c r="H96" s="145" t="s">
        <v>1960</v>
      </c>
      <c r="I96" s="145" t="s">
        <v>1961</v>
      </c>
      <c r="J96" s="145" t="s">
        <v>1962</v>
      </c>
      <c r="K96" s="157" t="s">
        <v>1963</v>
      </c>
      <c r="L96" s="145" t="s">
        <v>1964</v>
      </c>
      <c r="M96" s="145" t="s">
        <v>1965</v>
      </c>
      <c r="N96" s="145"/>
      <c r="O96" s="155"/>
      <c r="P96" s="149">
        <v>40800</v>
      </c>
      <c r="Q96" s="145"/>
      <c r="R96" s="145"/>
      <c r="S96" s="139" t="e" vm="1">
        <f>O96*30000+P96+Q96*[2]Summary!$E$9</f>
        <v>#VALUE!</v>
      </c>
      <c r="T96" s="135"/>
      <c r="U96" s="135"/>
      <c r="V96" s="135"/>
      <c r="W96" s="135"/>
      <c r="X96" s="135"/>
      <c r="Y96" s="135"/>
      <c r="Z96" s="135"/>
      <c r="AA96" s="135"/>
      <c r="AB96" s="135"/>
      <c r="AC96" s="135"/>
      <c r="AD96" s="135"/>
      <c r="AE96" s="135"/>
      <c r="AF96" s="135">
        <f t="shared" si="7"/>
        <v>40800</v>
      </c>
      <c r="AG96" s="135"/>
    </row>
    <row r="97" spans="1:33" customFormat="1" ht="106.5">
      <c r="A97" s="135">
        <f t="shared" si="8"/>
        <v>15</v>
      </c>
      <c r="B97" s="135">
        <v>4</v>
      </c>
      <c r="C97" s="135" t="s">
        <v>1782</v>
      </c>
      <c r="D97" s="145" t="s">
        <v>1966</v>
      </c>
      <c r="E97" s="145" t="s">
        <v>1967</v>
      </c>
      <c r="F97" s="145" t="s">
        <v>1968</v>
      </c>
      <c r="G97" s="158" t="s">
        <v>1969</v>
      </c>
      <c r="H97" s="145" t="s">
        <v>1970</v>
      </c>
      <c r="I97" s="145" t="s">
        <v>1971</v>
      </c>
      <c r="J97" s="145" t="s">
        <v>1972</v>
      </c>
      <c r="K97" s="158" t="s">
        <v>1973</v>
      </c>
      <c r="L97" s="145" t="s">
        <v>1974</v>
      </c>
      <c r="M97" s="145" t="s">
        <v>1975</v>
      </c>
      <c r="N97" s="145"/>
      <c r="O97" s="155"/>
      <c r="P97" s="149"/>
      <c r="Q97" s="145"/>
      <c r="R97" s="145"/>
      <c r="S97" s="139" t="e" vm="1">
        <f>O97*30000+P97+Q97*[2]Summary!$E$9</f>
        <v>#VALUE!</v>
      </c>
      <c r="T97" s="135"/>
      <c r="U97" s="135"/>
      <c r="V97" s="135"/>
      <c r="W97" s="135"/>
      <c r="X97" s="135"/>
      <c r="Y97" s="135"/>
      <c r="Z97" s="135"/>
      <c r="AA97" s="135"/>
      <c r="AB97" s="135"/>
      <c r="AC97" s="135"/>
      <c r="AD97" s="135"/>
      <c r="AE97" s="135"/>
      <c r="AF97" s="135">
        <f t="shared" si="7"/>
        <v>0</v>
      </c>
      <c r="AG97" s="135"/>
    </row>
    <row r="98" spans="1:33" customFormat="1" ht="152.25">
      <c r="A98" s="135">
        <f t="shared" si="8"/>
        <v>16</v>
      </c>
      <c r="B98" s="135">
        <v>4</v>
      </c>
      <c r="C98" s="135" t="s">
        <v>106</v>
      </c>
      <c r="D98" s="145" t="s">
        <v>1976</v>
      </c>
      <c r="E98" s="145" t="s">
        <v>1977</v>
      </c>
      <c r="F98" s="145" t="s">
        <v>1978</v>
      </c>
      <c r="G98" s="145" t="s">
        <v>1979</v>
      </c>
      <c r="H98" s="145" t="s">
        <v>1980</v>
      </c>
      <c r="I98" s="145" t="s">
        <v>1981</v>
      </c>
      <c r="J98" s="145" t="s">
        <v>1982</v>
      </c>
      <c r="K98" s="145" t="s">
        <v>1983</v>
      </c>
      <c r="L98" s="145" t="s">
        <v>1984</v>
      </c>
      <c r="M98" s="145" t="s">
        <v>1985</v>
      </c>
      <c r="N98" s="145"/>
      <c r="O98" s="155">
        <f>197450/3600</f>
        <v>54.847222222222221</v>
      </c>
      <c r="P98" s="149"/>
      <c r="Q98" s="145"/>
      <c r="R98" s="145"/>
      <c r="S98" s="139" t="e" vm="1">
        <f>O98*30000+P98+Q98*[2]Summary!$E$9</f>
        <v>#VALUE!</v>
      </c>
      <c r="T98" s="135"/>
      <c r="U98" s="135"/>
      <c r="V98" s="135"/>
      <c r="W98" s="135"/>
      <c r="X98" s="135"/>
      <c r="Y98" s="135"/>
      <c r="Z98" s="135"/>
      <c r="AA98" s="135"/>
      <c r="AB98" s="135"/>
      <c r="AC98" s="135"/>
      <c r="AD98" s="135"/>
      <c r="AE98" s="135"/>
      <c r="AF98" s="135">
        <f t="shared" si="7"/>
        <v>54.847222222222221</v>
      </c>
      <c r="AG98" s="135"/>
    </row>
    <row r="99" spans="1:33" customFormat="1" ht="106.5">
      <c r="A99" s="135">
        <f t="shared" si="8"/>
        <v>17</v>
      </c>
      <c r="B99" s="135">
        <v>4</v>
      </c>
      <c r="C99" s="135" t="s">
        <v>1986</v>
      </c>
      <c r="D99" s="145" t="s">
        <v>1987</v>
      </c>
      <c r="E99" s="145" t="s">
        <v>1988</v>
      </c>
      <c r="F99" s="145" t="s">
        <v>1989</v>
      </c>
      <c r="G99" s="145" t="s">
        <v>1990</v>
      </c>
      <c r="H99" s="145" t="s">
        <v>1991</v>
      </c>
      <c r="I99" s="145" t="s">
        <v>1992</v>
      </c>
      <c r="J99" s="145" t="s">
        <v>1993</v>
      </c>
      <c r="K99" s="145" t="s">
        <v>1994</v>
      </c>
      <c r="L99" s="160" t="s">
        <v>1995</v>
      </c>
      <c r="M99" s="145" t="s">
        <v>1996</v>
      </c>
      <c r="N99" s="145"/>
      <c r="O99" s="155">
        <f>(2.08-1.43)*22000/3600</f>
        <v>3.9722222222222232</v>
      </c>
      <c r="P99" s="149">
        <v>1358214</v>
      </c>
      <c r="Q99" s="145"/>
      <c r="R99" s="145"/>
      <c r="S99" s="139" t="e" vm="1">
        <f>O99*30000+P99+Q99*[2]Summary!$E$9</f>
        <v>#VALUE!</v>
      </c>
      <c r="T99" s="135"/>
      <c r="U99" s="135"/>
      <c r="V99" s="135"/>
      <c r="W99" s="135"/>
      <c r="X99" s="135"/>
      <c r="Y99" s="135"/>
      <c r="Z99" s="135"/>
      <c r="AA99" s="135"/>
      <c r="AB99" s="135"/>
      <c r="AC99" s="135"/>
      <c r="AD99" s="135"/>
      <c r="AE99" s="135"/>
      <c r="AF99" s="135">
        <f t="shared" si="7"/>
        <v>1358214</v>
      </c>
      <c r="AG99" s="135"/>
    </row>
    <row r="100" spans="1:33" customFormat="1" ht="121.5">
      <c r="A100" s="135">
        <f t="shared" si="8"/>
        <v>18</v>
      </c>
      <c r="B100" s="135">
        <v>4</v>
      </c>
      <c r="C100" s="135" t="s">
        <v>195</v>
      </c>
      <c r="D100" s="145" t="s">
        <v>1997</v>
      </c>
      <c r="E100" s="145" t="s">
        <v>1998</v>
      </c>
      <c r="F100" s="145" t="s">
        <v>1999</v>
      </c>
      <c r="G100" s="145" t="s">
        <v>2000</v>
      </c>
      <c r="H100" s="145" t="s">
        <v>2001</v>
      </c>
      <c r="I100" s="145" t="s">
        <v>2002</v>
      </c>
      <c r="J100" s="145" t="s">
        <v>2003</v>
      </c>
      <c r="K100" s="145" t="s">
        <v>2004</v>
      </c>
      <c r="L100" s="145" t="s">
        <v>2005</v>
      </c>
      <c r="M100" s="145" t="s">
        <v>2006</v>
      </c>
      <c r="N100" s="145"/>
      <c r="O100" s="155">
        <v>3.9</v>
      </c>
      <c r="P100" s="149"/>
      <c r="Q100" s="145"/>
      <c r="R100" s="145"/>
      <c r="S100" s="139" t="e" vm="1">
        <f>O100*30000+P100+Q100*[2]Summary!$E$9</f>
        <v>#VALUE!</v>
      </c>
      <c r="T100" s="135"/>
      <c r="U100" s="135"/>
      <c r="V100" s="135"/>
      <c r="W100" s="135"/>
      <c r="X100" s="135"/>
      <c r="Y100" s="135"/>
      <c r="Z100" s="135"/>
      <c r="AA100" s="135"/>
      <c r="AB100" s="135"/>
      <c r="AC100" s="135"/>
      <c r="AD100" s="135"/>
      <c r="AE100" s="135"/>
      <c r="AF100" s="135">
        <f t="shared" si="7"/>
        <v>3.9</v>
      </c>
      <c r="AG100" s="135"/>
    </row>
    <row r="101" spans="1:33" customFormat="1" ht="137.25">
      <c r="A101" s="135">
        <f t="shared" si="8"/>
        <v>19</v>
      </c>
      <c r="B101" s="135">
        <v>4</v>
      </c>
      <c r="C101" s="135" t="s">
        <v>405</v>
      </c>
      <c r="D101" s="145" t="s">
        <v>2007</v>
      </c>
      <c r="E101" s="145" t="s">
        <v>2008</v>
      </c>
      <c r="F101" s="145" t="s">
        <v>2009</v>
      </c>
      <c r="G101" s="145" t="s">
        <v>2010</v>
      </c>
      <c r="H101" s="145" t="s">
        <v>2011</v>
      </c>
      <c r="I101" s="145" t="s">
        <v>2012</v>
      </c>
      <c r="J101" s="145" t="s">
        <v>2013</v>
      </c>
      <c r="K101" s="145" t="s">
        <v>2014</v>
      </c>
      <c r="L101" s="145" t="s">
        <v>2015</v>
      </c>
      <c r="M101" s="145" t="s">
        <v>2016</v>
      </c>
      <c r="N101" s="145"/>
      <c r="O101" s="155">
        <f>241/60+15/3600</f>
        <v>4.020833333333333</v>
      </c>
      <c r="P101" s="149"/>
      <c r="Q101" s="145"/>
      <c r="R101" s="145"/>
      <c r="S101" s="139" t="e" vm="1">
        <f>O101*30000+P101+Q101*[2]Summary!$E$9</f>
        <v>#VALUE!</v>
      </c>
      <c r="T101" s="135"/>
      <c r="U101" s="135"/>
      <c r="V101" s="135"/>
      <c r="W101" s="135"/>
      <c r="X101" s="135"/>
      <c r="Y101" s="135"/>
      <c r="Z101" s="135"/>
      <c r="AA101" s="135"/>
      <c r="AB101" s="135"/>
      <c r="AC101" s="135"/>
      <c r="AD101" s="135"/>
      <c r="AE101" s="135"/>
      <c r="AF101" s="135">
        <f t="shared" si="7"/>
        <v>4.020833333333333</v>
      </c>
      <c r="AG101" s="135"/>
    </row>
    <row r="102" spans="1:33" customFormat="1" ht="106.5">
      <c r="A102" s="135">
        <f t="shared" si="8"/>
        <v>20</v>
      </c>
      <c r="B102" s="135">
        <v>4</v>
      </c>
      <c r="C102" s="135" t="s">
        <v>1700</v>
      </c>
      <c r="D102" s="145" t="s">
        <v>2017</v>
      </c>
      <c r="E102" s="145" t="s">
        <v>2018</v>
      </c>
      <c r="F102" s="145" t="s">
        <v>2019</v>
      </c>
      <c r="G102" s="145" t="s">
        <v>2020</v>
      </c>
      <c r="H102" s="145" t="s">
        <v>2021</v>
      </c>
      <c r="I102" s="145" t="s">
        <v>2022</v>
      </c>
      <c r="J102" s="145" t="s">
        <v>2023</v>
      </c>
      <c r="K102" s="145" t="s">
        <v>2024</v>
      </c>
      <c r="L102" s="145" t="s">
        <v>2025</v>
      </c>
      <c r="M102" s="145" t="s">
        <v>2026</v>
      </c>
      <c r="N102" s="145"/>
      <c r="O102" s="155"/>
      <c r="P102" s="149">
        <f>825000*3</f>
        <v>2475000</v>
      </c>
      <c r="Q102" s="145"/>
      <c r="R102" s="145" t="s">
        <v>2027</v>
      </c>
      <c r="S102" s="139" t="e" vm="1">
        <f>O102*30000+P102+Q102*[2]Summary!$E$9</f>
        <v>#VALUE!</v>
      </c>
      <c r="T102" s="135"/>
      <c r="U102" s="135"/>
      <c r="V102" s="135"/>
      <c r="W102" s="135"/>
      <c r="X102" s="135"/>
      <c r="Y102" s="135"/>
      <c r="Z102" s="135"/>
      <c r="AA102" s="135"/>
      <c r="AB102" s="135"/>
      <c r="AC102" s="135"/>
      <c r="AD102" s="135"/>
      <c r="AE102" s="135"/>
      <c r="AF102" s="135">
        <f t="shared" si="7"/>
        <v>2475000</v>
      </c>
      <c r="AG102" s="135"/>
    </row>
    <row r="103" spans="1:33" customFormat="1" ht="76.5">
      <c r="A103" s="135">
        <f t="shared" si="8"/>
        <v>21</v>
      </c>
      <c r="B103" s="135">
        <v>4</v>
      </c>
      <c r="C103" s="135" t="s">
        <v>1205</v>
      </c>
      <c r="D103" s="145" t="s">
        <v>2028</v>
      </c>
      <c r="E103" s="145" t="s">
        <v>2029</v>
      </c>
      <c r="F103" s="145" t="s">
        <v>2030</v>
      </c>
      <c r="G103" s="145" t="s">
        <v>2031</v>
      </c>
      <c r="H103" s="145" t="s">
        <v>2032</v>
      </c>
      <c r="I103" s="145" t="s">
        <v>2033</v>
      </c>
      <c r="J103" s="145" t="s">
        <v>2034</v>
      </c>
      <c r="K103" s="145" t="s">
        <v>2035</v>
      </c>
      <c r="L103" s="145" t="s">
        <v>2036</v>
      </c>
      <c r="M103" s="145" t="s">
        <v>2037</v>
      </c>
      <c r="N103" s="145"/>
      <c r="O103" s="155">
        <v>5</v>
      </c>
      <c r="P103" s="149"/>
      <c r="Q103" s="145"/>
      <c r="R103" s="145"/>
      <c r="S103" s="139" t="e" vm="1">
        <f>O103*30000+P103+Q103*[2]Summary!$E$9</f>
        <v>#VALUE!</v>
      </c>
      <c r="T103" s="135"/>
      <c r="U103" s="135"/>
      <c r="V103" s="135"/>
      <c r="W103" s="135"/>
      <c r="X103" s="135"/>
      <c r="Y103" s="135"/>
      <c r="Z103" s="135"/>
      <c r="AA103" s="135"/>
      <c r="AB103" s="135"/>
      <c r="AC103" s="135"/>
      <c r="AD103" s="135"/>
      <c r="AE103" s="135"/>
      <c r="AF103" s="135">
        <f t="shared" si="7"/>
        <v>5</v>
      </c>
      <c r="AG103" s="135"/>
    </row>
    <row r="104" spans="1:33" customFormat="1" ht="106.5">
      <c r="A104" s="135">
        <f t="shared" si="8"/>
        <v>22</v>
      </c>
      <c r="B104" s="135">
        <v>4</v>
      </c>
      <c r="C104" s="135" t="s">
        <v>1689</v>
      </c>
      <c r="D104" s="145" t="s">
        <v>2038</v>
      </c>
      <c r="E104" s="145" t="s">
        <v>2039</v>
      </c>
      <c r="F104" s="145" t="s">
        <v>2040</v>
      </c>
      <c r="G104" s="145" t="s">
        <v>2041</v>
      </c>
      <c r="H104" s="145" t="s">
        <v>2042</v>
      </c>
      <c r="I104" s="145" t="s">
        <v>2043</v>
      </c>
      <c r="J104" s="145" t="s">
        <v>2044</v>
      </c>
      <c r="K104" s="145" t="s">
        <v>2045</v>
      </c>
      <c r="L104" s="145" t="s">
        <v>2046</v>
      </c>
      <c r="M104" s="145" t="s">
        <v>2047</v>
      </c>
      <c r="N104" s="145"/>
      <c r="O104" s="155"/>
      <c r="P104" s="149">
        <v>2326770</v>
      </c>
      <c r="Q104" s="145"/>
      <c r="R104" s="145"/>
      <c r="S104" s="139"/>
      <c r="T104" s="135"/>
      <c r="U104" s="135"/>
      <c r="V104" s="135"/>
      <c r="W104" s="135"/>
      <c r="X104" s="135"/>
      <c r="Y104" s="135"/>
      <c r="Z104" s="135"/>
      <c r="AA104" s="135"/>
      <c r="AB104" s="135"/>
      <c r="AC104" s="135"/>
      <c r="AD104" s="135"/>
      <c r="AE104" s="135"/>
      <c r="AF104" s="135"/>
      <c r="AG104" s="135"/>
    </row>
    <row r="105" spans="1:33" customFormat="1" ht="137.25">
      <c r="A105" s="135">
        <f t="shared" si="8"/>
        <v>23</v>
      </c>
      <c r="B105" s="135">
        <v>4</v>
      </c>
      <c r="C105" s="135" t="s">
        <v>416</v>
      </c>
      <c r="D105" s="145" t="s">
        <v>2048</v>
      </c>
      <c r="E105" s="145" t="s">
        <v>2049</v>
      </c>
      <c r="F105" s="145" t="s">
        <v>2050</v>
      </c>
      <c r="G105" s="145" t="s">
        <v>2051</v>
      </c>
      <c r="H105" s="145" t="s">
        <v>2052</v>
      </c>
      <c r="I105" s="154" t="s">
        <v>2053</v>
      </c>
      <c r="J105" s="154" t="s">
        <v>2054</v>
      </c>
      <c r="K105" s="145" t="s">
        <v>2055</v>
      </c>
      <c r="L105" s="145" t="s">
        <v>2056</v>
      </c>
      <c r="M105" s="145"/>
      <c r="N105" s="145"/>
      <c r="O105" s="155">
        <f>4682/3600</f>
        <v>1.3005555555555555</v>
      </c>
      <c r="P105" s="149"/>
      <c r="Q105" s="145"/>
      <c r="R105" s="145"/>
      <c r="S105" s="139" t="e" vm="1">
        <f>O105*30000+P105+Q105*[2]Summary!$E$9</f>
        <v>#VALUE!</v>
      </c>
      <c r="T105" s="135"/>
      <c r="U105" s="135"/>
      <c r="V105" s="135"/>
      <c r="W105" s="135"/>
      <c r="X105" s="135"/>
      <c r="Y105" s="135"/>
      <c r="Z105" s="135"/>
      <c r="AA105" s="135"/>
      <c r="AB105" s="135"/>
      <c r="AC105" s="135"/>
      <c r="AD105" s="135"/>
      <c r="AE105" s="135"/>
      <c r="AF105" s="135">
        <f t="shared" ref="AF105:AF130" si="9">MAX(N105:R105)</f>
        <v>1.3005555555555555</v>
      </c>
      <c r="AG105" s="135"/>
    </row>
    <row r="106" spans="1:33" customFormat="1" ht="45.75">
      <c r="A106" s="135">
        <v>1</v>
      </c>
      <c r="B106" s="135">
        <v>5</v>
      </c>
      <c r="C106" s="135" t="s">
        <v>1347</v>
      </c>
      <c r="D106" s="145" t="s">
        <v>2057</v>
      </c>
      <c r="E106" s="145" t="s">
        <v>2058</v>
      </c>
      <c r="F106" s="145" t="s">
        <v>2059</v>
      </c>
      <c r="G106" s="145" t="s">
        <v>2060</v>
      </c>
      <c r="H106" s="145" t="s">
        <v>2061</v>
      </c>
      <c r="I106" s="145" t="s">
        <v>2062</v>
      </c>
      <c r="J106" s="145" t="s">
        <v>2063</v>
      </c>
      <c r="K106" s="145"/>
      <c r="L106" s="145"/>
      <c r="M106" s="145"/>
      <c r="N106" s="145"/>
      <c r="O106" s="145"/>
      <c r="P106" s="145"/>
      <c r="Q106" s="145"/>
      <c r="R106" s="145"/>
      <c r="S106" s="139" t="e" vm="1">
        <f>O106*30000+P106+Q106*[2]Summary!$E$9</f>
        <v>#VALUE!</v>
      </c>
      <c r="T106" s="135"/>
      <c r="U106" s="135"/>
      <c r="V106" s="135"/>
      <c r="W106" s="135"/>
      <c r="X106" s="135"/>
      <c r="Y106" s="135"/>
      <c r="Z106" s="135"/>
      <c r="AA106" s="135"/>
      <c r="AB106" s="135"/>
      <c r="AC106" s="135"/>
      <c r="AD106" s="135"/>
      <c r="AE106" s="135"/>
      <c r="AF106" s="135">
        <f t="shared" si="9"/>
        <v>0</v>
      </c>
      <c r="AG106" s="135"/>
    </row>
    <row r="107" spans="1:33" customFormat="1" ht="91.5">
      <c r="A107" s="135">
        <f t="shared" ref="A107:A130" si="10">A106+1</f>
        <v>2</v>
      </c>
      <c r="B107" s="135">
        <v>5</v>
      </c>
      <c r="C107" s="135" t="s">
        <v>1354</v>
      </c>
      <c r="D107" s="145" t="s">
        <v>2064</v>
      </c>
      <c r="E107" s="145" t="s">
        <v>2065</v>
      </c>
      <c r="F107" s="145" t="s">
        <v>2066</v>
      </c>
      <c r="G107" s="145" t="s">
        <v>2067</v>
      </c>
      <c r="H107" s="145" t="s">
        <v>2068</v>
      </c>
      <c r="I107" s="145" t="s">
        <v>2069</v>
      </c>
      <c r="J107" s="145" t="s">
        <v>2070</v>
      </c>
      <c r="K107" s="145"/>
      <c r="L107" s="145"/>
      <c r="M107" s="145"/>
      <c r="N107" s="145"/>
      <c r="O107" s="145"/>
      <c r="P107" s="145"/>
      <c r="Q107" s="145"/>
      <c r="R107" s="145"/>
      <c r="S107" s="139" t="e" vm="1">
        <f>O107*30000+P107+Q107*[2]Summary!$E$9</f>
        <v>#VALUE!</v>
      </c>
      <c r="T107" s="135"/>
      <c r="U107" s="135"/>
      <c r="V107" s="135"/>
      <c r="W107" s="135"/>
      <c r="X107" s="135"/>
      <c r="Y107" s="135"/>
      <c r="Z107" s="135"/>
      <c r="AA107" s="135"/>
      <c r="AB107" s="135"/>
      <c r="AC107" s="135"/>
      <c r="AD107" s="135"/>
      <c r="AE107" s="135"/>
      <c r="AF107" s="135">
        <f t="shared" si="9"/>
        <v>0</v>
      </c>
      <c r="AG107" s="135"/>
    </row>
    <row r="108" spans="1:33" customFormat="1" ht="106.5">
      <c r="A108" s="135">
        <f t="shared" si="10"/>
        <v>3</v>
      </c>
      <c r="B108" s="135">
        <v>5</v>
      </c>
      <c r="C108" s="135" t="s">
        <v>1689</v>
      </c>
      <c r="D108" s="161" t="s">
        <v>2071</v>
      </c>
      <c r="E108" s="145" t="s">
        <v>2072</v>
      </c>
      <c r="F108" s="145"/>
      <c r="G108" s="145"/>
      <c r="H108" s="145"/>
      <c r="I108" s="145"/>
      <c r="J108" s="145"/>
      <c r="K108" s="145"/>
      <c r="L108" s="145"/>
      <c r="M108" s="145"/>
      <c r="N108" s="145"/>
      <c r="O108" s="145"/>
      <c r="P108" s="145"/>
      <c r="Q108" s="145"/>
      <c r="R108" s="145"/>
      <c r="S108" s="139" t="e" vm="1">
        <f>O108*30000+P108+Q108*[2]Summary!$E$9</f>
        <v>#VALUE!</v>
      </c>
      <c r="T108" s="135"/>
      <c r="U108" s="135"/>
      <c r="V108" s="135"/>
      <c r="W108" s="135"/>
      <c r="X108" s="135"/>
      <c r="Y108" s="135"/>
      <c r="Z108" s="135"/>
      <c r="AA108" s="135"/>
      <c r="AB108" s="135"/>
      <c r="AC108" s="135"/>
      <c r="AD108" s="135"/>
      <c r="AE108" s="135"/>
      <c r="AF108" s="135">
        <f t="shared" si="9"/>
        <v>0</v>
      </c>
      <c r="AG108" s="135"/>
    </row>
    <row r="109" spans="1:33" customFormat="1" ht="167.25">
      <c r="A109" s="135">
        <f t="shared" si="10"/>
        <v>4</v>
      </c>
      <c r="B109" s="135">
        <v>5</v>
      </c>
      <c r="C109" s="135" t="s">
        <v>2073</v>
      </c>
      <c r="D109" s="145" t="s">
        <v>2074</v>
      </c>
      <c r="E109" s="145" t="s">
        <v>2075</v>
      </c>
      <c r="F109" s="145" t="s">
        <v>2076</v>
      </c>
      <c r="G109" s="145" t="s">
        <v>2077</v>
      </c>
      <c r="H109" s="145" t="s">
        <v>2078</v>
      </c>
      <c r="I109" s="145" t="s">
        <v>2079</v>
      </c>
      <c r="J109" s="145" t="s">
        <v>2080</v>
      </c>
      <c r="K109" s="145" t="s">
        <v>2081</v>
      </c>
      <c r="L109" s="145" t="s">
        <v>2082</v>
      </c>
      <c r="M109" s="145" t="s">
        <v>2083</v>
      </c>
      <c r="N109" s="145"/>
      <c r="O109" s="145"/>
      <c r="P109" s="145"/>
      <c r="Q109" s="145"/>
      <c r="R109" s="145"/>
      <c r="S109" s="139" t="e" vm="1">
        <f>O109*30000+P109+Q109*[2]Summary!$E$9</f>
        <v>#VALUE!</v>
      </c>
      <c r="T109" s="135"/>
      <c r="U109" s="135"/>
      <c r="V109" s="135"/>
      <c r="W109" s="135"/>
      <c r="X109" s="135"/>
      <c r="Y109" s="135"/>
      <c r="Z109" s="135"/>
      <c r="AA109" s="135"/>
      <c r="AB109" s="135"/>
      <c r="AC109" s="135"/>
      <c r="AD109" s="135"/>
      <c r="AE109" s="135"/>
      <c r="AF109" s="135">
        <f t="shared" si="9"/>
        <v>0</v>
      </c>
      <c r="AG109" s="135"/>
    </row>
    <row r="110" spans="1:33" customFormat="1" ht="76.5">
      <c r="A110" s="135">
        <f t="shared" si="10"/>
        <v>5</v>
      </c>
      <c r="B110" s="135">
        <v>5</v>
      </c>
      <c r="C110" s="135" t="s">
        <v>106</v>
      </c>
      <c r="D110" s="145" t="s">
        <v>2084</v>
      </c>
      <c r="E110" s="145" t="s">
        <v>2085</v>
      </c>
      <c r="F110" s="145" t="s">
        <v>2086</v>
      </c>
      <c r="G110" s="145" t="s">
        <v>2087</v>
      </c>
      <c r="H110" s="145" t="s">
        <v>2088</v>
      </c>
      <c r="I110" s="145" t="s">
        <v>2089</v>
      </c>
      <c r="J110" s="145" t="s">
        <v>2090</v>
      </c>
      <c r="K110" s="145" t="s">
        <v>2091</v>
      </c>
      <c r="L110" s="145" t="s">
        <v>2092</v>
      </c>
      <c r="M110" s="145" t="s">
        <v>2093</v>
      </c>
      <c r="N110" s="145"/>
      <c r="O110" s="145">
        <v>7</v>
      </c>
      <c r="P110" s="145"/>
      <c r="Q110" s="145"/>
      <c r="R110" s="145"/>
      <c r="S110" s="139" t="e" vm="1">
        <f>O110*30000+P110+Q110*[2]Summary!$E$9</f>
        <v>#VALUE!</v>
      </c>
      <c r="T110" s="135"/>
      <c r="U110" s="135"/>
      <c r="V110" s="135"/>
      <c r="W110" s="135"/>
      <c r="X110" s="135"/>
      <c r="Y110" s="135"/>
      <c r="Z110" s="135"/>
      <c r="AA110" s="135"/>
      <c r="AB110" s="135"/>
      <c r="AC110" s="135"/>
      <c r="AD110" s="135"/>
      <c r="AE110" s="135"/>
      <c r="AF110" s="135">
        <f t="shared" si="9"/>
        <v>7</v>
      </c>
      <c r="AG110" s="135"/>
    </row>
    <row r="111" spans="1:33" customFormat="1" ht="183">
      <c r="A111" s="135">
        <f t="shared" si="10"/>
        <v>6</v>
      </c>
      <c r="B111" s="135">
        <v>5</v>
      </c>
      <c r="C111" s="135" t="s">
        <v>1721</v>
      </c>
      <c r="D111" s="145" t="s">
        <v>2094</v>
      </c>
      <c r="E111" s="145" t="s">
        <v>2095</v>
      </c>
      <c r="F111" s="145" t="s">
        <v>2096</v>
      </c>
      <c r="G111" s="145" t="s">
        <v>2097</v>
      </c>
      <c r="H111" s="145" t="s">
        <v>2098</v>
      </c>
      <c r="I111" s="145" t="s">
        <v>2099</v>
      </c>
      <c r="J111" s="145" t="s">
        <v>2100</v>
      </c>
      <c r="K111" s="145" t="s">
        <v>2101</v>
      </c>
      <c r="L111" s="145" t="s">
        <v>2102</v>
      </c>
      <c r="M111" s="145" t="s">
        <v>2103</v>
      </c>
      <c r="N111" s="145"/>
      <c r="O111" s="145"/>
      <c r="P111" s="145"/>
      <c r="Q111" s="145"/>
      <c r="R111" s="145"/>
      <c r="S111" s="139" t="e" vm="1">
        <f>O111*30000+P111+Q111*[2]Summary!$E$9</f>
        <v>#VALUE!</v>
      </c>
      <c r="T111" s="135"/>
      <c r="U111" s="135"/>
      <c r="V111" s="135"/>
      <c r="W111" s="135"/>
      <c r="X111" s="135"/>
      <c r="Y111" s="135"/>
      <c r="Z111" s="135"/>
      <c r="AA111" s="135"/>
      <c r="AB111" s="135"/>
      <c r="AC111" s="135"/>
      <c r="AD111" s="135"/>
      <c r="AE111" s="135"/>
      <c r="AF111" s="135">
        <f t="shared" si="9"/>
        <v>0</v>
      </c>
      <c r="AG111" s="135"/>
    </row>
    <row r="112" spans="1:33" customFormat="1" ht="76.5">
      <c r="A112" s="135">
        <f t="shared" si="10"/>
        <v>7</v>
      </c>
      <c r="B112" s="135">
        <v>5</v>
      </c>
      <c r="C112" s="135" t="s">
        <v>456</v>
      </c>
      <c r="D112" s="145" t="s">
        <v>2104</v>
      </c>
      <c r="E112" s="145" t="s">
        <v>2105</v>
      </c>
      <c r="F112" s="145" t="s">
        <v>2106</v>
      </c>
      <c r="G112" s="145" t="s">
        <v>2107</v>
      </c>
      <c r="H112" s="145" t="s">
        <v>2108</v>
      </c>
      <c r="I112" s="145" t="s">
        <v>2109</v>
      </c>
      <c r="J112" s="145" t="s">
        <v>2110</v>
      </c>
      <c r="K112" s="145" t="s">
        <v>2111</v>
      </c>
      <c r="L112" s="145" t="s">
        <v>2112</v>
      </c>
      <c r="M112" s="145"/>
      <c r="N112" s="145"/>
      <c r="O112" s="145">
        <v>30</v>
      </c>
      <c r="P112" s="145"/>
      <c r="Q112" s="145"/>
      <c r="R112" s="145"/>
      <c r="S112" s="139" t="e" vm="1">
        <f>O112*30000+P112+Q112*[2]Summary!$E$9</f>
        <v>#VALUE!</v>
      </c>
      <c r="T112" s="135"/>
      <c r="U112" s="135"/>
      <c r="V112" s="135"/>
      <c r="W112" s="135"/>
      <c r="X112" s="135"/>
      <c r="Y112" s="135"/>
      <c r="Z112" s="135"/>
      <c r="AA112" s="135"/>
      <c r="AB112" s="135"/>
      <c r="AC112" s="135"/>
      <c r="AD112" s="135"/>
      <c r="AE112" s="135"/>
      <c r="AF112" s="135">
        <f t="shared" si="9"/>
        <v>30</v>
      </c>
      <c r="AG112" s="135"/>
    </row>
    <row r="113" spans="1:33" customFormat="1" ht="91.5">
      <c r="A113" s="135">
        <f t="shared" si="10"/>
        <v>8</v>
      </c>
      <c r="B113" s="135">
        <v>5</v>
      </c>
      <c r="C113" s="135" t="s">
        <v>393</v>
      </c>
      <c r="D113" s="145" t="s">
        <v>2113</v>
      </c>
      <c r="E113" s="145" t="s">
        <v>2114</v>
      </c>
      <c r="F113" s="145" t="s">
        <v>2115</v>
      </c>
      <c r="G113" s="145" t="s">
        <v>2116</v>
      </c>
      <c r="H113" s="145" t="s">
        <v>2117</v>
      </c>
      <c r="I113" s="145" t="s">
        <v>2118</v>
      </c>
      <c r="J113" s="145" t="s">
        <v>2119</v>
      </c>
      <c r="K113" s="145" t="s">
        <v>2120</v>
      </c>
      <c r="L113" s="145" t="s">
        <v>2121</v>
      </c>
      <c r="M113" s="145" t="s">
        <v>2122</v>
      </c>
      <c r="N113" s="145"/>
      <c r="O113" s="145">
        <v>6.83</v>
      </c>
      <c r="P113" s="145"/>
      <c r="Q113" s="145"/>
      <c r="R113" s="145"/>
      <c r="S113" s="139" t="e" vm="1">
        <f>O113*30000+P113+Q113*[2]Summary!$E$9</f>
        <v>#VALUE!</v>
      </c>
      <c r="T113" s="135"/>
      <c r="U113" s="135"/>
      <c r="V113" s="135"/>
      <c r="W113" s="135"/>
      <c r="X113" s="135"/>
      <c r="Y113" s="135"/>
      <c r="Z113" s="135"/>
      <c r="AA113" s="135"/>
      <c r="AB113" s="135"/>
      <c r="AC113" s="135"/>
      <c r="AD113" s="135"/>
      <c r="AE113" s="135"/>
      <c r="AF113" s="135">
        <f t="shared" si="9"/>
        <v>6.83</v>
      </c>
      <c r="AG113" s="135"/>
    </row>
    <row r="114" spans="1:33" customFormat="1" ht="91.5">
      <c r="A114" s="135">
        <f t="shared" si="10"/>
        <v>9</v>
      </c>
      <c r="B114" s="135">
        <v>5</v>
      </c>
      <c r="C114" s="135" t="s">
        <v>259</v>
      </c>
      <c r="D114" s="145" t="s">
        <v>2123</v>
      </c>
      <c r="E114" s="145" t="s">
        <v>2124</v>
      </c>
      <c r="F114" s="145" t="s">
        <v>2125</v>
      </c>
      <c r="G114" s="145" t="s">
        <v>2126</v>
      </c>
      <c r="H114" s="145" t="s">
        <v>2127</v>
      </c>
      <c r="I114" s="145" t="s">
        <v>2128</v>
      </c>
      <c r="J114" s="145" t="s">
        <v>2129</v>
      </c>
      <c r="K114" s="145" t="s">
        <v>2130</v>
      </c>
      <c r="L114" s="145" t="s">
        <v>2131</v>
      </c>
      <c r="M114" s="145" t="s">
        <v>2132</v>
      </c>
      <c r="N114" s="145">
        <f>48+37/60+42/3600</f>
        <v>48.62833333333333</v>
      </c>
      <c r="O114" s="145"/>
      <c r="P114" s="145"/>
      <c r="Q114" s="145"/>
      <c r="R114" s="145"/>
      <c r="S114" s="139" t="e" vm="1">
        <f>O114*30000+P114+Q114*[2]Summary!$E$9</f>
        <v>#VALUE!</v>
      </c>
      <c r="T114" s="135"/>
      <c r="U114" s="135"/>
      <c r="V114" s="135"/>
      <c r="W114" s="135"/>
      <c r="X114" s="135"/>
      <c r="Y114" s="135"/>
      <c r="Z114" s="135"/>
      <c r="AA114" s="135"/>
      <c r="AB114" s="135"/>
      <c r="AC114" s="135"/>
      <c r="AD114" s="135"/>
      <c r="AE114" s="135"/>
      <c r="AF114" s="135">
        <f t="shared" si="9"/>
        <v>48.62833333333333</v>
      </c>
      <c r="AG114" s="135"/>
    </row>
    <row r="115" spans="1:33" customFormat="1" ht="106.5">
      <c r="A115" s="135">
        <f t="shared" si="10"/>
        <v>10</v>
      </c>
      <c r="B115" s="135">
        <v>5</v>
      </c>
      <c r="C115" s="135" t="s">
        <v>1986</v>
      </c>
      <c r="D115" s="145" t="s">
        <v>2133</v>
      </c>
      <c r="E115" s="145" t="s">
        <v>2134</v>
      </c>
      <c r="F115" s="145" t="s">
        <v>2135</v>
      </c>
      <c r="G115" s="145" t="s">
        <v>2136</v>
      </c>
      <c r="H115" s="145" t="s">
        <v>2137</v>
      </c>
      <c r="I115" s="145" t="s">
        <v>2138</v>
      </c>
      <c r="J115" s="145" t="s">
        <v>2139</v>
      </c>
      <c r="K115" s="145"/>
      <c r="L115" s="145"/>
      <c r="M115" s="145"/>
      <c r="N115" s="145"/>
      <c r="O115" s="145"/>
      <c r="P115" s="145"/>
      <c r="Q115" s="145"/>
      <c r="R115" s="145"/>
      <c r="S115" s="139" t="e" vm="1">
        <f>O115*30000+P115+Q115*[2]Summary!$E$9</f>
        <v>#VALUE!</v>
      </c>
      <c r="T115" s="135"/>
      <c r="U115" s="135"/>
      <c r="V115" s="135"/>
      <c r="W115" s="135"/>
      <c r="X115" s="135"/>
      <c r="Y115" s="135"/>
      <c r="Z115" s="135"/>
      <c r="AA115" s="135"/>
      <c r="AB115" s="135"/>
      <c r="AC115" s="135"/>
      <c r="AD115" s="135"/>
      <c r="AE115" s="135"/>
      <c r="AF115" s="135">
        <f t="shared" si="9"/>
        <v>0</v>
      </c>
      <c r="AG115" s="135"/>
    </row>
    <row r="116" spans="1:33" customFormat="1" ht="152.25">
      <c r="A116" s="135">
        <f t="shared" si="10"/>
        <v>11</v>
      </c>
      <c r="B116" s="135">
        <v>5</v>
      </c>
      <c r="C116" s="135" t="s">
        <v>1218</v>
      </c>
      <c r="D116" s="145" t="s">
        <v>2140</v>
      </c>
      <c r="E116" s="145" t="s">
        <v>2141</v>
      </c>
      <c r="F116" s="145" t="s">
        <v>2142</v>
      </c>
      <c r="G116" s="145" t="s">
        <v>2143</v>
      </c>
      <c r="H116" s="145" t="s">
        <v>2144</v>
      </c>
      <c r="I116" s="145" t="s">
        <v>2145</v>
      </c>
      <c r="J116" s="145" t="s">
        <v>2146</v>
      </c>
      <c r="K116" s="145" t="s">
        <v>2147</v>
      </c>
      <c r="L116" s="145" t="s">
        <v>2148</v>
      </c>
      <c r="M116" s="145" t="s">
        <v>2149</v>
      </c>
      <c r="N116" s="145"/>
      <c r="O116" s="145">
        <v>40.9</v>
      </c>
      <c r="P116" s="145">
        <v>72756</v>
      </c>
      <c r="Q116" s="145"/>
      <c r="R116" s="145"/>
      <c r="S116" s="139" t="e" vm="1">
        <f>O116*30000+P116+Q116*[2]Summary!$E$9</f>
        <v>#VALUE!</v>
      </c>
      <c r="T116" s="135"/>
      <c r="U116" s="135"/>
      <c r="V116" s="135"/>
      <c r="W116" s="135"/>
      <c r="X116" s="135"/>
      <c r="Y116" s="135"/>
      <c r="Z116" s="135"/>
      <c r="AA116" s="135"/>
      <c r="AB116" s="135"/>
      <c r="AC116" s="135"/>
      <c r="AD116" s="135"/>
      <c r="AE116" s="135"/>
      <c r="AF116" s="135">
        <f t="shared" si="9"/>
        <v>72756</v>
      </c>
      <c r="AG116" s="135"/>
    </row>
    <row r="117" spans="1:33" customFormat="1" ht="30.75">
      <c r="A117" s="135">
        <f t="shared" si="10"/>
        <v>12</v>
      </c>
      <c r="B117" s="135">
        <v>5</v>
      </c>
      <c r="C117" s="135" t="s">
        <v>313</v>
      </c>
      <c r="D117" s="145" t="s">
        <v>2150</v>
      </c>
      <c r="E117" s="145" t="s">
        <v>2151</v>
      </c>
      <c r="F117" s="145" t="s">
        <v>2152</v>
      </c>
      <c r="G117" s="145"/>
      <c r="H117" s="145"/>
      <c r="I117" s="145"/>
      <c r="J117" s="145"/>
      <c r="K117" s="145"/>
      <c r="L117" s="145"/>
      <c r="M117" s="145"/>
      <c r="N117" s="145"/>
      <c r="O117" s="145"/>
      <c r="P117" s="145"/>
      <c r="Q117" s="145"/>
      <c r="R117" s="145"/>
      <c r="S117" s="139" t="e" vm="1">
        <f>O117*30000+P117+Q117*[2]Summary!$E$9</f>
        <v>#VALUE!</v>
      </c>
      <c r="T117" s="135"/>
      <c r="U117" s="135"/>
      <c r="V117" s="135"/>
      <c r="W117" s="135"/>
      <c r="X117" s="135"/>
      <c r="Y117" s="135"/>
      <c r="Z117" s="135"/>
      <c r="AA117" s="135"/>
      <c r="AB117" s="135"/>
      <c r="AC117" s="135"/>
      <c r="AD117" s="135"/>
      <c r="AE117" s="135"/>
      <c r="AF117" s="135">
        <f t="shared" si="9"/>
        <v>0</v>
      </c>
      <c r="AG117" s="135"/>
    </row>
    <row r="118" spans="1:33" customFormat="1" ht="91.5">
      <c r="A118" s="135">
        <f t="shared" si="10"/>
        <v>13</v>
      </c>
      <c r="B118" s="135">
        <v>5</v>
      </c>
      <c r="C118" s="135" t="s">
        <v>2153</v>
      </c>
      <c r="D118" s="145" t="s">
        <v>2154</v>
      </c>
      <c r="E118" s="145" t="s">
        <v>2155</v>
      </c>
      <c r="F118" s="145"/>
      <c r="G118" s="145"/>
      <c r="H118" s="145"/>
      <c r="I118" s="145"/>
      <c r="J118" s="145"/>
      <c r="K118" s="145"/>
      <c r="L118" s="145"/>
      <c r="M118" s="145"/>
      <c r="N118" s="145"/>
      <c r="O118" s="145"/>
      <c r="P118" s="145"/>
      <c r="Q118" s="145"/>
      <c r="R118" s="145"/>
      <c r="S118" s="139" t="e" vm="1">
        <f>O118*30000+P118+Q118*[2]Summary!$E$9</f>
        <v>#VALUE!</v>
      </c>
      <c r="T118" s="135"/>
      <c r="U118" s="135"/>
      <c r="V118" s="135"/>
      <c r="W118" s="135"/>
      <c r="X118" s="135"/>
      <c r="Y118" s="135"/>
      <c r="Z118" s="135"/>
      <c r="AA118" s="135"/>
      <c r="AB118" s="135"/>
      <c r="AC118" s="135"/>
      <c r="AD118" s="135"/>
      <c r="AE118" s="135"/>
      <c r="AF118" s="135">
        <f t="shared" si="9"/>
        <v>0</v>
      </c>
      <c r="AG118" s="135"/>
    </row>
    <row r="119" spans="1:33" customFormat="1" ht="106.5">
      <c r="A119" s="135">
        <f t="shared" si="10"/>
        <v>14</v>
      </c>
      <c r="B119" s="135">
        <v>5</v>
      </c>
      <c r="C119" s="135" t="s">
        <v>195</v>
      </c>
      <c r="D119" s="145" t="s">
        <v>2156</v>
      </c>
      <c r="E119" s="145" t="s">
        <v>2157</v>
      </c>
      <c r="F119" s="145" t="s">
        <v>2158</v>
      </c>
      <c r="G119" s="145" t="s">
        <v>2159</v>
      </c>
      <c r="H119" s="145" t="s">
        <v>2160</v>
      </c>
      <c r="I119" s="145" t="s">
        <v>2161</v>
      </c>
      <c r="J119" s="145" t="s">
        <v>2162</v>
      </c>
      <c r="K119" s="145" t="s">
        <v>2163</v>
      </c>
      <c r="L119" s="145" t="s">
        <v>2164</v>
      </c>
      <c r="M119" s="145" t="s">
        <v>2165</v>
      </c>
      <c r="N119" s="145"/>
      <c r="O119" s="145">
        <v>11.9</v>
      </c>
      <c r="P119" s="145"/>
      <c r="Q119" s="145"/>
      <c r="R119" s="145"/>
      <c r="S119" s="139" t="e" vm="1">
        <f>O119*30000+P119+Q119*[2]Summary!$E$9</f>
        <v>#VALUE!</v>
      </c>
      <c r="T119" s="135"/>
      <c r="U119" s="135"/>
      <c r="V119" s="135"/>
      <c r="W119" s="135"/>
      <c r="X119" s="135"/>
      <c r="Y119" s="135"/>
      <c r="Z119" s="135"/>
      <c r="AA119" s="135"/>
      <c r="AB119" s="135"/>
      <c r="AC119" s="135"/>
      <c r="AD119" s="135"/>
      <c r="AE119" s="135"/>
      <c r="AF119" s="135">
        <f t="shared" si="9"/>
        <v>11.9</v>
      </c>
      <c r="AG119" s="135"/>
    </row>
    <row r="120" spans="1:33" customFormat="1" ht="76.5">
      <c r="A120" s="135">
        <f t="shared" si="10"/>
        <v>15</v>
      </c>
      <c r="B120" s="135">
        <v>5</v>
      </c>
      <c r="C120" s="135" t="s">
        <v>815</v>
      </c>
      <c r="D120" s="145" t="s">
        <v>2166</v>
      </c>
      <c r="E120" s="145" t="s">
        <v>2167</v>
      </c>
      <c r="F120" s="145" t="s">
        <v>2168</v>
      </c>
      <c r="G120" s="145"/>
      <c r="H120" s="145"/>
      <c r="I120" s="145"/>
      <c r="J120" s="145"/>
      <c r="K120" s="145"/>
      <c r="L120" s="145"/>
      <c r="M120" s="145"/>
      <c r="N120" s="145"/>
      <c r="O120" s="159"/>
      <c r="P120" s="145"/>
      <c r="Q120" s="145"/>
      <c r="R120" s="145"/>
      <c r="S120" s="139" t="e" vm="1">
        <f>O120*30000+P120+Q120*[2]Summary!$E$9</f>
        <v>#VALUE!</v>
      </c>
      <c r="T120" s="135"/>
      <c r="U120" s="135"/>
      <c r="V120" s="135"/>
      <c r="W120" s="135"/>
      <c r="X120" s="135"/>
      <c r="Y120" s="135"/>
      <c r="Z120" s="135"/>
      <c r="AA120" s="135"/>
      <c r="AB120" s="135"/>
      <c r="AC120" s="135"/>
      <c r="AD120" s="135"/>
      <c r="AE120" s="135"/>
      <c r="AF120" s="135">
        <f t="shared" si="9"/>
        <v>0</v>
      </c>
      <c r="AG120" s="135"/>
    </row>
    <row r="121" spans="1:33" customFormat="1" ht="91.5">
      <c r="A121" s="135">
        <f t="shared" si="10"/>
        <v>16</v>
      </c>
      <c r="B121" s="135">
        <v>5</v>
      </c>
      <c r="C121" s="135" t="s">
        <v>1205</v>
      </c>
      <c r="D121" s="145" t="s">
        <v>2169</v>
      </c>
      <c r="E121" s="145" t="s">
        <v>2170</v>
      </c>
      <c r="F121" s="145" t="s">
        <v>2171</v>
      </c>
      <c r="G121" s="145" t="s">
        <v>2172</v>
      </c>
      <c r="H121" s="145" t="s">
        <v>2173</v>
      </c>
      <c r="I121" s="145" t="s">
        <v>2174</v>
      </c>
      <c r="J121" s="145" t="s">
        <v>2175</v>
      </c>
      <c r="K121" s="145" t="s">
        <v>2176</v>
      </c>
      <c r="L121" s="145" t="s">
        <v>2177</v>
      </c>
      <c r="M121" s="145" t="s">
        <v>2178</v>
      </c>
      <c r="N121" s="145"/>
      <c r="O121" s="145">
        <f>82800/3600</f>
        <v>23</v>
      </c>
      <c r="P121" s="145"/>
      <c r="Q121" s="145"/>
      <c r="R121" s="145"/>
      <c r="S121" s="139" t="e" vm="1">
        <f>O121*30000+P121+Q121*[2]Summary!$E$9</f>
        <v>#VALUE!</v>
      </c>
      <c r="T121" s="135"/>
      <c r="U121" s="135"/>
      <c r="V121" s="135"/>
      <c r="W121" s="135"/>
      <c r="X121" s="135"/>
      <c r="Y121" s="135"/>
      <c r="Z121" s="135"/>
      <c r="AA121" s="135"/>
      <c r="AB121" s="135"/>
      <c r="AC121" s="135"/>
      <c r="AD121" s="135"/>
      <c r="AE121" s="135"/>
      <c r="AF121" s="135">
        <f t="shared" si="9"/>
        <v>23</v>
      </c>
      <c r="AG121" s="135"/>
    </row>
    <row r="122" spans="1:33" customFormat="1" ht="76.5">
      <c r="A122" s="135">
        <f t="shared" si="10"/>
        <v>17</v>
      </c>
      <c r="B122" s="135">
        <v>5</v>
      </c>
      <c r="C122" s="135" t="s">
        <v>1774</v>
      </c>
      <c r="D122" s="145" t="s">
        <v>2179</v>
      </c>
      <c r="E122" s="145" t="s">
        <v>2180</v>
      </c>
      <c r="F122" s="145" t="s">
        <v>2181</v>
      </c>
      <c r="G122" s="145" t="s">
        <v>2182</v>
      </c>
      <c r="H122" s="145" t="s">
        <v>2183</v>
      </c>
      <c r="I122" s="145"/>
      <c r="J122" s="145"/>
      <c r="K122" s="145"/>
      <c r="L122" s="145"/>
      <c r="M122" s="145"/>
      <c r="N122" s="145"/>
      <c r="O122" s="159"/>
      <c r="P122" s="145"/>
      <c r="Q122" s="145"/>
      <c r="R122" s="145"/>
      <c r="S122" s="139" t="e" vm="1">
        <f>O122*30000+P122+Q122*[2]Summary!$E$9</f>
        <v>#VALUE!</v>
      </c>
      <c r="T122" s="135"/>
      <c r="U122" s="135"/>
      <c r="V122" s="135"/>
      <c r="W122" s="135"/>
      <c r="X122" s="135"/>
      <c r="Y122" s="135"/>
      <c r="Z122" s="135"/>
      <c r="AA122" s="135"/>
      <c r="AB122" s="135"/>
      <c r="AC122" s="135"/>
      <c r="AD122" s="135"/>
      <c r="AE122" s="135"/>
      <c r="AF122" s="135">
        <f t="shared" si="9"/>
        <v>0</v>
      </c>
      <c r="AG122" s="135"/>
    </row>
    <row r="123" spans="1:33" customFormat="1" ht="121.5">
      <c r="A123" s="135">
        <f t="shared" si="10"/>
        <v>18</v>
      </c>
      <c r="B123" s="135">
        <v>5</v>
      </c>
      <c r="C123" s="135" t="s">
        <v>1700</v>
      </c>
      <c r="D123" s="145" t="s">
        <v>2184</v>
      </c>
      <c r="E123" s="145" t="s">
        <v>2185</v>
      </c>
      <c r="F123" s="145"/>
      <c r="G123" s="145" t="s">
        <v>2186</v>
      </c>
      <c r="H123" s="145" t="s">
        <v>2187</v>
      </c>
      <c r="I123" s="145" t="s">
        <v>2188</v>
      </c>
      <c r="J123" s="145" t="s">
        <v>2189</v>
      </c>
      <c r="K123" s="145" t="s">
        <v>2190</v>
      </c>
      <c r="L123" s="145" t="s">
        <v>2191</v>
      </c>
      <c r="M123" s="145" t="s">
        <v>2192</v>
      </c>
      <c r="N123" s="145"/>
      <c r="O123" s="145">
        <v>22.3</v>
      </c>
      <c r="P123" s="145"/>
      <c r="Q123" s="145"/>
      <c r="R123" s="145"/>
      <c r="S123" s="139" t="e" vm="1">
        <f>O123*30000+P123+Q123*[2]Summary!$E$9</f>
        <v>#VALUE!</v>
      </c>
      <c r="T123" s="135"/>
      <c r="U123" s="135"/>
      <c r="V123" s="135"/>
      <c r="W123" s="135"/>
      <c r="X123" s="135"/>
      <c r="Y123" s="135"/>
      <c r="Z123" s="135"/>
      <c r="AA123" s="135"/>
      <c r="AB123" s="135"/>
      <c r="AC123" s="135"/>
      <c r="AD123" s="135"/>
      <c r="AE123" s="135"/>
      <c r="AF123" s="135">
        <f t="shared" si="9"/>
        <v>22.3</v>
      </c>
      <c r="AG123" s="135"/>
    </row>
    <row r="124" spans="1:33" customFormat="1" ht="106.5">
      <c r="A124" s="135">
        <f t="shared" si="10"/>
        <v>19</v>
      </c>
      <c r="B124" s="135">
        <v>5</v>
      </c>
      <c r="C124" s="135" t="s">
        <v>94</v>
      </c>
      <c r="D124" s="145" t="s">
        <v>2193</v>
      </c>
      <c r="E124" s="145" t="s">
        <v>2194</v>
      </c>
      <c r="F124" s="145" t="s">
        <v>2195</v>
      </c>
      <c r="G124" s="145" t="s">
        <v>2196</v>
      </c>
      <c r="H124" s="145" t="s">
        <v>2197</v>
      </c>
      <c r="I124" s="145" t="s">
        <v>2198</v>
      </c>
      <c r="J124" s="145" t="s">
        <v>2199</v>
      </c>
      <c r="K124" s="145" t="s">
        <v>2200</v>
      </c>
      <c r="L124" s="145" t="s">
        <v>2201</v>
      </c>
      <c r="M124" s="145" t="s">
        <v>2202</v>
      </c>
      <c r="N124" s="145"/>
      <c r="O124" s="155">
        <f>9+14/60+20/3600</f>
        <v>9.2388888888888889</v>
      </c>
      <c r="P124" s="145"/>
      <c r="Q124" s="145"/>
      <c r="R124" s="145"/>
      <c r="S124" s="139" t="e" vm="1">
        <f>O124*30000+P124+Q124*[2]Summary!$E$9</f>
        <v>#VALUE!</v>
      </c>
      <c r="T124" s="135"/>
      <c r="U124" s="135"/>
      <c r="V124" s="135"/>
      <c r="W124" s="135"/>
      <c r="X124" s="135"/>
      <c r="Y124" s="135"/>
      <c r="Z124" s="135"/>
      <c r="AA124" s="135"/>
      <c r="AB124" s="135"/>
      <c r="AC124" s="135"/>
      <c r="AD124" s="135"/>
      <c r="AE124" s="135"/>
      <c r="AF124" s="135">
        <f t="shared" si="9"/>
        <v>9.2388888888888889</v>
      </c>
      <c r="AG124" s="135"/>
    </row>
    <row r="125" spans="1:33" customFormat="1" ht="76.5">
      <c r="A125" s="135">
        <f t="shared" si="10"/>
        <v>20</v>
      </c>
      <c r="B125" s="135">
        <v>5</v>
      </c>
      <c r="C125" s="135" t="s">
        <v>1782</v>
      </c>
      <c r="D125" s="145" t="s">
        <v>2203</v>
      </c>
      <c r="E125" s="145" t="s">
        <v>2204</v>
      </c>
      <c r="F125" s="145" t="s">
        <v>2205</v>
      </c>
      <c r="G125" s="145" t="s">
        <v>2206</v>
      </c>
      <c r="H125" s="145" t="s">
        <v>2207</v>
      </c>
      <c r="I125" s="145" t="s">
        <v>2208</v>
      </c>
      <c r="J125" s="145" t="s">
        <v>2209</v>
      </c>
      <c r="K125" s="145" t="s">
        <v>2210</v>
      </c>
      <c r="L125" s="145" t="s">
        <v>2211</v>
      </c>
      <c r="M125" s="145" t="s">
        <v>2212</v>
      </c>
      <c r="N125" s="145">
        <f>56/60</f>
        <v>0.93333333333333335</v>
      </c>
      <c r="O125" s="145"/>
      <c r="P125" s="145"/>
      <c r="Q125" s="145"/>
      <c r="R125" s="145"/>
      <c r="S125" s="139" t="e" vm="1">
        <f>O125*30000+P125+Q125*[2]Summary!$E$9</f>
        <v>#VALUE!</v>
      </c>
      <c r="T125" s="135"/>
      <c r="U125" s="135"/>
      <c r="V125" s="135"/>
      <c r="W125" s="135"/>
      <c r="X125" s="135"/>
      <c r="Y125" s="135"/>
      <c r="Z125" s="135"/>
      <c r="AA125" s="135"/>
      <c r="AB125" s="135"/>
      <c r="AC125" s="135"/>
      <c r="AD125" s="135"/>
      <c r="AE125" s="135"/>
      <c r="AF125" s="135">
        <f t="shared" si="9"/>
        <v>0.93333333333333335</v>
      </c>
      <c r="AG125" s="135"/>
    </row>
    <row r="126" spans="1:33" customFormat="1" ht="60.75">
      <c r="A126" s="135">
        <f t="shared" si="10"/>
        <v>21</v>
      </c>
      <c r="B126" s="135">
        <v>5</v>
      </c>
      <c r="C126" s="135" t="s">
        <v>1710</v>
      </c>
      <c r="D126" s="145" t="s">
        <v>2213</v>
      </c>
      <c r="E126" s="145" t="s">
        <v>2214</v>
      </c>
      <c r="F126" s="145" t="s">
        <v>2215</v>
      </c>
      <c r="G126" s="145" t="s">
        <v>2216</v>
      </c>
      <c r="H126" s="145" t="s">
        <v>2217</v>
      </c>
      <c r="I126" s="145" t="s">
        <v>2218</v>
      </c>
      <c r="J126" s="145" t="s">
        <v>2219</v>
      </c>
      <c r="K126" s="145" t="s">
        <v>2220</v>
      </c>
      <c r="L126" s="145" t="s">
        <v>2221</v>
      </c>
      <c r="M126" s="145" t="s">
        <v>2222</v>
      </c>
      <c r="N126" s="145"/>
      <c r="O126" s="145">
        <f>858/60</f>
        <v>14.3</v>
      </c>
      <c r="P126" s="145"/>
      <c r="Q126" s="145"/>
      <c r="R126" s="145"/>
      <c r="S126" s="139" t="e" vm="1">
        <f>O126*30000+P126+Q126*[2]Summary!$E$9</f>
        <v>#VALUE!</v>
      </c>
      <c r="T126" s="135"/>
      <c r="U126" s="135"/>
      <c r="V126" s="135"/>
      <c r="W126" s="135"/>
      <c r="X126" s="135"/>
      <c r="Y126" s="135"/>
      <c r="Z126" s="135"/>
      <c r="AA126" s="135"/>
      <c r="AB126" s="135"/>
      <c r="AC126" s="135"/>
      <c r="AD126" s="135"/>
      <c r="AE126" s="135"/>
      <c r="AF126" s="135">
        <f t="shared" si="9"/>
        <v>14.3</v>
      </c>
      <c r="AG126" s="135"/>
    </row>
    <row r="127" spans="1:33" customFormat="1" ht="106.5">
      <c r="A127" s="135">
        <f t="shared" si="10"/>
        <v>22</v>
      </c>
      <c r="B127" s="135">
        <v>5</v>
      </c>
      <c r="C127" s="135" t="s">
        <v>195</v>
      </c>
      <c r="D127" s="145" t="s">
        <v>2223</v>
      </c>
      <c r="E127" s="145" t="s">
        <v>2224</v>
      </c>
      <c r="F127" s="145" t="s">
        <v>2225</v>
      </c>
      <c r="G127" s="145" t="s">
        <v>2226</v>
      </c>
      <c r="H127" s="145" t="s">
        <v>2227</v>
      </c>
      <c r="I127" s="145" t="s">
        <v>2228</v>
      </c>
      <c r="J127" s="145" t="s">
        <v>2229</v>
      </c>
      <c r="K127" s="145" t="s">
        <v>2230</v>
      </c>
      <c r="L127" s="145" t="s">
        <v>2231</v>
      </c>
      <c r="M127" s="145" t="s">
        <v>2232</v>
      </c>
      <c r="N127" s="145"/>
      <c r="O127" s="145">
        <v>8.33</v>
      </c>
      <c r="P127" s="145"/>
      <c r="Q127" s="145"/>
      <c r="R127" s="145"/>
      <c r="S127" s="139" t="e" vm="1">
        <f>O127*30000+P127+Q127*[2]Summary!$E$9</f>
        <v>#VALUE!</v>
      </c>
      <c r="T127" s="135"/>
      <c r="U127" s="135"/>
      <c r="V127" s="135"/>
      <c r="W127" s="135"/>
      <c r="X127" s="135"/>
      <c r="Y127" s="135"/>
      <c r="Z127" s="135"/>
      <c r="AA127" s="135"/>
      <c r="AB127" s="135"/>
      <c r="AC127" s="135"/>
      <c r="AD127" s="135"/>
      <c r="AE127" s="135"/>
      <c r="AF127" s="135">
        <f t="shared" si="9"/>
        <v>8.33</v>
      </c>
      <c r="AG127" s="135"/>
    </row>
    <row r="128" spans="1:33" customFormat="1" ht="106.5">
      <c r="A128" s="135">
        <f t="shared" si="10"/>
        <v>23</v>
      </c>
      <c r="B128" s="135">
        <v>5</v>
      </c>
      <c r="C128" s="135" t="s">
        <v>2233</v>
      </c>
      <c r="D128" s="145" t="s">
        <v>2234</v>
      </c>
      <c r="E128" s="153" t="s">
        <v>2235</v>
      </c>
      <c r="F128" s="145" t="s">
        <v>2236</v>
      </c>
      <c r="G128" s="145" t="s">
        <v>2237</v>
      </c>
      <c r="H128" s="145" t="s">
        <v>2238</v>
      </c>
      <c r="I128" s="145" t="s">
        <v>2239</v>
      </c>
      <c r="J128" s="145" t="s">
        <v>2240</v>
      </c>
      <c r="K128" s="145" t="s">
        <v>2241</v>
      </c>
      <c r="L128" s="145" t="s">
        <v>2242</v>
      </c>
      <c r="M128" s="145" t="s">
        <v>2243</v>
      </c>
      <c r="N128" s="145"/>
      <c r="O128" s="145"/>
      <c r="P128" s="145">
        <v>11865000</v>
      </c>
      <c r="Q128" s="145"/>
      <c r="R128" s="145"/>
      <c r="S128" s="144" t="e" vm="1">
        <f>O128*30000+P128+Q128*[2]Summary!$E$9</f>
        <v>#VALUE!</v>
      </c>
      <c r="T128" s="135"/>
      <c r="U128" s="135"/>
      <c r="V128" s="135"/>
      <c r="W128" s="135"/>
      <c r="X128" s="135"/>
      <c r="Y128" s="135"/>
      <c r="Z128" s="135"/>
      <c r="AA128" s="135"/>
      <c r="AB128" s="135"/>
      <c r="AC128" s="135"/>
      <c r="AD128" s="135"/>
      <c r="AE128" s="135"/>
      <c r="AF128" s="135">
        <f t="shared" si="9"/>
        <v>11865000</v>
      </c>
      <c r="AG128" s="135" t="s">
        <v>2244</v>
      </c>
    </row>
    <row r="129" spans="1:33" customFormat="1" ht="76.5">
      <c r="A129" s="135">
        <f t="shared" si="10"/>
        <v>24</v>
      </c>
      <c r="B129" s="135">
        <v>5</v>
      </c>
      <c r="C129" s="135" t="s">
        <v>2245</v>
      </c>
      <c r="D129" s="145" t="s">
        <v>2246</v>
      </c>
      <c r="E129" s="153" t="s">
        <v>2247</v>
      </c>
      <c r="F129" s="145" t="s">
        <v>2248</v>
      </c>
      <c r="G129" s="145" t="s">
        <v>2249</v>
      </c>
      <c r="H129" s="145" t="s">
        <v>2250</v>
      </c>
      <c r="I129" s="145" t="s">
        <v>2251</v>
      </c>
      <c r="J129" s="145" t="s">
        <v>2252</v>
      </c>
      <c r="K129" s="145" t="s">
        <v>2253</v>
      </c>
      <c r="L129" s="145" t="s">
        <v>2254</v>
      </c>
      <c r="M129" s="145" t="s">
        <v>2255</v>
      </c>
      <c r="N129" s="145"/>
      <c r="O129" s="145">
        <v>270</v>
      </c>
      <c r="P129" s="145"/>
      <c r="Q129" s="145"/>
      <c r="R129" s="145"/>
      <c r="S129" s="144" t="e" vm="1">
        <f>O129*30000+P129+Q129*[2]Summary!$E$9</f>
        <v>#VALUE!</v>
      </c>
      <c r="T129" s="135"/>
      <c r="U129" s="135"/>
      <c r="V129" s="135"/>
      <c r="W129" s="135"/>
      <c r="X129" s="135"/>
      <c r="Y129" s="135"/>
      <c r="Z129" s="135"/>
      <c r="AA129" s="135"/>
      <c r="AB129" s="135"/>
      <c r="AC129" s="135"/>
      <c r="AD129" s="135"/>
      <c r="AE129" s="135"/>
      <c r="AF129" s="135">
        <f t="shared" si="9"/>
        <v>270</v>
      </c>
      <c r="AG129" s="135" t="s">
        <v>2244</v>
      </c>
    </row>
    <row r="130" spans="1:33" customFormat="1" ht="183">
      <c r="A130" s="135">
        <f t="shared" si="10"/>
        <v>25</v>
      </c>
      <c r="B130" s="135">
        <v>5</v>
      </c>
      <c r="C130" s="135" t="s">
        <v>106</v>
      </c>
      <c r="D130" s="145" t="s">
        <v>2256</v>
      </c>
      <c r="E130" s="145" t="s">
        <v>2257</v>
      </c>
      <c r="F130" s="145" t="s">
        <v>2258</v>
      </c>
      <c r="G130" s="145" t="s">
        <v>2259</v>
      </c>
      <c r="H130" s="145" t="s">
        <v>2260</v>
      </c>
      <c r="I130" s="145" t="s">
        <v>2261</v>
      </c>
      <c r="J130" s="145" t="s">
        <v>2262</v>
      </c>
      <c r="K130" s="145" t="s">
        <v>2263</v>
      </c>
      <c r="L130" s="145" t="s">
        <v>2264</v>
      </c>
      <c r="M130" s="145" t="s">
        <v>2265</v>
      </c>
      <c r="N130" s="145"/>
      <c r="O130" s="145">
        <v>25</v>
      </c>
      <c r="P130" s="145"/>
      <c r="Q130" s="145"/>
      <c r="R130" s="145"/>
      <c r="S130" s="139" t="e" vm="1">
        <f>O130*30000+P130+Q130*[2]Summary!$E$9</f>
        <v>#VALUE!</v>
      </c>
      <c r="T130" s="135"/>
      <c r="U130" s="135"/>
      <c r="V130" s="135"/>
      <c r="W130" s="135"/>
      <c r="X130" s="135"/>
      <c r="Y130" s="135"/>
      <c r="Z130" s="135"/>
      <c r="AA130" s="135"/>
      <c r="AB130" s="135"/>
      <c r="AC130" s="135"/>
      <c r="AD130" s="135"/>
      <c r="AE130" s="135"/>
      <c r="AF130" s="135">
        <f t="shared" si="9"/>
        <v>25</v>
      </c>
      <c r="AG130" s="135"/>
    </row>
    <row r="131" spans="1:33" customFormat="1" ht="91.5">
      <c r="A131" s="135">
        <v>1</v>
      </c>
      <c r="B131" s="135">
        <v>6</v>
      </c>
      <c r="C131" s="135" t="s">
        <v>1347</v>
      </c>
      <c r="D131" s="145" t="s">
        <v>2266</v>
      </c>
      <c r="E131" s="145" t="s">
        <v>2267</v>
      </c>
      <c r="F131" s="145" t="s">
        <v>2268</v>
      </c>
      <c r="G131" s="145" t="s">
        <v>2269</v>
      </c>
      <c r="H131" s="145" t="s">
        <v>2270</v>
      </c>
      <c r="I131" s="145" t="s">
        <v>2271</v>
      </c>
      <c r="J131" s="145" t="s">
        <v>2272</v>
      </c>
      <c r="K131" s="145" t="s">
        <v>2273</v>
      </c>
      <c r="L131" s="145" t="s">
        <v>2274</v>
      </c>
      <c r="M131" s="145" t="s">
        <v>2275</v>
      </c>
      <c r="N131" s="145"/>
      <c r="O131" s="145">
        <f>(1325-605)/3600*30</f>
        <v>6</v>
      </c>
      <c r="P131" s="145"/>
      <c r="Q131" s="145"/>
      <c r="R131" s="145"/>
      <c r="S131" s="139" t="e" vm="1">
        <f>O131*30000+P131+Q131*[2]Summary!$E$9</f>
        <v>#VALUE!</v>
      </c>
      <c r="T131" s="135"/>
      <c r="U131" s="135"/>
      <c r="V131" s="135"/>
      <c r="W131" s="135"/>
      <c r="X131" s="135"/>
      <c r="Y131" s="135"/>
      <c r="Z131" s="135"/>
      <c r="AA131" s="135"/>
      <c r="AB131" s="135"/>
      <c r="AC131" s="135"/>
      <c r="AD131" s="135"/>
      <c r="AE131" s="135"/>
      <c r="AF131" s="135"/>
      <c r="AG131" s="135"/>
    </row>
    <row r="132" spans="1:33" customFormat="1" ht="121.5">
      <c r="A132" s="135">
        <f t="shared" ref="A132:A156" si="11">A131+1</f>
        <v>2</v>
      </c>
      <c r="B132" s="135">
        <v>6</v>
      </c>
      <c r="C132" s="135" t="s">
        <v>195</v>
      </c>
      <c r="D132" s="145" t="s">
        <v>2276</v>
      </c>
      <c r="E132" s="145" t="s">
        <v>2277</v>
      </c>
      <c r="F132" s="145" t="s">
        <v>2278</v>
      </c>
      <c r="G132" s="145" t="s">
        <v>2279</v>
      </c>
      <c r="H132" s="145" t="s">
        <v>2280</v>
      </c>
      <c r="I132" s="145" t="s">
        <v>2281</v>
      </c>
      <c r="J132" s="145" t="s">
        <v>2282</v>
      </c>
      <c r="K132" s="145" t="s">
        <v>2283</v>
      </c>
      <c r="L132" s="145" t="s">
        <v>2284</v>
      </c>
      <c r="M132" s="145"/>
      <c r="N132" s="145"/>
      <c r="O132" s="145">
        <v>16</v>
      </c>
      <c r="P132" s="145"/>
      <c r="Q132" s="145"/>
      <c r="R132" s="145"/>
      <c r="S132" s="139" t="e" vm="1">
        <f>O132*30000+P132+Q132*[2]Summary!$E$9</f>
        <v>#VALUE!</v>
      </c>
      <c r="T132" s="135"/>
      <c r="U132" s="135"/>
      <c r="V132" s="135"/>
      <c r="W132" s="135"/>
      <c r="X132" s="135"/>
      <c r="Y132" s="135"/>
      <c r="Z132" s="135"/>
      <c r="AA132" s="135"/>
      <c r="AB132" s="135"/>
      <c r="AC132" s="135"/>
      <c r="AD132" s="135"/>
      <c r="AE132" s="135"/>
      <c r="AF132" s="135"/>
      <c r="AG132" s="135"/>
    </row>
    <row r="133" spans="1:33" customFormat="1" ht="152.25">
      <c r="A133" s="135">
        <f t="shared" si="11"/>
        <v>3</v>
      </c>
      <c r="B133" s="135">
        <v>6</v>
      </c>
      <c r="C133" s="135" t="s">
        <v>1710</v>
      </c>
      <c r="D133" s="145" t="s">
        <v>2285</v>
      </c>
      <c r="E133" s="145" t="s">
        <v>2286</v>
      </c>
      <c r="F133" s="145" t="s">
        <v>2287</v>
      </c>
      <c r="G133" s="145" t="s">
        <v>2288</v>
      </c>
      <c r="H133" s="145" t="s">
        <v>2289</v>
      </c>
      <c r="I133" s="145" t="s">
        <v>2290</v>
      </c>
      <c r="J133" s="145" t="s">
        <v>2291</v>
      </c>
      <c r="K133" s="145" t="s">
        <v>2292</v>
      </c>
      <c r="L133" s="145" t="s">
        <v>2293</v>
      </c>
      <c r="M133" s="145" t="s">
        <v>2294</v>
      </c>
      <c r="N133" s="145"/>
      <c r="O133" s="145">
        <v>45</v>
      </c>
      <c r="P133" s="145"/>
      <c r="Q133" s="145"/>
      <c r="R133" s="145"/>
      <c r="S133" s="139" t="e" vm="1">
        <f>O133*30000+P133+Q133*[2]Summary!$E$9</f>
        <v>#VALUE!</v>
      </c>
      <c r="T133" s="135"/>
      <c r="U133" s="135"/>
      <c r="V133" s="135"/>
      <c r="W133" s="135"/>
      <c r="X133" s="135"/>
      <c r="Y133" s="135"/>
      <c r="Z133" s="135"/>
      <c r="AA133" s="135"/>
      <c r="AB133" s="135"/>
      <c r="AC133" s="135"/>
      <c r="AD133" s="135"/>
      <c r="AE133" s="135"/>
      <c r="AF133" s="135"/>
      <c r="AG133" s="135"/>
    </row>
    <row r="134" spans="1:33" customFormat="1" ht="91.5">
      <c r="A134" s="135">
        <f t="shared" si="11"/>
        <v>4</v>
      </c>
      <c r="B134" s="135">
        <v>6</v>
      </c>
      <c r="C134" s="135" t="s">
        <v>195</v>
      </c>
      <c r="D134" s="145" t="s">
        <v>2295</v>
      </c>
      <c r="E134" s="145" t="s">
        <v>2296</v>
      </c>
      <c r="F134" s="145" t="s">
        <v>2297</v>
      </c>
      <c r="G134" s="145" t="s">
        <v>2298</v>
      </c>
      <c r="H134" s="145" t="s">
        <v>2299</v>
      </c>
      <c r="I134" s="145" t="s">
        <v>2300</v>
      </c>
      <c r="J134" s="145" t="s">
        <v>2301</v>
      </c>
      <c r="K134" s="145" t="s">
        <v>2302</v>
      </c>
      <c r="L134" s="145" t="s">
        <v>2303</v>
      </c>
      <c r="M134" s="145" t="s">
        <v>2304</v>
      </c>
      <c r="N134" s="145"/>
      <c r="O134" s="145">
        <v>6.6</v>
      </c>
      <c r="P134" s="145"/>
      <c r="Q134" s="145"/>
      <c r="R134" s="145"/>
      <c r="S134" s="139" t="e" vm="1">
        <f>O134*30000+P134+Q134*[2]Summary!$E$9</f>
        <v>#VALUE!</v>
      </c>
      <c r="T134" s="135"/>
      <c r="U134" s="135"/>
      <c r="V134" s="135"/>
      <c r="W134" s="135"/>
      <c r="X134" s="135"/>
      <c r="Y134" s="135"/>
      <c r="Z134" s="135"/>
      <c r="AA134" s="135"/>
      <c r="AB134" s="135"/>
      <c r="AC134" s="135"/>
      <c r="AD134" s="135"/>
      <c r="AE134" s="135"/>
      <c r="AF134" s="135"/>
      <c r="AG134" s="135"/>
    </row>
    <row r="135" spans="1:33" customFormat="1" ht="121.5">
      <c r="A135" s="135">
        <f t="shared" si="11"/>
        <v>5</v>
      </c>
      <c r="B135" s="135">
        <v>6</v>
      </c>
      <c r="C135" s="135" t="s">
        <v>94</v>
      </c>
      <c r="D135" s="145" t="s">
        <v>2305</v>
      </c>
      <c r="E135" s="145" t="s">
        <v>2306</v>
      </c>
      <c r="F135" s="145" t="s">
        <v>2307</v>
      </c>
      <c r="G135" s="145" t="s">
        <v>2308</v>
      </c>
      <c r="H135" s="145" t="s">
        <v>2309</v>
      </c>
      <c r="I135" s="145" t="s">
        <v>2310</v>
      </c>
      <c r="J135" s="145" t="s">
        <v>2311</v>
      </c>
      <c r="K135" s="145" t="s">
        <v>2312</v>
      </c>
      <c r="L135" s="145" t="s">
        <v>2313</v>
      </c>
      <c r="M135" s="145" t="s">
        <v>2314</v>
      </c>
      <c r="N135" s="145"/>
      <c r="O135" s="145">
        <f>6+16/60</f>
        <v>6.2666666666666666</v>
      </c>
      <c r="P135" s="145"/>
      <c r="Q135" s="145"/>
      <c r="R135" s="145"/>
      <c r="S135" s="139" t="e" vm="1">
        <f>O135*30000+P135+Q135*[2]Summary!$E$9</f>
        <v>#VALUE!</v>
      </c>
      <c r="T135" s="135"/>
      <c r="U135" s="135"/>
      <c r="V135" s="135"/>
      <c r="W135" s="135"/>
      <c r="X135" s="135"/>
      <c r="Y135" s="135"/>
      <c r="Z135" s="135"/>
      <c r="AA135" s="135"/>
      <c r="AB135" s="135"/>
      <c r="AC135" s="135"/>
      <c r="AD135" s="135"/>
      <c r="AE135" s="135"/>
      <c r="AF135" s="135"/>
      <c r="AG135" s="135"/>
    </row>
    <row r="136" spans="1:33" customFormat="1" ht="91.5">
      <c r="A136" s="135">
        <f t="shared" si="11"/>
        <v>6</v>
      </c>
      <c r="B136" s="162">
        <v>6</v>
      </c>
      <c r="C136" s="135" t="s">
        <v>1354</v>
      </c>
      <c r="D136" s="145" t="s">
        <v>2315</v>
      </c>
      <c r="E136" s="145" t="s">
        <v>2316</v>
      </c>
      <c r="F136" s="145" t="s">
        <v>2317</v>
      </c>
      <c r="G136" s="145" t="s">
        <v>2318</v>
      </c>
      <c r="H136" s="145" t="s">
        <v>2319</v>
      </c>
      <c r="I136" s="145" t="s">
        <v>2320</v>
      </c>
      <c r="J136" s="145" t="s">
        <v>2321</v>
      </c>
      <c r="K136" s="145" t="s">
        <v>2322</v>
      </c>
      <c r="L136" s="145" t="s">
        <v>2323</v>
      </c>
      <c r="M136" s="145" t="s">
        <v>2324</v>
      </c>
      <c r="N136" s="145"/>
      <c r="O136" s="145">
        <v>0</v>
      </c>
      <c r="P136" s="145"/>
      <c r="Q136" s="145"/>
      <c r="R136" s="145"/>
      <c r="S136" s="139" t="e" vm="1">
        <f>O136*30000+P136+Q136*[2]Summary!$E$9</f>
        <v>#VALUE!</v>
      </c>
      <c r="T136" s="135"/>
      <c r="U136" s="135"/>
      <c r="V136" s="135"/>
      <c r="W136" s="135"/>
      <c r="X136" s="135"/>
      <c r="Y136" s="135"/>
      <c r="Z136" s="135"/>
      <c r="AA136" s="135"/>
      <c r="AB136" s="135"/>
      <c r="AC136" s="135"/>
      <c r="AD136" s="135"/>
      <c r="AE136" s="135"/>
      <c r="AF136" s="135"/>
      <c r="AG136" s="135"/>
    </row>
    <row r="137" spans="1:33" customFormat="1" ht="30.75">
      <c r="A137" s="135">
        <f t="shared" si="11"/>
        <v>7</v>
      </c>
      <c r="B137" s="135">
        <v>6</v>
      </c>
      <c r="C137" s="135" t="s">
        <v>2245</v>
      </c>
      <c r="D137" s="145"/>
      <c r="E137" s="145"/>
      <c r="F137" s="145"/>
      <c r="G137" s="145"/>
      <c r="H137" s="145"/>
      <c r="I137" s="145"/>
      <c r="J137" s="145"/>
      <c r="K137" s="145"/>
      <c r="L137" s="145"/>
      <c r="M137" s="145"/>
      <c r="N137" s="145"/>
      <c r="O137" s="145"/>
      <c r="P137" s="145"/>
      <c r="Q137" s="145"/>
      <c r="R137" s="145"/>
      <c r="S137" s="139" t="e" vm="1">
        <f>O137*30000+P137+Q137*[2]Summary!$E$9</f>
        <v>#VALUE!</v>
      </c>
      <c r="T137" s="135"/>
      <c r="U137" s="135"/>
      <c r="V137" s="135"/>
      <c r="W137" s="135"/>
      <c r="X137" s="135"/>
      <c r="Y137" s="135"/>
      <c r="Z137" s="135"/>
      <c r="AA137" s="135"/>
      <c r="AB137" s="135"/>
      <c r="AC137" s="135"/>
      <c r="AD137" s="135"/>
      <c r="AE137" s="135"/>
      <c r="AF137" s="135"/>
      <c r="AG137" s="135"/>
    </row>
    <row r="138" spans="1:33" customFormat="1" ht="106.5">
      <c r="A138" s="135">
        <f t="shared" si="11"/>
        <v>8</v>
      </c>
      <c r="B138" s="135">
        <v>6</v>
      </c>
      <c r="C138" s="135" t="s">
        <v>106</v>
      </c>
      <c r="D138" s="145" t="s">
        <v>2325</v>
      </c>
      <c r="E138" s="145" t="s">
        <v>2326</v>
      </c>
      <c r="F138" s="145" t="s">
        <v>2327</v>
      </c>
      <c r="G138" s="145" t="s">
        <v>2328</v>
      </c>
      <c r="H138" s="145" t="s">
        <v>2329</v>
      </c>
      <c r="I138" s="145" t="s">
        <v>2330</v>
      </c>
      <c r="J138" s="145" t="s">
        <v>2331</v>
      </c>
      <c r="K138" s="145"/>
      <c r="L138" s="145"/>
      <c r="M138" s="145"/>
      <c r="N138" s="145"/>
      <c r="O138" s="145"/>
      <c r="P138" s="145"/>
      <c r="Q138" s="145"/>
      <c r="R138" s="145"/>
      <c r="S138" s="139" t="e" vm="1">
        <f>O138*30000+P138+Q138*[2]Summary!$E$9</f>
        <v>#VALUE!</v>
      </c>
      <c r="T138" s="135"/>
      <c r="U138" s="135"/>
      <c r="V138" s="135"/>
      <c r="W138" s="135"/>
      <c r="X138" s="135"/>
      <c r="Y138" s="135"/>
      <c r="Z138" s="135"/>
      <c r="AA138" s="135"/>
      <c r="AB138" s="135"/>
      <c r="AC138" s="135"/>
      <c r="AD138" s="135"/>
      <c r="AE138" s="135"/>
      <c r="AF138" s="135"/>
      <c r="AG138" s="135"/>
    </row>
    <row r="139" spans="1:33" customFormat="1">
      <c r="A139" s="135">
        <f t="shared" si="11"/>
        <v>9</v>
      </c>
      <c r="B139" s="135">
        <v>6</v>
      </c>
      <c r="C139" s="135" t="s">
        <v>106</v>
      </c>
      <c r="D139" s="145"/>
      <c r="E139" s="145"/>
      <c r="F139" s="145"/>
      <c r="G139" s="145"/>
      <c r="H139" s="145"/>
      <c r="I139" s="145"/>
      <c r="J139" s="145"/>
      <c r="K139" s="145"/>
      <c r="L139" s="145"/>
      <c r="M139" s="145"/>
      <c r="N139" s="145"/>
      <c r="O139" s="145"/>
      <c r="P139" s="145"/>
      <c r="Q139" s="145"/>
      <c r="R139" s="145"/>
      <c r="S139" s="139" t="e" vm="1">
        <f>O139*30000+P139+Q139*[2]Summary!$E$9</f>
        <v>#VALUE!</v>
      </c>
      <c r="T139" s="135"/>
      <c r="U139" s="135"/>
      <c r="V139" s="135"/>
      <c r="W139" s="135"/>
      <c r="X139" s="135"/>
      <c r="Y139" s="135"/>
      <c r="Z139" s="135"/>
      <c r="AA139" s="135"/>
      <c r="AB139" s="135"/>
      <c r="AC139" s="135"/>
      <c r="AD139" s="135"/>
      <c r="AE139" s="135"/>
      <c r="AF139" s="135"/>
      <c r="AG139" s="135"/>
    </row>
    <row r="140" spans="1:33" customFormat="1" ht="45.75">
      <c r="A140" s="135">
        <f t="shared" si="11"/>
        <v>10</v>
      </c>
      <c r="B140" s="135">
        <v>6</v>
      </c>
      <c r="C140" s="135" t="s">
        <v>1700</v>
      </c>
      <c r="D140" s="145"/>
      <c r="E140" s="145"/>
      <c r="F140" s="145"/>
      <c r="G140" s="145"/>
      <c r="H140" s="145"/>
      <c r="I140" s="145"/>
      <c r="J140" s="145"/>
      <c r="K140" s="145"/>
      <c r="L140" s="145"/>
      <c r="M140" s="145"/>
      <c r="N140" s="145"/>
      <c r="O140" s="145"/>
      <c r="P140" s="145"/>
      <c r="Q140" s="145"/>
      <c r="R140" s="145"/>
      <c r="S140" s="139" t="e" vm="1">
        <f>O140*30000+P140+Q140*[2]Summary!$E$9</f>
        <v>#VALUE!</v>
      </c>
      <c r="T140" s="135"/>
      <c r="U140" s="135"/>
      <c r="V140" s="135"/>
      <c r="W140" s="135"/>
      <c r="X140" s="135"/>
      <c r="Y140" s="135"/>
      <c r="Z140" s="135"/>
      <c r="AA140" s="135"/>
      <c r="AB140" s="135"/>
      <c r="AC140" s="135"/>
      <c r="AD140" s="135"/>
      <c r="AE140" s="135"/>
      <c r="AF140" s="135"/>
      <c r="AG140" s="135"/>
    </row>
    <row r="141" spans="1:33" customFormat="1" ht="244.5">
      <c r="A141" s="135">
        <f t="shared" si="11"/>
        <v>11</v>
      </c>
      <c r="B141" s="135">
        <v>6</v>
      </c>
      <c r="C141" s="135" t="s">
        <v>1689</v>
      </c>
      <c r="D141" s="145" t="s">
        <v>2332</v>
      </c>
      <c r="E141" s="145" t="s">
        <v>2333</v>
      </c>
      <c r="F141" s="145" t="s">
        <v>2334</v>
      </c>
      <c r="G141" s="145" t="s">
        <v>2335</v>
      </c>
      <c r="H141" s="145" t="s">
        <v>2336</v>
      </c>
      <c r="I141" s="145" t="s">
        <v>2337</v>
      </c>
      <c r="J141" s="145" t="s">
        <v>2338</v>
      </c>
      <c r="K141" s="145" t="s">
        <v>2339</v>
      </c>
      <c r="L141" s="145" t="s">
        <v>2340</v>
      </c>
      <c r="M141" s="145" t="s">
        <v>2341</v>
      </c>
      <c r="N141" s="145"/>
      <c r="O141" s="145">
        <f>(15/60)*40*30</f>
        <v>300</v>
      </c>
      <c r="P141" s="145"/>
      <c r="Q141" s="145"/>
      <c r="R141" s="145"/>
      <c r="S141" s="144" t="e" vm="1">
        <f>O141*30000+P141+Q141*[2]Summary!$E$9</f>
        <v>#VALUE!</v>
      </c>
      <c r="T141" s="135"/>
      <c r="U141" s="135"/>
      <c r="V141" s="135"/>
      <c r="W141" s="135"/>
      <c r="X141" s="135"/>
      <c r="Y141" s="135"/>
      <c r="Z141" s="135"/>
      <c r="AA141" s="135"/>
      <c r="AB141" s="135"/>
      <c r="AC141" s="135"/>
      <c r="AD141" s="135"/>
      <c r="AE141" s="135"/>
      <c r="AF141" s="135"/>
      <c r="AG141" s="135" t="s">
        <v>2244</v>
      </c>
    </row>
    <row r="142" spans="1:33" customFormat="1" ht="45.75">
      <c r="A142" s="135">
        <f t="shared" si="11"/>
        <v>12</v>
      </c>
      <c r="B142" s="135">
        <v>6</v>
      </c>
      <c r="C142" s="135" t="s">
        <v>2073</v>
      </c>
      <c r="D142" s="145"/>
      <c r="E142" s="145"/>
      <c r="F142" s="145"/>
      <c r="G142" s="145"/>
      <c r="H142" s="145"/>
      <c r="I142" s="145"/>
      <c r="J142" s="145"/>
      <c r="K142" s="145"/>
      <c r="L142" s="145"/>
      <c r="M142" s="145"/>
      <c r="N142" s="145"/>
      <c r="O142" s="145"/>
      <c r="P142" s="145"/>
      <c r="Q142" s="145"/>
      <c r="R142" s="145"/>
      <c r="S142" s="139" t="e" vm="1">
        <f>O142*30000+P142+Q142*[2]Summary!$E$9</f>
        <v>#VALUE!</v>
      </c>
      <c r="T142" s="135"/>
      <c r="U142" s="135"/>
      <c r="V142" s="135"/>
      <c r="W142" s="135"/>
      <c r="X142" s="135"/>
      <c r="Y142" s="135"/>
      <c r="Z142" s="135"/>
      <c r="AA142" s="135"/>
      <c r="AB142" s="135"/>
      <c r="AC142" s="135"/>
      <c r="AD142" s="135"/>
      <c r="AE142" s="135"/>
      <c r="AF142" s="135"/>
      <c r="AG142" s="135"/>
    </row>
    <row r="143" spans="1:33" customFormat="1" ht="137.25">
      <c r="A143" s="135">
        <f t="shared" si="11"/>
        <v>13</v>
      </c>
      <c r="B143" s="135">
        <v>6</v>
      </c>
      <c r="C143" s="135" t="s">
        <v>2342</v>
      </c>
      <c r="D143" s="145" t="s">
        <v>2343</v>
      </c>
      <c r="E143" s="145" t="s">
        <v>2344</v>
      </c>
      <c r="F143" s="145" t="s">
        <v>2345</v>
      </c>
      <c r="G143" s="145" t="s">
        <v>2346</v>
      </c>
      <c r="H143" s="145" t="s">
        <v>2347</v>
      </c>
      <c r="I143" s="145" t="s">
        <v>2348</v>
      </c>
      <c r="J143" s="163" t="s">
        <v>2349</v>
      </c>
      <c r="K143" s="145" t="s">
        <v>2350</v>
      </c>
      <c r="L143" s="145" t="s">
        <v>2351</v>
      </c>
      <c r="M143" s="145" t="s">
        <v>2352</v>
      </c>
      <c r="N143" s="145"/>
      <c r="O143" s="145">
        <f>100/60</f>
        <v>1.6666666666666667</v>
      </c>
      <c r="P143" s="145">
        <v>31680</v>
      </c>
      <c r="Q143" s="145"/>
      <c r="R143" s="145"/>
      <c r="S143" s="139" t="e" vm="1">
        <f>O143*30000+P143+Q143*[2]Summary!$E$9</f>
        <v>#VALUE!</v>
      </c>
      <c r="T143" s="135"/>
      <c r="U143" s="135"/>
      <c r="V143" s="135"/>
      <c r="W143" s="135"/>
      <c r="X143" s="135"/>
      <c r="Y143" s="135"/>
      <c r="Z143" s="135"/>
      <c r="AA143" s="135"/>
      <c r="AB143" s="135"/>
      <c r="AC143" s="135"/>
      <c r="AD143" s="135"/>
      <c r="AE143" s="135"/>
      <c r="AF143" s="135"/>
      <c r="AG143" s="135"/>
    </row>
    <row r="144" spans="1:33" customFormat="1" ht="91.5">
      <c r="A144" s="135">
        <f t="shared" si="11"/>
        <v>14</v>
      </c>
      <c r="B144" s="135">
        <v>6</v>
      </c>
      <c r="C144" s="135" t="s">
        <v>1774</v>
      </c>
      <c r="D144" s="145" t="s">
        <v>2353</v>
      </c>
      <c r="E144" s="145" t="s">
        <v>2354</v>
      </c>
      <c r="F144" s="145" t="s">
        <v>2355</v>
      </c>
      <c r="G144" s="145" t="s">
        <v>2356</v>
      </c>
      <c r="H144" s="145" t="s">
        <v>2357</v>
      </c>
      <c r="I144" s="145" t="s">
        <v>2358</v>
      </c>
      <c r="J144" s="145" t="s">
        <v>2359</v>
      </c>
      <c r="K144" s="145" t="s">
        <v>2360</v>
      </c>
      <c r="L144" s="145" t="s">
        <v>2361</v>
      </c>
      <c r="M144" s="145" t="s">
        <v>2362</v>
      </c>
      <c r="N144" s="145"/>
      <c r="O144" s="159">
        <f>50*30/3600</f>
        <v>0.41666666666666669</v>
      </c>
      <c r="P144" s="145"/>
      <c r="Q144" s="145"/>
      <c r="R144" s="145"/>
      <c r="S144" s="139" t="e" vm="1">
        <f>O144*30000+P144+Q144*[2]Summary!$E$9</f>
        <v>#VALUE!</v>
      </c>
      <c r="T144" s="135"/>
      <c r="U144" s="135"/>
      <c r="V144" s="135"/>
      <c r="W144" s="135"/>
      <c r="X144" s="135"/>
      <c r="Y144" s="135"/>
      <c r="Z144" s="135"/>
      <c r="AA144" s="135"/>
      <c r="AB144" s="135"/>
      <c r="AC144" s="135"/>
      <c r="AD144" s="135"/>
      <c r="AE144" s="135"/>
      <c r="AF144" s="135"/>
      <c r="AG144" s="135"/>
    </row>
    <row r="145" spans="1:33" customFormat="1" ht="137.25">
      <c r="A145" s="135">
        <f t="shared" si="11"/>
        <v>15</v>
      </c>
      <c r="B145" s="135">
        <v>6</v>
      </c>
      <c r="C145" s="135" t="s">
        <v>1721</v>
      </c>
      <c r="D145" s="145" t="s">
        <v>2363</v>
      </c>
      <c r="E145" s="145" t="s">
        <v>2364</v>
      </c>
      <c r="F145" s="145" t="s">
        <v>2365</v>
      </c>
      <c r="G145" s="145" t="s">
        <v>2366</v>
      </c>
      <c r="H145" s="145" t="s">
        <v>2367</v>
      </c>
      <c r="I145" s="145" t="s">
        <v>2368</v>
      </c>
      <c r="J145" s="145" t="s">
        <v>2369</v>
      </c>
      <c r="K145" s="145" t="s">
        <v>2370</v>
      </c>
      <c r="L145" s="145" t="s">
        <v>2371</v>
      </c>
      <c r="M145" s="145" t="s">
        <v>2372</v>
      </c>
      <c r="N145" s="145"/>
      <c r="O145" s="145"/>
      <c r="P145" s="145"/>
      <c r="Q145" s="145"/>
      <c r="R145" s="145"/>
      <c r="S145" s="139" t="e" vm="1">
        <f>O145*30000+P145+Q145*[2]Summary!$E$9</f>
        <v>#VALUE!</v>
      </c>
      <c r="T145" s="135"/>
      <c r="U145" s="135"/>
      <c r="V145" s="135"/>
      <c r="W145" s="135"/>
      <c r="X145" s="135"/>
      <c r="Y145" s="135"/>
      <c r="Z145" s="135"/>
      <c r="AA145" s="135"/>
      <c r="AB145" s="135"/>
      <c r="AC145" s="135"/>
      <c r="AD145" s="135"/>
      <c r="AE145" s="135"/>
      <c r="AF145" s="135"/>
      <c r="AG145" s="135"/>
    </row>
    <row r="146" spans="1:33" customFormat="1" ht="45.75">
      <c r="A146" s="135">
        <f t="shared" si="11"/>
        <v>16</v>
      </c>
      <c r="B146" s="135">
        <v>6</v>
      </c>
      <c r="C146" s="135" t="s">
        <v>1782</v>
      </c>
      <c r="D146" s="145" t="s">
        <v>2373</v>
      </c>
      <c r="E146" s="145" t="s">
        <v>2374</v>
      </c>
      <c r="F146" s="145" t="s">
        <v>2375</v>
      </c>
      <c r="G146" s="158" t="s">
        <v>2376</v>
      </c>
      <c r="H146" s="145" t="s">
        <v>2377</v>
      </c>
      <c r="I146" s="145" t="s">
        <v>2378</v>
      </c>
      <c r="J146" s="145" t="s">
        <v>2379</v>
      </c>
      <c r="K146" s="158" t="s">
        <v>2380</v>
      </c>
      <c r="L146" s="145" t="s">
        <v>2381</v>
      </c>
      <c r="M146" s="145" t="s">
        <v>2382</v>
      </c>
      <c r="N146" s="145"/>
      <c r="O146" s="145">
        <f>21/60</f>
        <v>0.35</v>
      </c>
      <c r="P146" s="145"/>
      <c r="Q146" s="145"/>
      <c r="R146" s="145"/>
      <c r="S146" s="139" t="e" vm="1">
        <f>O146*30000+P146+Q146*[2]Summary!$E$9</f>
        <v>#VALUE!</v>
      </c>
      <c r="T146" s="135"/>
      <c r="U146" s="135"/>
      <c r="V146" s="135"/>
      <c r="W146" s="135"/>
      <c r="X146" s="135"/>
      <c r="Y146" s="135"/>
      <c r="Z146" s="135"/>
      <c r="AA146" s="135"/>
      <c r="AB146" s="135"/>
      <c r="AC146" s="135"/>
      <c r="AD146" s="135"/>
      <c r="AE146" s="135"/>
      <c r="AF146" s="135"/>
      <c r="AG146" s="135"/>
    </row>
    <row r="147" spans="1:33" customFormat="1" ht="91.5">
      <c r="A147" s="135">
        <f t="shared" si="11"/>
        <v>17</v>
      </c>
      <c r="B147" s="135">
        <v>6</v>
      </c>
      <c r="C147" s="135" t="s">
        <v>259</v>
      </c>
      <c r="D147" s="145" t="s">
        <v>2383</v>
      </c>
      <c r="E147" s="145" t="s">
        <v>2384</v>
      </c>
      <c r="F147" s="145" t="s">
        <v>2385</v>
      </c>
      <c r="G147" s="145" t="s">
        <v>2386</v>
      </c>
      <c r="H147" s="145" t="s">
        <v>2387</v>
      </c>
      <c r="I147" s="145" t="s">
        <v>2388</v>
      </c>
      <c r="J147" s="145" t="s">
        <v>2389</v>
      </c>
      <c r="K147" s="145" t="s">
        <v>2390</v>
      </c>
      <c r="L147" s="145" t="s">
        <v>2391</v>
      </c>
      <c r="M147" s="145" t="s">
        <v>2392</v>
      </c>
      <c r="N147" s="145"/>
      <c r="O147" s="145"/>
      <c r="P147" s="145"/>
      <c r="Q147" s="145"/>
      <c r="R147" s="145"/>
      <c r="S147" s="139" t="e" vm="1">
        <f>O147*30000+P147+Q147*[2]Summary!$E$9</f>
        <v>#VALUE!</v>
      </c>
      <c r="T147" s="135"/>
      <c r="U147" s="135"/>
      <c r="V147" s="135"/>
      <c r="W147" s="135"/>
      <c r="X147" s="135"/>
      <c r="Y147" s="135"/>
      <c r="Z147" s="135"/>
      <c r="AA147" s="135"/>
      <c r="AB147" s="135"/>
      <c r="AC147" s="135"/>
      <c r="AD147" s="135"/>
      <c r="AE147" s="135"/>
      <c r="AF147" s="135"/>
      <c r="AG147" s="135" t="s">
        <v>1</v>
      </c>
    </row>
    <row r="148" spans="1:33" customFormat="1" ht="137.25">
      <c r="A148" s="135">
        <f t="shared" si="11"/>
        <v>18</v>
      </c>
      <c r="B148" s="135">
        <v>6</v>
      </c>
      <c r="C148" s="135" t="s">
        <v>393</v>
      </c>
      <c r="D148" s="145" t="s">
        <v>2393</v>
      </c>
      <c r="E148" s="145" t="s">
        <v>2394</v>
      </c>
      <c r="F148" s="145" t="s">
        <v>2395</v>
      </c>
      <c r="G148" s="145" t="s">
        <v>2396</v>
      </c>
      <c r="H148" s="145" t="s">
        <v>2397</v>
      </c>
      <c r="I148" s="145" t="s">
        <v>2398</v>
      </c>
      <c r="J148" s="145" t="s">
        <v>2399</v>
      </c>
      <c r="K148" s="145" t="s">
        <v>2400</v>
      </c>
      <c r="L148" s="145" t="s">
        <v>2401</v>
      </c>
      <c r="M148" s="145" t="s">
        <v>1925</v>
      </c>
      <c r="N148" s="145"/>
      <c r="O148" s="145">
        <v>1.6</v>
      </c>
      <c r="P148" s="145"/>
      <c r="Q148" s="145"/>
      <c r="R148" s="145"/>
      <c r="S148" s="139" t="e" vm="1">
        <f>O148*30000+P148+Q148*[2]Summary!$E$9</f>
        <v>#VALUE!</v>
      </c>
      <c r="T148" s="135"/>
      <c r="U148" s="135"/>
      <c r="V148" s="135"/>
      <c r="W148" s="135"/>
      <c r="X148" s="135"/>
      <c r="Y148" s="135"/>
      <c r="Z148" s="135"/>
      <c r="AA148" s="135"/>
      <c r="AB148" s="135"/>
      <c r="AC148" s="135"/>
      <c r="AD148" s="135"/>
      <c r="AE148" s="135"/>
      <c r="AF148" s="135"/>
      <c r="AG148" s="135"/>
    </row>
    <row r="149" spans="1:33" customFormat="1" ht="30.75">
      <c r="A149" s="135">
        <f t="shared" si="11"/>
        <v>19</v>
      </c>
      <c r="B149" s="135">
        <v>6</v>
      </c>
      <c r="C149" s="135" t="s">
        <v>1205</v>
      </c>
      <c r="D149" s="145"/>
      <c r="E149" s="145"/>
      <c r="F149" s="145"/>
      <c r="G149" s="145"/>
      <c r="H149" s="145"/>
      <c r="I149" s="145"/>
      <c r="J149" s="145"/>
      <c r="K149" s="145"/>
      <c r="L149" s="145"/>
      <c r="M149" s="145"/>
      <c r="N149" s="145"/>
      <c r="O149" s="145"/>
      <c r="P149" s="145"/>
      <c r="Q149" s="145"/>
      <c r="R149" s="145"/>
      <c r="S149" s="139" t="e" vm="1">
        <f>O149*30000+P149+Q149*[2]Summary!$E$9</f>
        <v>#VALUE!</v>
      </c>
      <c r="T149" s="135"/>
      <c r="U149" s="135"/>
      <c r="V149" s="135"/>
      <c r="W149" s="135"/>
      <c r="X149" s="135"/>
      <c r="Y149" s="135"/>
      <c r="Z149" s="135"/>
      <c r="AA149" s="135"/>
      <c r="AB149" s="135"/>
      <c r="AC149" s="135"/>
      <c r="AD149" s="135"/>
      <c r="AE149" s="135"/>
      <c r="AF149" s="135"/>
      <c r="AG149" s="135"/>
    </row>
    <row r="150" spans="1:33" customFormat="1" ht="45.75">
      <c r="A150" s="135">
        <f t="shared" si="11"/>
        <v>20</v>
      </c>
      <c r="B150" s="135">
        <v>6</v>
      </c>
      <c r="C150" s="135" t="s">
        <v>1218</v>
      </c>
      <c r="D150" s="145"/>
      <c r="E150" s="145"/>
      <c r="F150" s="145"/>
      <c r="G150" s="145"/>
      <c r="H150" s="145"/>
      <c r="I150" s="145"/>
      <c r="J150" s="145"/>
      <c r="K150" s="145"/>
      <c r="L150" s="145"/>
      <c r="M150" s="145"/>
      <c r="N150" s="145"/>
      <c r="O150" s="145"/>
      <c r="P150" s="145"/>
      <c r="Q150" s="145"/>
      <c r="R150" s="145"/>
      <c r="S150" s="139" t="e" vm="1">
        <f>O150*30000+P150+Q150*[2]Summary!$E$9</f>
        <v>#VALUE!</v>
      </c>
      <c r="T150" s="135"/>
      <c r="U150" s="135"/>
      <c r="V150" s="135"/>
      <c r="W150" s="135"/>
      <c r="X150" s="135"/>
      <c r="Y150" s="135"/>
      <c r="Z150" s="135"/>
      <c r="AA150" s="135"/>
      <c r="AB150" s="135"/>
      <c r="AC150" s="135"/>
      <c r="AD150" s="135"/>
      <c r="AE150" s="135"/>
      <c r="AF150" s="135"/>
      <c r="AG150" s="135"/>
    </row>
    <row r="151" spans="1:33" customFormat="1" ht="45.75">
      <c r="A151" s="135">
        <f t="shared" si="11"/>
        <v>21</v>
      </c>
      <c r="B151" s="135">
        <v>6</v>
      </c>
      <c r="C151" s="135" t="s">
        <v>1986</v>
      </c>
      <c r="D151" s="145"/>
      <c r="E151" s="145"/>
      <c r="F151" s="145"/>
      <c r="G151" s="145"/>
      <c r="H151" s="145"/>
      <c r="I151" s="145"/>
      <c r="J151" s="145"/>
      <c r="K151" s="145"/>
      <c r="L151" s="145"/>
      <c r="M151" s="145"/>
      <c r="N151" s="145"/>
      <c r="O151" s="145"/>
      <c r="P151" s="145"/>
      <c r="Q151" s="145"/>
      <c r="R151" s="145"/>
      <c r="S151" s="139" t="e" vm="1">
        <f>O151*30000+P151+Q151*[2]Summary!$E$9</f>
        <v>#VALUE!</v>
      </c>
      <c r="T151" s="135"/>
      <c r="U151" s="135"/>
      <c r="V151" s="135"/>
      <c r="W151" s="135"/>
      <c r="X151" s="135"/>
      <c r="Y151" s="135"/>
      <c r="Z151" s="135"/>
      <c r="AA151" s="135"/>
      <c r="AB151" s="135"/>
      <c r="AC151" s="135"/>
      <c r="AD151" s="135"/>
      <c r="AE151" s="135"/>
      <c r="AF151" s="135"/>
      <c r="AG151" s="135"/>
    </row>
    <row r="152" spans="1:33" customFormat="1" ht="137.25">
      <c r="A152" s="135">
        <f t="shared" si="11"/>
        <v>22</v>
      </c>
      <c r="B152" s="135">
        <v>6</v>
      </c>
      <c r="C152" s="135" t="s">
        <v>2233</v>
      </c>
      <c r="D152" s="145" t="s">
        <v>2402</v>
      </c>
      <c r="E152" s="145" t="s">
        <v>2403</v>
      </c>
      <c r="F152" s="145" t="s">
        <v>2404</v>
      </c>
      <c r="G152" s="145"/>
      <c r="H152" s="145"/>
      <c r="I152" s="145"/>
      <c r="J152" s="145"/>
      <c r="K152" s="145"/>
      <c r="L152" s="145"/>
      <c r="M152" s="145"/>
      <c r="N152" s="145"/>
      <c r="O152" s="145"/>
      <c r="P152" s="145"/>
      <c r="Q152" s="145"/>
      <c r="R152" s="145"/>
      <c r="S152" s="139" t="e" vm="1">
        <f>O152*30000+P152+Q152*[2]Summary!$E$9</f>
        <v>#VALUE!</v>
      </c>
      <c r="T152" s="135"/>
      <c r="U152" s="135"/>
      <c r="V152" s="135"/>
      <c r="W152" s="135"/>
      <c r="X152" s="135"/>
      <c r="Y152" s="135"/>
      <c r="Z152" s="135"/>
      <c r="AA152" s="135"/>
      <c r="AB152" s="135"/>
      <c r="AC152" s="135"/>
      <c r="AD152" s="135"/>
      <c r="AE152" s="135"/>
      <c r="AF152" s="135"/>
      <c r="AG152" s="135"/>
    </row>
    <row r="153" spans="1:33" customFormat="1" ht="30.75">
      <c r="A153" s="135">
        <f t="shared" si="11"/>
        <v>23</v>
      </c>
      <c r="B153" s="135">
        <v>6</v>
      </c>
      <c r="C153" s="135" t="s">
        <v>313</v>
      </c>
      <c r="D153" s="145"/>
      <c r="E153" s="145"/>
      <c r="F153" s="145"/>
      <c r="G153" s="145"/>
      <c r="H153" s="145"/>
      <c r="I153" s="145"/>
      <c r="J153" s="145"/>
      <c r="K153" s="145"/>
      <c r="L153" s="145"/>
      <c r="M153" s="145"/>
      <c r="N153" s="145"/>
      <c r="O153" s="145"/>
      <c r="P153" s="145"/>
      <c r="Q153" s="145"/>
      <c r="R153" s="145"/>
      <c r="S153" s="139" t="e" vm="1">
        <f>O153*30000+P153+Q153*[2]Summary!$E$9</f>
        <v>#VALUE!</v>
      </c>
      <c r="T153" s="135"/>
      <c r="U153" s="135"/>
      <c r="V153" s="135"/>
      <c r="W153" s="135"/>
      <c r="X153" s="135"/>
      <c r="Y153" s="135"/>
      <c r="Z153" s="135"/>
      <c r="AA153" s="135"/>
      <c r="AB153" s="135"/>
      <c r="AC153" s="135"/>
      <c r="AD153" s="135"/>
      <c r="AE153" s="135"/>
      <c r="AF153" s="135"/>
      <c r="AG153" s="135"/>
    </row>
    <row r="154" spans="1:33" customFormat="1" ht="45.75">
      <c r="A154" s="135">
        <f t="shared" si="11"/>
        <v>24</v>
      </c>
      <c r="B154" s="135">
        <v>6</v>
      </c>
      <c r="C154" s="135" t="s">
        <v>2153</v>
      </c>
      <c r="D154" s="145"/>
      <c r="E154" s="145"/>
      <c r="F154" s="145"/>
      <c r="G154" s="145"/>
      <c r="H154" s="145"/>
      <c r="I154" s="145"/>
      <c r="J154" s="145"/>
      <c r="K154" s="145"/>
      <c r="L154" s="145"/>
      <c r="M154" s="145"/>
      <c r="N154" s="145"/>
      <c r="O154" s="145"/>
      <c r="P154" s="145"/>
      <c r="Q154" s="145"/>
      <c r="R154" s="145"/>
      <c r="S154" s="139" t="e" vm="1">
        <f>O154*30000+P154+Q154*[2]Summary!$E$9</f>
        <v>#VALUE!</v>
      </c>
      <c r="T154" s="135"/>
      <c r="U154" s="135"/>
      <c r="V154" s="135"/>
      <c r="W154" s="135"/>
      <c r="X154" s="135"/>
      <c r="Y154" s="135"/>
      <c r="Z154" s="135"/>
      <c r="AA154" s="135"/>
      <c r="AB154" s="135"/>
      <c r="AC154" s="135"/>
      <c r="AD154" s="135"/>
      <c r="AE154" s="135"/>
      <c r="AF154" s="135"/>
      <c r="AG154" s="135"/>
    </row>
    <row r="155" spans="1:33" customFormat="1" ht="106.5">
      <c r="A155" s="135">
        <f t="shared" si="11"/>
        <v>25</v>
      </c>
      <c r="B155" s="135">
        <v>6</v>
      </c>
      <c r="C155" s="135" t="s">
        <v>815</v>
      </c>
      <c r="D155" s="145" t="s">
        <v>2405</v>
      </c>
      <c r="E155" s="145" t="s">
        <v>2406</v>
      </c>
      <c r="F155" s="145" t="s">
        <v>2407</v>
      </c>
      <c r="G155" s="145" t="s">
        <v>2408</v>
      </c>
      <c r="H155" s="145" t="s">
        <v>2409</v>
      </c>
      <c r="I155" s="145" t="s">
        <v>2410</v>
      </c>
      <c r="J155" s="145" t="s">
        <v>2411</v>
      </c>
      <c r="K155" s="145" t="s">
        <v>2412</v>
      </c>
      <c r="L155" s="145" t="s">
        <v>2413</v>
      </c>
      <c r="M155" s="145" t="s">
        <v>2414</v>
      </c>
      <c r="N155" s="145"/>
      <c r="O155" s="159"/>
      <c r="P155" s="145"/>
      <c r="Q155" s="145"/>
      <c r="R155" s="145"/>
      <c r="S155" s="139" t="e" vm="1">
        <f>O155*30000+P155+Q155*[2]Summary!$E$9</f>
        <v>#VALUE!</v>
      </c>
      <c r="T155" s="135"/>
      <c r="U155" s="135"/>
      <c r="V155" s="135"/>
      <c r="W155" s="135"/>
      <c r="X155" s="135"/>
      <c r="Y155" s="135"/>
      <c r="Z155" s="135"/>
      <c r="AA155" s="135"/>
      <c r="AB155" s="135"/>
      <c r="AC155" s="135"/>
      <c r="AD155" s="135"/>
      <c r="AE155" s="135"/>
      <c r="AF155" s="135"/>
      <c r="AG155" s="135"/>
    </row>
    <row r="156" spans="1:33" customFormat="1" ht="91.5">
      <c r="A156" s="135">
        <f t="shared" si="11"/>
        <v>26</v>
      </c>
      <c r="B156" s="135">
        <v>6</v>
      </c>
      <c r="C156" s="135" t="s">
        <v>2415</v>
      </c>
      <c r="D156" s="145" t="s">
        <v>2416</v>
      </c>
      <c r="E156" s="145" t="s">
        <v>2417</v>
      </c>
      <c r="F156" s="145" t="s">
        <v>2418</v>
      </c>
      <c r="G156" s="145" t="s">
        <v>2419</v>
      </c>
      <c r="H156" s="145" t="s">
        <v>2420</v>
      </c>
      <c r="I156" s="145" t="s">
        <v>2421</v>
      </c>
      <c r="J156" s="145" t="s">
        <v>2422</v>
      </c>
      <c r="K156" s="145" t="s">
        <v>2423</v>
      </c>
      <c r="L156" s="145" t="s">
        <v>2424</v>
      </c>
      <c r="M156" s="145" t="s">
        <v>2425</v>
      </c>
      <c r="N156" s="145"/>
      <c r="O156" s="159"/>
      <c r="P156" s="145"/>
      <c r="Q156" s="145"/>
      <c r="R156" s="145"/>
      <c r="S156" s="139" t="e" vm="1">
        <f>O156*30000+P156+Q156*[2]Summary!$E$9</f>
        <v>#VALUE!</v>
      </c>
      <c r="T156" s="135"/>
      <c r="U156" s="135"/>
      <c r="V156" s="135"/>
      <c r="W156" s="135"/>
      <c r="X156" s="135"/>
      <c r="Y156" s="135"/>
      <c r="Z156" s="135"/>
      <c r="AA156" s="135"/>
      <c r="AB156" s="135"/>
      <c r="AC156" s="135"/>
      <c r="AD156" s="135"/>
      <c r="AE156" s="135"/>
      <c r="AF156" s="135"/>
      <c r="AG156" s="135"/>
    </row>
    <row r="157" spans="1:33" customFormat="1" ht="47.25" customHeight="1">
      <c r="A157" s="135">
        <v>1</v>
      </c>
      <c r="B157" s="135">
        <v>7</v>
      </c>
      <c r="C157" s="164" t="s">
        <v>2426</v>
      </c>
      <c r="D157" s="165" t="s">
        <v>2427</v>
      </c>
      <c r="E157" s="145" t="s">
        <v>2428</v>
      </c>
      <c r="F157" s="145" t="s">
        <v>2429</v>
      </c>
      <c r="G157" s="145" t="s">
        <v>2430</v>
      </c>
      <c r="H157" s="145" t="s">
        <v>2431</v>
      </c>
      <c r="I157" s="145" t="s">
        <v>2432</v>
      </c>
      <c r="J157" s="154" t="s">
        <v>2433</v>
      </c>
      <c r="K157" s="145" t="s">
        <v>2434</v>
      </c>
      <c r="L157" s="145" t="s">
        <v>2435</v>
      </c>
      <c r="M157" s="145"/>
      <c r="N157" s="145"/>
      <c r="O157" s="145"/>
      <c r="P157" s="145"/>
      <c r="Q157" s="145"/>
      <c r="R157" s="145"/>
      <c r="S157" s="166">
        <v>0</v>
      </c>
      <c r="T157" s="135"/>
      <c r="U157" s="135"/>
      <c r="V157" s="135"/>
      <c r="W157" s="135"/>
      <c r="X157" s="135"/>
      <c r="Y157" s="135"/>
      <c r="Z157" s="135"/>
      <c r="AA157" s="135"/>
      <c r="AB157" s="135"/>
      <c r="AC157" s="135"/>
      <c r="AD157" s="135"/>
      <c r="AE157" s="135"/>
      <c r="AF157" s="135"/>
      <c r="AG157" s="135"/>
    </row>
    <row r="158" spans="1:33" customFormat="1" ht="198">
      <c r="A158" s="135">
        <v>2</v>
      </c>
      <c r="B158" s="135">
        <v>7</v>
      </c>
      <c r="C158" s="164" t="s">
        <v>2436</v>
      </c>
      <c r="D158" s="145" t="s">
        <v>2437</v>
      </c>
      <c r="E158" s="145" t="s">
        <v>2438</v>
      </c>
      <c r="F158" s="145" t="s">
        <v>2439</v>
      </c>
      <c r="G158" s="145" t="s">
        <v>2440</v>
      </c>
      <c r="H158" s="145" t="s">
        <v>2441</v>
      </c>
      <c r="I158" s="145" t="s">
        <v>2442</v>
      </c>
      <c r="J158" s="145" t="s">
        <v>2443</v>
      </c>
      <c r="K158" s="145" t="s">
        <v>2444</v>
      </c>
      <c r="L158" s="145" t="s">
        <v>2445</v>
      </c>
      <c r="M158" s="145"/>
      <c r="N158" s="145"/>
      <c r="O158" s="145"/>
      <c r="P158" s="145"/>
      <c r="Q158" s="145"/>
      <c r="R158" s="145"/>
      <c r="S158" s="166">
        <v>4505070</v>
      </c>
      <c r="T158" s="135"/>
      <c r="U158" s="135"/>
      <c r="V158" s="135"/>
      <c r="W158" s="135"/>
      <c r="X158" s="135"/>
      <c r="Y158" s="135"/>
      <c r="Z158" s="135"/>
      <c r="AA158" s="135"/>
      <c r="AB158" s="135"/>
      <c r="AC158" s="135"/>
      <c r="AD158" s="135"/>
      <c r="AE158" s="135"/>
      <c r="AF158" s="135"/>
      <c r="AG158" s="135"/>
    </row>
    <row r="159" spans="1:33" customFormat="1" ht="106.5">
      <c r="A159" s="135">
        <v>3</v>
      </c>
      <c r="B159" s="135">
        <v>7</v>
      </c>
      <c r="C159" s="164" t="s">
        <v>2446</v>
      </c>
      <c r="D159" s="145" t="s">
        <v>2447</v>
      </c>
      <c r="E159" s="145" t="s">
        <v>2448</v>
      </c>
      <c r="F159" s="145" t="s">
        <v>2449</v>
      </c>
      <c r="G159" s="145" t="s">
        <v>2450</v>
      </c>
      <c r="H159" s="145" t="s">
        <v>2451</v>
      </c>
      <c r="I159" s="145" t="s">
        <v>2452</v>
      </c>
      <c r="J159" s="145" t="s">
        <v>2453</v>
      </c>
      <c r="K159" s="145" t="s">
        <v>2454</v>
      </c>
      <c r="L159" s="145" t="s">
        <v>2455</v>
      </c>
      <c r="M159" s="145"/>
      <c r="N159" s="145"/>
      <c r="O159" s="145"/>
      <c r="P159" s="145"/>
      <c r="Q159" s="145"/>
      <c r="R159" s="145"/>
      <c r="S159" s="166">
        <f>(262+32/60)*30000</f>
        <v>7876000.0000000009</v>
      </c>
      <c r="T159" s="135"/>
      <c r="U159" s="135"/>
      <c r="V159" s="135"/>
      <c r="W159" s="135"/>
      <c r="X159" s="135"/>
      <c r="Y159" s="135"/>
      <c r="Z159" s="135"/>
      <c r="AA159" s="135"/>
      <c r="AB159" s="135"/>
      <c r="AC159" s="135"/>
      <c r="AD159" s="135"/>
      <c r="AE159" s="135"/>
      <c r="AF159" s="135"/>
      <c r="AG159" s="135"/>
    </row>
    <row r="160" spans="1:33" customFormat="1" ht="183">
      <c r="A160" s="135">
        <v>4</v>
      </c>
      <c r="B160" s="135">
        <v>7</v>
      </c>
      <c r="C160" s="164" t="s">
        <v>2456</v>
      </c>
      <c r="D160" s="145" t="s">
        <v>2457</v>
      </c>
      <c r="E160" s="145" t="s">
        <v>2458</v>
      </c>
      <c r="F160" s="145" t="s">
        <v>2459</v>
      </c>
      <c r="G160" s="145" t="s">
        <v>2460</v>
      </c>
      <c r="H160" s="145" t="s">
        <v>2461</v>
      </c>
      <c r="I160" s="145" t="s">
        <v>2462</v>
      </c>
      <c r="J160" s="145" t="s">
        <v>2463</v>
      </c>
      <c r="K160" s="145" t="s">
        <v>2464</v>
      </c>
      <c r="L160" s="145" t="s">
        <v>2465</v>
      </c>
      <c r="M160" s="145"/>
      <c r="N160" s="145"/>
      <c r="O160" s="145"/>
      <c r="P160" s="145"/>
      <c r="Q160" s="145"/>
      <c r="R160" s="145"/>
      <c r="S160" s="166">
        <v>108500</v>
      </c>
      <c r="T160" s="135"/>
      <c r="U160" s="135"/>
      <c r="V160" s="135"/>
      <c r="W160" s="135"/>
      <c r="X160" s="135"/>
      <c r="Y160" s="135"/>
      <c r="Z160" s="135"/>
      <c r="AA160" s="135"/>
      <c r="AB160" s="135"/>
      <c r="AC160" s="135"/>
      <c r="AD160" s="135"/>
      <c r="AE160" s="135"/>
      <c r="AF160" s="135"/>
      <c r="AG160" s="135"/>
    </row>
    <row r="161" spans="1:33" customFormat="1" ht="106.5">
      <c r="A161" s="135">
        <v>5</v>
      </c>
      <c r="B161" s="135">
        <v>7</v>
      </c>
      <c r="C161" s="164" t="s">
        <v>2466</v>
      </c>
      <c r="D161" s="145" t="s">
        <v>2467</v>
      </c>
      <c r="E161" s="145" t="s">
        <v>2468</v>
      </c>
      <c r="F161" s="154" t="s">
        <v>2469</v>
      </c>
      <c r="G161" s="154" t="s">
        <v>2470</v>
      </c>
      <c r="H161" s="154" t="s">
        <v>2471</v>
      </c>
      <c r="I161" s="154" t="s">
        <v>2472</v>
      </c>
      <c r="J161" s="154" t="s">
        <v>2473</v>
      </c>
      <c r="K161" s="154" t="s">
        <v>2474</v>
      </c>
      <c r="L161" s="154" t="s">
        <v>2475</v>
      </c>
      <c r="M161" s="145"/>
      <c r="N161" s="145"/>
      <c r="O161" s="145"/>
      <c r="P161" s="145"/>
      <c r="Q161" s="145"/>
      <c r="R161" s="145"/>
      <c r="S161" s="166">
        <f>31.09*30000</f>
        <v>932700</v>
      </c>
      <c r="T161" s="135"/>
      <c r="U161" s="135"/>
      <c r="V161" s="135"/>
      <c r="W161" s="135"/>
      <c r="X161" s="135"/>
      <c r="Y161" s="135"/>
      <c r="Z161" s="135"/>
      <c r="AA161" s="135"/>
      <c r="AB161" s="135"/>
      <c r="AC161" s="135"/>
      <c r="AD161" s="135"/>
      <c r="AE161" s="135"/>
      <c r="AF161" s="135"/>
      <c r="AG161" s="135"/>
    </row>
    <row r="162" spans="1:33" customFormat="1" ht="183">
      <c r="A162" s="135">
        <v>6</v>
      </c>
      <c r="B162" s="135">
        <v>7</v>
      </c>
      <c r="C162" s="164" t="s">
        <v>2476</v>
      </c>
      <c r="D162" s="145" t="s">
        <v>2477</v>
      </c>
      <c r="E162" s="145" t="s">
        <v>2478</v>
      </c>
      <c r="F162" s="145" t="s">
        <v>2479</v>
      </c>
      <c r="G162" s="145" t="s">
        <v>2480</v>
      </c>
      <c r="H162" s="145" t="s">
        <v>2481</v>
      </c>
      <c r="I162" s="145" t="s">
        <v>2482</v>
      </c>
      <c r="J162" s="145" t="s">
        <v>2483</v>
      </c>
      <c r="K162" s="145" t="s">
        <v>2484</v>
      </c>
      <c r="L162" s="145" t="s">
        <v>2485</v>
      </c>
      <c r="M162" s="145"/>
      <c r="N162" s="145"/>
      <c r="O162" s="145"/>
      <c r="P162" s="145"/>
      <c r="Q162" s="145"/>
      <c r="R162" s="145"/>
      <c r="S162" s="166">
        <f>6639/3600*30000</f>
        <v>55325</v>
      </c>
      <c r="T162" s="135"/>
      <c r="U162" s="135"/>
      <c r="V162" s="135"/>
      <c r="W162" s="135"/>
      <c r="X162" s="135"/>
      <c r="Y162" s="135"/>
      <c r="Z162" s="135"/>
      <c r="AA162" s="135"/>
      <c r="AB162" s="135"/>
      <c r="AC162" s="135"/>
      <c r="AD162" s="135"/>
      <c r="AE162" s="135"/>
      <c r="AF162" s="135"/>
      <c r="AG162" s="135"/>
    </row>
    <row r="163" spans="1:33" customFormat="1" ht="121.5">
      <c r="A163" s="135">
        <v>7</v>
      </c>
      <c r="B163" s="135">
        <v>7</v>
      </c>
      <c r="C163" s="164" t="s">
        <v>2486</v>
      </c>
      <c r="D163" s="145" t="s">
        <v>2487</v>
      </c>
      <c r="E163" s="145" t="s">
        <v>2488</v>
      </c>
      <c r="F163" s="145" t="s">
        <v>2489</v>
      </c>
      <c r="G163" s="145" t="s">
        <v>2490</v>
      </c>
      <c r="H163" s="145" t="s">
        <v>2491</v>
      </c>
      <c r="I163" s="145" t="s">
        <v>2492</v>
      </c>
      <c r="J163" s="145" t="s">
        <v>2493</v>
      </c>
      <c r="K163" s="145" t="s">
        <v>2494</v>
      </c>
      <c r="L163" s="145" t="s">
        <v>2495</v>
      </c>
      <c r="M163" s="145"/>
      <c r="N163" s="145"/>
      <c r="O163" s="145"/>
      <c r="P163" s="145"/>
      <c r="Q163" s="145"/>
      <c r="R163" s="145"/>
      <c r="S163" s="166">
        <f>700/60*30000</f>
        <v>350000</v>
      </c>
      <c r="T163" s="135"/>
      <c r="U163" s="135"/>
      <c r="V163" s="135"/>
      <c r="W163" s="135"/>
      <c r="X163" s="135"/>
      <c r="Y163" s="135"/>
      <c r="Z163" s="135"/>
      <c r="AA163" s="135"/>
      <c r="AB163" s="135"/>
      <c r="AC163" s="135"/>
      <c r="AD163" s="135"/>
      <c r="AE163" s="135"/>
      <c r="AF163" s="135"/>
      <c r="AG163" s="135"/>
    </row>
    <row r="164" spans="1:33" customFormat="1" ht="121.5">
      <c r="A164" s="135">
        <v>8</v>
      </c>
      <c r="B164" s="135">
        <v>7</v>
      </c>
      <c r="C164" s="164" t="s">
        <v>2496</v>
      </c>
      <c r="D164" s="145" t="s">
        <v>2497</v>
      </c>
      <c r="E164" s="145" t="s">
        <v>2498</v>
      </c>
      <c r="F164" s="145" t="s">
        <v>2499</v>
      </c>
      <c r="G164" s="145" t="s">
        <v>2500</v>
      </c>
      <c r="H164" s="167" t="s">
        <v>2501</v>
      </c>
      <c r="I164" s="145" t="s">
        <v>2502</v>
      </c>
      <c r="J164" s="145" t="s">
        <v>2503</v>
      </c>
      <c r="K164" s="168" t="s">
        <v>2504</v>
      </c>
      <c r="L164" s="145" t="s">
        <v>2505</v>
      </c>
      <c r="M164" s="145"/>
      <c r="N164" s="145"/>
      <c r="O164" s="145"/>
      <c r="P164" s="145"/>
      <c r="Q164" s="145"/>
      <c r="R164" s="145"/>
      <c r="S164" s="166">
        <v>414500</v>
      </c>
      <c r="T164" s="135"/>
      <c r="U164" s="135"/>
      <c r="V164" s="135"/>
      <c r="W164" s="135"/>
      <c r="X164" s="135"/>
      <c r="Y164" s="135"/>
      <c r="Z164" s="135"/>
      <c r="AA164" s="135"/>
      <c r="AB164" s="135"/>
      <c r="AC164" s="135"/>
      <c r="AD164" s="135"/>
      <c r="AE164" s="135"/>
      <c r="AF164" s="135"/>
      <c r="AG164" s="135"/>
    </row>
    <row r="165" spans="1:33" customFormat="1" ht="106.5">
      <c r="A165" s="135">
        <v>9</v>
      </c>
      <c r="B165" s="135">
        <v>7</v>
      </c>
      <c r="C165" s="164" t="s">
        <v>2506</v>
      </c>
      <c r="D165" s="145" t="s">
        <v>2507</v>
      </c>
      <c r="E165" s="145" t="s">
        <v>2508</v>
      </c>
      <c r="F165" s="145" t="s">
        <v>2509</v>
      </c>
      <c r="G165" s="145" t="s">
        <v>2510</v>
      </c>
      <c r="H165" s="145" t="s">
        <v>2511</v>
      </c>
      <c r="I165" s="145" t="s">
        <v>2512</v>
      </c>
      <c r="J165" s="145" t="s">
        <v>2513</v>
      </c>
      <c r="K165" s="145"/>
      <c r="L165" s="145" t="s">
        <v>2514</v>
      </c>
      <c r="M165" s="145"/>
      <c r="N165" s="145"/>
      <c r="O165" s="145"/>
      <c r="P165" s="145"/>
      <c r="Q165" s="145"/>
      <c r="R165" s="145"/>
      <c r="S165" s="166">
        <v>2474485</v>
      </c>
      <c r="T165" s="135"/>
      <c r="U165" s="135"/>
      <c r="V165" s="135"/>
      <c r="W165" s="135"/>
      <c r="X165" s="135"/>
      <c r="Y165" s="135"/>
      <c r="Z165" s="135"/>
      <c r="AA165" s="135"/>
      <c r="AB165" s="135"/>
      <c r="AC165" s="135"/>
      <c r="AD165" s="135"/>
      <c r="AE165" s="135"/>
      <c r="AF165" s="135"/>
      <c r="AG165" s="135"/>
    </row>
    <row r="166" spans="1:33" customFormat="1" ht="121.5">
      <c r="A166" s="135">
        <v>10</v>
      </c>
      <c r="B166" s="135">
        <v>7</v>
      </c>
      <c r="C166" s="164" t="s">
        <v>2515</v>
      </c>
      <c r="D166" s="145" t="s">
        <v>2516</v>
      </c>
      <c r="E166" s="145" t="s">
        <v>2517</v>
      </c>
      <c r="F166" s="145" t="s">
        <v>2518</v>
      </c>
      <c r="G166" s="145" t="s">
        <v>2519</v>
      </c>
      <c r="H166" s="145" t="s">
        <v>2520</v>
      </c>
      <c r="I166" s="145" t="s">
        <v>2521</v>
      </c>
      <c r="J166" s="145" t="s">
        <v>2522</v>
      </c>
      <c r="K166" s="145" t="s">
        <v>2523</v>
      </c>
      <c r="L166" s="145" t="s">
        <v>2524</v>
      </c>
      <c r="M166" s="145"/>
      <c r="N166" s="145"/>
      <c r="O166" s="145"/>
      <c r="P166" s="145"/>
      <c r="Q166" s="145"/>
      <c r="R166" s="145"/>
      <c r="S166" s="166">
        <v>0</v>
      </c>
      <c r="T166" s="135"/>
      <c r="U166" s="135"/>
      <c r="V166" s="135"/>
      <c r="W166" s="135"/>
      <c r="X166" s="135"/>
      <c r="Y166" s="135"/>
      <c r="Z166" s="135"/>
      <c r="AA166" s="135"/>
      <c r="AB166" s="135"/>
      <c r="AC166" s="135"/>
      <c r="AD166" s="135"/>
      <c r="AE166" s="135"/>
      <c r="AF166" s="135"/>
      <c r="AG166" s="135"/>
    </row>
    <row r="167" spans="1:33" customFormat="1" ht="183">
      <c r="A167" s="135">
        <v>11</v>
      </c>
      <c r="B167" s="135">
        <v>7</v>
      </c>
      <c r="C167" s="164" t="s">
        <v>2525</v>
      </c>
      <c r="D167" s="145" t="s">
        <v>2526</v>
      </c>
      <c r="E167" s="145" t="s">
        <v>2527</v>
      </c>
      <c r="F167" s="145" t="s">
        <v>2528</v>
      </c>
      <c r="G167" s="145" t="s">
        <v>2529</v>
      </c>
      <c r="H167" s="145" t="s">
        <v>2530</v>
      </c>
      <c r="I167" s="145" t="s">
        <v>2531</v>
      </c>
      <c r="J167" s="145" t="s">
        <v>2532</v>
      </c>
      <c r="K167" s="145" t="s">
        <v>2533</v>
      </c>
      <c r="L167" s="145" t="s">
        <v>2534</v>
      </c>
      <c r="M167" s="145"/>
      <c r="N167" s="145"/>
      <c r="O167" s="145"/>
      <c r="P167" s="145"/>
      <c r="Q167" s="145"/>
      <c r="R167" s="145"/>
      <c r="S167" s="166">
        <f>1302/60*30000+1000000+1064000</f>
        <v>2715000</v>
      </c>
      <c r="T167" s="135"/>
      <c r="U167" s="135"/>
      <c r="V167" s="135"/>
      <c r="W167" s="135"/>
      <c r="X167" s="135"/>
      <c r="Y167" s="135"/>
      <c r="Z167" s="135"/>
      <c r="AA167" s="135"/>
      <c r="AB167" s="135"/>
      <c r="AC167" s="135"/>
      <c r="AD167" s="135"/>
      <c r="AE167" s="135"/>
      <c r="AF167" s="135"/>
      <c r="AG167" s="135"/>
    </row>
    <row r="168" spans="1:33" customFormat="1" ht="229.5">
      <c r="A168" s="135">
        <v>12</v>
      </c>
      <c r="B168" s="135">
        <v>7</v>
      </c>
      <c r="C168" s="164" t="s">
        <v>2535</v>
      </c>
      <c r="D168" s="145" t="s">
        <v>2536</v>
      </c>
      <c r="E168" s="145" t="s">
        <v>2537</v>
      </c>
      <c r="F168" s="145" t="s">
        <v>2538</v>
      </c>
      <c r="G168" s="145" t="s">
        <v>2539</v>
      </c>
      <c r="H168" s="145" t="s">
        <v>2540</v>
      </c>
      <c r="I168" s="145" t="s">
        <v>2541</v>
      </c>
      <c r="J168" s="145" t="s">
        <v>2542</v>
      </c>
      <c r="K168" s="145" t="s">
        <v>2543</v>
      </c>
      <c r="L168" s="145"/>
      <c r="M168" s="145"/>
      <c r="N168" s="145"/>
      <c r="O168" s="145"/>
      <c r="P168" s="145"/>
      <c r="Q168" s="145"/>
      <c r="R168" s="145"/>
      <c r="S168" s="166">
        <v>321600</v>
      </c>
      <c r="T168" s="135"/>
      <c r="U168" s="135"/>
      <c r="V168" s="135"/>
      <c r="W168" s="135"/>
      <c r="X168" s="135"/>
      <c r="Y168" s="135"/>
      <c r="Z168" s="135"/>
      <c r="AA168" s="135"/>
      <c r="AB168" s="135"/>
      <c r="AC168" s="135"/>
      <c r="AD168" s="135"/>
      <c r="AE168" s="135"/>
      <c r="AF168" s="135"/>
      <c r="AG168" s="135"/>
    </row>
    <row r="169" spans="1:33" customFormat="1" ht="167.25">
      <c r="A169" s="135">
        <v>13</v>
      </c>
      <c r="B169" s="135">
        <v>7</v>
      </c>
      <c r="C169" s="164" t="s">
        <v>2544</v>
      </c>
      <c r="D169" s="145" t="s">
        <v>2545</v>
      </c>
      <c r="E169" s="145" t="s">
        <v>2546</v>
      </c>
      <c r="F169" s="145" t="s">
        <v>2547</v>
      </c>
      <c r="G169" s="145" t="s">
        <v>2548</v>
      </c>
      <c r="H169" s="145" t="s">
        <v>2549</v>
      </c>
      <c r="I169" s="154" t="s">
        <v>2550</v>
      </c>
      <c r="J169" s="145" t="s">
        <v>2551</v>
      </c>
      <c r="K169" s="145" t="s">
        <v>2552</v>
      </c>
      <c r="L169" s="145" t="s">
        <v>2553</v>
      </c>
      <c r="M169" s="145"/>
      <c r="N169" s="145"/>
      <c r="O169" s="145"/>
      <c r="P169" s="145"/>
      <c r="Q169" s="145"/>
      <c r="R169" s="145"/>
      <c r="S169" s="166">
        <f>(2+4/60+38/3600)*30000</f>
        <v>62316.666666666672</v>
      </c>
      <c r="T169" s="135"/>
      <c r="U169" s="135"/>
      <c r="V169" s="135"/>
      <c r="W169" s="135"/>
      <c r="X169" s="135"/>
      <c r="Y169" s="135"/>
      <c r="Z169" s="135"/>
      <c r="AA169" s="135"/>
      <c r="AB169" s="135"/>
      <c r="AC169" s="135"/>
      <c r="AD169" s="135"/>
      <c r="AE169" s="135"/>
      <c r="AF169" s="135"/>
      <c r="AG169" s="135"/>
    </row>
    <row r="170" spans="1:33" customFormat="1" ht="60.75">
      <c r="A170" s="135">
        <v>14</v>
      </c>
      <c r="B170" s="135">
        <v>7</v>
      </c>
      <c r="C170" s="164" t="s">
        <v>2554</v>
      </c>
      <c r="D170" s="145" t="s">
        <v>2555</v>
      </c>
      <c r="E170" s="145" t="s">
        <v>2556</v>
      </c>
      <c r="F170" s="145" t="s">
        <v>2557</v>
      </c>
      <c r="G170" s="145" t="s">
        <v>2558</v>
      </c>
      <c r="H170" s="145" t="s">
        <v>2559</v>
      </c>
      <c r="I170" s="145" t="s">
        <v>2560</v>
      </c>
      <c r="J170" s="145" t="s">
        <v>2561</v>
      </c>
      <c r="K170" s="145" t="s">
        <v>2562</v>
      </c>
      <c r="L170" s="145" t="s">
        <v>2563</v>
      </c>
      <c r="M170" s="145"/>
      <c r="N170" s="145"/>
      <c r="O170" s="145"/>
      <c r="P170" s="145"/>
      <c r="Q170" s="145"/>
      <c r="R170" s="145"/>
      <c r="S170" s="166">
        <f>506/60*30000</f>
        <v>253000</v>
      </c>
      <c r="T170" s="135"/>
      <c r="U170" s="135"/>
      <c r="V170" s="135"/>
      <c r="W170" s="135"/>
      <c r="X170" s="135"/>
      <c r="Y170" s="135"/>
      <c r="Z170" s="135"/>
      <c r="AA170" s="135"/>
      <c r="AB170" s="135"/>
      <c r="AC170" s="135"/>
      <c r="AD170" s="135"/>
      <c r="AE170" s="135"/>
      <c r="AF170" s="135"/>
      <c r="AG170" s="135"/>
    </row>
    <row r="171" spans="1:33" customFormat="1" ht="183">
      <c r="A171" s="135">
        <v>15</v>
      </c>
      <c r="B171" s="135">
        <v>7</v>
      </c>
      <c r="C171" s="164" t="s">
        <v>2564</v>
      </c>
      <c r="D171" s="145" t="s">
        <v>2565</v>
      </c>
      <c r="E171" s="145" t="s">
        <v>2566</v>
      </c>
      <c r="F171" s="145" t="s">
        <v>2567</v>
      </c>
      <c r="G171" s="145" t="s">
        <v>2568</v>
      </c>
      <c r="H171" s="145" t="s">
        <v>2569</v>
      </c>
      <c r="I171" s="145" t="s">
        <v>2570</v>
      </c>
      <c r="J171" s="145" t="s">
        <v>2571</v>
      </c>
      <c r="K171" s="145" t="s">
        <v>2572</v>
      </c>
      <c r="L171" s="145" t="s">
        <v>2573</v>
      </c>
      <c r="M171" s="145"/>
      <c r="N171" s="145"/>
      <c r="O171" s="145"/>
      <c r="P171" s="145"/>
      <c r="Q171" s="145"/>
      <c r="R171" s="145"/>
      <c r="S171" s="166">
        <v>1320064</v>
      </c>
      <c r="T171" s="135"/>
      <c r="U171" s="135"/>
      <c r="V171" s="135"/>
      <c r="W171" s="135"/>
      <c r="X171" s="135"/>
      <c r="Y171" s="135"/>
      <c r="Z171" s="135"/>
      <c r="AA171" s="135"/>
      <c r="AB171" s="135"/>
      <c r="AC171" s="135"/>
      <c r="AD171" s="135"/>
      <c r="AE171" s="135"/>
      <c r="AF171" s="135"/>
      <c r="AG171" s="135"/>
    </row>
    <row r="172" spans="1:33" customFormat="1" ht="305.25">
      <c r="A172" s="135">
        <v>16</v>
      </c>
      <c r="B172" s="135">
        <v>7</v>
      </c>
      <c r="C172" s="164" t="s">
        <v>2574</v>
      </c>
      <c r="D172" s="145" t="s">
        <v>2575</v>
      </c>
      <c r="E172" s="145" t="s">
        <v>2576</v>
      </c>
      <c r="F172" s="145" t="s">
        <v>2577</v>
      </c>
      <c r="G172" s="145" t="s">
        <v>2578</v>
      </c>
      <c r="H172" s="145" t="s">
        <v>2579</v>
      </c>
      <c r="I172" s="145" t="s">
        <v>2580</v>
      </c>
      <c r="J172" s="145" t="s">
        <v>2581</v>
      </c>
      <c r="K172" s="145" t="s">
        <v>2582</v>
      </c>
      <c r="L172" s="145" t="s">
        <v>2583</v>
      </c>
      <c r="M172" s="145"/>
      <c r="N172" s="145"/>
      <c r="O172" s="145"/>
      <c r="P172" s="145"/>
      <c r="Q172" s="145"/>
      <c r="R172" s="145"/>
      <c r="S172" s="166">
        <v>18171460.326407354</v>
      </c>
      <c r="T172" s="135"/>
      <c r="U172" s="135"/>
      <c r="V172" s="135"/>
      <c r="W172" s="135"/>
      <c r="X172" s="135"/>
      <c r="Y172" s="135"/>
      <c r="Z172" s="135"/>
      <c r="AA172" s="135"/>
      <c r="AB172" s="135"/>
      <c r="AC172" s="135"/>
      <c r="AD172" s="135"/>
      <c r="AE172" s="135"/>
      <c r="AF172" s="135"/>
      <c r="AG172" s="135">
        <v>33493031</v>
      </c>
    </row>
    <row r="173" spans="1:33" customFormat="1" ht="91.5">
      <c r="A173" s="135">
        <v>17</v>
      </c>
      <c r="B173" s="135">
        <v>7</v>
      </c>
      <c r="C173" s="164" t="s">
        <v>2584</v>
      </c>
      <c r="D173" s="145" t="s">
        <v>2585</v>
      </c>
      <c r="E173" s="145" t="s">
        <v>2586</v>
      </c>
      <c r="F173" s="145" t="s">
        <v>2587</v>
      </c>
      <c r="G173" s="145" t="s">
        <v>2588</v>
      </c>
      <c r="H173" s="145" t="s">
        <v>2589</v>
      </c>
      <c r="I173" s="145" t="s">
        <v>2590</v>
      </c>
      <c r="J173" s="145" t="s">
        <v>2591</v>
      </c>
      <c r="K173" s="145"/>
      <c r="L173" s="145"/>
      <c r="M173" s="145"/>
      <c r="N173" s="145"/>
      <c r="O173" s="145"/>
      <c r="P173" s="145"/>
      <c r="Q173" s="145"/>
      <c r="R173" s="145"/>
      <c r="S173" s="166">
        <v>0</v>
      </c>
      <c r="T173" s="135"/>
      <c r="U173" s="135"/>
      <c r="V173" s="135"/>
      <c r="W173" s="135"/>
      <c r="X173" s="135"/>
      <c r="Y173" s="135"/>
      <c r="Z173" s="135"/>
      <c r="AA173" s="135"/>
      <c r="AB173" s="135"/>
      <c r="AC173" s="135"/>
      <c r="AD173" s="135"/>
      <c r="AE173" s="135"/>
      <c r="AF173" s="135"/>
      <c r="AG173" s="135"/>
    </row>
    <row r="174" spans="1:33" customFormat="1" ht="76.5">
      <c r="A174" s="135">
        <v>18</v>
      </c>
      <c r="B174" s="135">
        <v>7</v>
      </c>
      <c r="C174" s="164" t="s">
        <v>2592</v>
      </c>
      <c r="D174" s="145" t="s">
        <v>2593</v>
      </c>
      <c r="E174" s="145" t="s">
        <v>2594</v>
      </c>
      <c r="F174" s="145" t="s">
        <v>2595</v>
      </c>
      <c r="G174" s="145" t="s">
        <v>2596</v>
      </c>
      <c r="H174" s="145" t="s">
        <v>2597</v>
      </c>
      <c r="I174" s="145" t="s">
        <v>2598</v>
      </c>
      <c r="J174" s="145" t="s">
        <v>2599</v>
      </c>
      <c r="K174" s="145" t="s">
        <v>2600</v>
      </c>
      <c r="L174" s="145" t="s">
        <v>2601</v>
      </c>
      <c r="M174" s="145"/>
      <c r="N174" s="145"/>
      <c r="O174" s="145"/>
      <c r="P174" s="145"/>
      <c r="Q174" s="145"/>
      <c r="R174" s="145"/>
      <c r="S174" s="166">
        <v>90000</v>
      </c>
      <c r="T174" s="135"/>
      <c r="U174" s="135"/>
      <c r="V174" s="135"/>
      <c r="W174" s="135"/>
      <c r="X174" s="135"/>
      <c r="Y174" s="135"/>
      <c r="Z174" s="135"/>
      <c r="AA174" s="135"/>
      <c r="AB174" s="135"/>
      <c r="AC174" s="135"/>
      <c r="AD174" s="135"/>
      <c r="AE174" s="135"/>
      <c r="AF174" s="135"/>
      <c r="AG174" s="135">
        <v>900000</v>
      </c>
    </row>
    <row r="175" spans="1:33" customFormat="1" ht="106.5">
      <c r="A175" s="135">
        <v>19</v>
      </c>
      <c r="B175" s="135">
        <v>7</v>
      </c>
      <c r="C175" s="164" t="s">
        <v>2602</v>
      </c>
      <c r="D175" s="145" t="s">
        <v>2603</v>
      </c>
      <c r="E175" s="145" t="s">
        <v>2604</v>
      </c>
      <c r="F175" s="145" t="s">
        <v>2605</v>
      </c>
      <c r="G175" s="145" t="s">
        <v>2606</v>
      </c>
      <c r="H175" s="145" t="s">
        <v>2607</v>
      </c>
      <c r="I175" s="145" t="s">
        <v>2608</v>
      </c>
      <c r="J175" s="145" t="s">
        <v>2609</v>
      </c>
      <c r="K175" s="145" t="s">
        <v>2610</v>
      </c>
      <c r="L175" s="145" t="s">
        <v>2611</v>
      </c>
      <c r="M175" s="145"/>
      <c r="N175" s="145"/>
      <c r="O175" s="145"/>
      <c r="P175" s="145"/>
      <c r="Q175" s="145"/>
      <c r="R175" s="145"/>
      <c r="S175" s="166">
        <v>2630454</v>
      </c>
      <c r="T175" s="135"/>
      <c r="U175" s="135"/>
      <c r="V175" s="135"/>
      <c r="W175" s="135"/>
      <c r="X175" s="135"/>
      <c r="Y175" s="135"/>
      <c r="Z175" s="135"/>
      <c r="AA175" s="135"/>
      <c r="AB175" s="135"/>
      <c r="AC175" s="135"/>
      <c r="AD175" s="135"/>
      <c r="AE175" s="135"/>
      <c r="AF175" s="135"/>
      <c r="AG175" s="135"/>
    </row>
    <row r="176" spans="1:33" customFormat="1" ht="91.5">
      <c r="A176" s="135">
        <v>20</v>
      </c>
      <c r="B176" s="135">
        <v>7</v>
      </c>
      <c r="C176" s="164" t="s">
        <v>1482</v>
      </c>
      <c r="D176" s="145" t="s">
        <v>2612</v>
      </c>
      <c r="E176" s="145" t="s">
        <v>2613</v>
      </c>
      <c r="F176" s="145" t="s">
        <v>2614</v>
      </c>
      <c r="G176" s="145" t="s">
        <v>2615</v>
      </c>
      <c r="H176" s="145" t="s">
        <v>2616</v>
      </c>
      <c r="I176" s="145" t="s">
        <v>2617</v>
      </c>
      <c r="J176" s="145" t="s">
        <v>2618</v>
      </c>
      <c r="K176" s="145" t="s">
        <v>2619</v>
      </c>
      <c r="L176" s="145" t="s">
        <v>2620</v>
      </c>
      <c r="M176" s="145"/>
      <c r="N176" s="145"/>
      <c r="O176" s="145"/>
      <c r="P176" s="145"/>
      <c r="Q176" s="145"/>
      <c r="R176" s="145"/>
      <c r="S176" s="166">
        <v>0</v>
      </c>
      <c r="T176" s="135"/>
      <c r="U176" s="135"/>
      <c r="V176" s="135"/>
      <c r="W176" s="135"/>
      <c r="X176" s="135"/>
      <c r="Y176" s="135"/>
      <c r="Z176" s="135"/>
      <c r="AA176" s="135"/>
      <c r="AB176" s="135"/>
      <c r="AC176" s="135"/>
      <c r="AD176" s="135"/>
      <c r="AE176" s="135"/>
      <c r="AF176" s="135"/>
      <c r="AG176" s="135"/>
    </row>
    <row r="177" spans="1:33" customFormat="1" ht="183">
      <c r="A177" s="135">
        <v>21</v>
      </c>
      <c r="B177" s="135">
        <v>7</v>
      </c>
      <c r="C177" s="164" t="s">
        <v>1488</v>
      </c>
      <c r="D177" s="145" t="s">
        <v>2621</v>
      </c>
      <c r="E177" s="145" t="s">
        <v>2622</v>
      </c>
      <c r="F177" s="145" t="s">
        <v>2623</v>
      </c>
      <c r="G177" s="145" t="s">
        <v>2624</v>
      </c>
      <c r="H177" s="145" t="s">
        <v>2625</v>
      </c>
      <c r="I177" s="145" t="s">
        <v>2626</v>
      </c>
      <c r="J177" s="145" t="s">
        <v>2627</v>
      </c>
      <c r="K177" s="145" t="s">
        <v>2628</v>
      </c>
      <c r="L177" s="145" t="s">
        <v>2629</v>
      </c>
      <c r="M177" s="145"/>
      <c r="N177" s="145"/>
      <c r="O177" s="145"/>
      <c r="P177" s="145"/>
      <c r="Q177" s="145"/>
      <c r="R177" s="145"/>
      <c r="S177" s="166">
        <f>27.41*30000</f>
        <v>822300</v>
      </c>
      <c r="T177" s="135"/>
      <c r="U177" s="135"/>
      <c r="V177" s="135"/>
      <c r="W177" s="135"/>
      <c r="X177" s="135"/>
      <c r="Y177" s="135"/>
      <c r="Z177" s="135"/>
      <c r="AA177" s="135"/>
      <c r="AB177" s="135"/>
      <c r="AC177" s="135"/>
      <c r="AD177" s="135"/>
      <c r="AE177" s="135"/>
      <c r="AF177" s="135"/>
      <c r="AG177" s="135"/>
    </row>
    <row r="178" spans="1:33" customFormat="1" ht="91.5">
      <c r="A178" s="135">
        <v>22</v>
      </c>
      <c r="B178" s="135">
        <v>7</v>
      </c>
      <c r="C178" s="164" t="s">
        <v>2630</v>
      </c>
      <c r="D178" s="145" t="s">
        <v>2631</v>
      </c>
      <c r="E178" s="145" t="s">
        <v>2632</v>
      </c>
      <c r="F178" s="145" t="s">
        <v>2633</v>
      </c>
      <c r="G178" s="145"/>
      <c r="H178" s="145" t="s">
        <v>2634</v>
      </c>
      <c r="I178" s="145" t="s">
        <v>2635</v>
      </c>
      <c r="J178" s="145" t="s">
        <v>2636</v>
      </c>
      <c r="K178" s="145"/>
      <c r="L178" s="145"/>
      <c r="M178" s="145"/>
      <c r="N178" s="145"/>
      <c r="O178" s="145"/>
      <c r="P178" s="145"/>
      <c r="Q178" s="145"/>
      <c r="R178" s="145"/>
      <c r="S178" s="166">
        <f>4.62*30000</f>
        <v>138600</v>
      </c>
      <c r="T178" s="135"/>
      <c r="U178" s="135"/>
      <c r="V178" s="135"/>
      <c r="W178" s="135"/>
      <c r="X178" s="135"/>
      <c r="Y178" s="135"/>
      <c r="Z178" s="135"/>
      <c r="AA178" s="135"/>
      <c r="AB178" s="135"/>
      <c r="AC178" s="135"/>
      <c r="AD178" s="135"/>
      <c r="AE178" s="135"/>
      <c r="AF178" s="135"/>
      <c r="AG178" s="135"/>
    </row>
    <row r="179" spans="1:33" customFormat="1" ht="106.5">
      <c r="A179" s="135">
        <v>1</v>
      </c>
      <c r="B179" s="135">
        <v>8</v>
      </c>
      <c r="C179" s="164" t="s">
        <v>2426</v>
      </c>
      <c r="D179" s="145" t="s">
        <v>2637</v>
      </c>
      <c r="E179" s="145" t="s">
        <v>2638</v>
      </c>
      <c r="F179" s="145" t="s">
        <v>2639</v>
      </c>
      <c r="G179" s="145" t="s">
        <v>2640</v>
      </c>
      <c r="H179" s="145" t="s">
        <v>2641</v>
      </c>
      <c r="I179" s="145" t="s">
        <v>2642</v>
      </c>
      <c r="J179" s="145" t="s">
        <v>2643</v>
      </c>
      <c r="K179" s="145"/>
      <c r="L179" s="145" t="s">
        <v>2644</v>
      </c>
      <c r="M179" s="145"/>
      <c r="N179" s="145"/>
      <c r="O179" s="145"/>
      <c r="P179" s="145"/>
      <c r="Q179" s="145"/>
      <c r="R179" s="145"/>
      <c r="S179" s="166">
        <v>0</v>
      </c>
      <c r="T179" s="135"/>
      <c r="U179" s="135"/>
      <c r="V179" s="135"/>
      <c r="W179" s="135"/>
      <c r="X179" s="135"/>
      <c r="Y179" s="135"/>
      <c r="Z179" s="135"/>
      <c r="AA179" s="135"/>
      <c r="AB179" s="135"/>
      <c r="AC179" s="135"/>
      <c r="AD179" s="135"/>
      <c r="AE179" s="135"/>
      <c r="AF179" s="135"/>
      <c r="AG179" s="135"/>
    </row>
    <row r="180" spans="1:33" customFormat="1" ht="45.75">
      <c r="A180" s="135">
        <v>2</v>
      </c>
      <c r="B180" s="135">
        <v>8</v>
      </c>
      <c r="C180" s="164" t="s">
        <v>2436</v>
      </c>
      <c r="D180" s="145"/>
      <c r="E180" s="145"/>
      <c r="F180" s="145"/>
      <c r="G180" s="145"/>
      <c r="H180" s="145"/>
      <c r="I180" s="145"/>
      <c r="J180" s="145"/>
      <c r="K180" s="145"/>
      <c r="L180" s="145"/>
      <c r="M180" s="145"/>
      <c r="N180" s="145"/>
      <c r="O180" s="145"/>
      <c r="P180" s="145"/>
      <c r="Q180" s="145"/>
      <c r="R180" s="145"/>
      <c r="S180" s="166">
        <v>0</v>
      </c>
      <c r="T180" s="135"/>
      <c r="U180" s="135"/>
      <c r="V180" s="135"/>
      <c r="W180" s="135"/>
      <c r="X180" s="135"/>
      <c r="Y180" s="135"/>
      <c r="Z180" s="135"/>
      <c r="AA180" s="135"/>
      <c r="AB180" s="135"/>
      <c r="AC180" s="135"/>
      <c r="AD180" s="135"/>
      <c r="AE180" s="135"/>
      <c r="AF180" s="135"/>
      <c r="AG180" s="135"/>
    </row>
    <row r="181" spans="1:33" customFormat="1" ht="91.5">
      <c r="A181" s="135">
        <v>3</v>
      </c>
      <c r="B181" s="135">
        <v>8</v>
      </c>
      <c r="C181" s="164" t="s">
        <v>2446</v>
      </c>
      <c r="D181" s="145" t="s">
        <v>2645</v>
      </c>
      <c r="E181" s="145" t="s">
        <v>2646</v>
      </c>
      <c r="F181" s="145" t="s">
        <v>2647</v>
      </c>
      <c r="G181" s="145" t="s">
        <v>2648</v>
      </c>
      <c r="H181" s="145" t="s">
        <v>2649</v>
      </c>
      <c r="I181" s="145" t="s">
        <v>2650</v>
      </c>
      <c r="J181" s="145" t="s">
        <v>2651</v>
      </c>
      <c r="K181" s="145" t="s">
        <v>2652</v>
      </c>
      <c r="L181" s="145" t="s">
        <v>2653</v>
      </c>
      <c r="M181" s="145"/>
      <c r="N181" s="145"/>
      <c r="O181" s="145"/>
      <c r="P181" s="145"/>
      <c r="Q181" s="145"/>
      <c r="R181" s="145"/>
      <c r="S181" s="166">
        <v>0</v>
      </c>
      <c r="T181" s="135"/>
      <c r="U181" s="135"/>
      <c r="V181" s="135"/>
      <c r="W181" s="135"/>
      <c r="X181" s="135"/>
      <c r="Y181" s="135"/>
      <c r="Z181" s="135"/>
      <c r="AA181" s="135"/>
      <c r="AB181" s="135"/>
      <c r="AC181" s="135"/>
      <c r="AD181" s="135"/>
      <c r="AE181" s="135"/>
      <c r="AF181" s="135"/>
      <c r="AG181" s="135"/>
    </row>
    <row r="182" spans="1:33" customFormat="1" ht="106.5">
      <c r="A182" s="135">
        <v>4</v>
      </c>
      <c r="B182" s="135">
        <v>8</v>
      </c>
      <c r="C182" s="164" t="s">
        <v>2456</v>
      </c>
      <c r="D182" s="145" t="s">
        <v>2654</v>
      </c>
      <c r="E182" s="145" t="s">
        <v>2655</v>
      </c>
      <c r="F182" s="145" t="s">
        <v>2656</v>
      </c>
      <c r="G182" s="145" t="s">
        <v>2657</v>
      </c>
      <c r="H182" s="145" t="s">
        <v>2658</v>
      </c>
      <c r="I182" s="145" t="s">
        <v>2659</v>
      </c>
      <c r="J182" s="145" t="s">
        <v>2660</v>
      </c>
      <c r="K182" s="145" t="s">
        <v>2661</v>
      </c>
      <c r="L182" s="145" t="s">
        <v>2662</v>
      </c>
      <c r="M182" s="145"/>
      <c r="N182" s="145"/>
      <c r="O182" s="145"/>
      <c r="P182" s="145"/>
      <c r="Q182" s="145"/>
      <c r="R182" s="145"/>
      <c r="S182" s="166">
        <v>531000</v>
      </c>
      <c r="T182" s="135"/>
      <c r="U182" s="135"/>
      <c r="V182" s="135"/>
      <c r="W182" s="135"/>
      <c r="X182" s="135"/>
      <c r="Y182" s="135"/>
      <c r="Z182" s="135"/>
      <c r="AA182" s="135"/>
      <c r="AB182" s="135"/>
      <c r="AC182" s="135"/>
      <c r="AD182" s="135"/>
      <c r="AE182" s="135"/>
      <c r="AF182" s="135"/>
      <c r="AG182" s="135"/>
    </row>
    <row r="183" spans="1:33" customFormat="1" ht="121.5">
      <c r="A183" s="135">
        <v>5</v>
      </c>
      <c r="B183" s="135">
        <v>8</v>
      </c>
      <c r="C183" s="164" t="s">
        <v>2466</v>
      </c>
      <c r="D183" s="145" t="s">
        <v>2663</v>
      </c>
      <c r="E183" s="145" t="s">
        <v>2664</v>
      </c>
      <c r="F183" s="145" t="s">
        <v>2665</v>
      </c>
      <c r="G183" s="145" t="s">
        <v>2666</v>
      </c>
      <c r="H183" s="145" t="s">
        <v>2667</v>
      </c>
      <c r="I183" s="145" t="s">
        <v>2668</v>
      </c>
      <c r="J183" s="145" t="s">
        <v>2669</v>
      </c>
      <c r="K183" s="145" t="s">
        <v>2670</v>
      </c>
      <c r="L183" s="145" t="s">
        <v>2671</v>
      </c>
      <c r="M183" s="145"/>
      <c r="N183" s="145"/>
      <c r="O183" s="145"/>
      <c r="P183" s="145"/>
      <c r="Q183" s="145"/>
      <c r="R183" s="145"/>
      <c r="S183" s="166">
        <f>220*30000</f>
        <v>6600000</v>
      </c>
      <c r="T183" s="135"/>
      <c r="U183" s="135"/>
      <c r="V183" s="135"/>
      <c r="W183" s="135"/>
      <c r="X183" s="135"/>
      <c r="Y183" s="135"/>
      <c r="Z183" s="135"/>
      <c r="AA183" s="135"/>
      <c r="AB183" s="135"/>
      <c r="AC183" s="135"/>
      <c r="AD183" s="135"/>
      <c r="AE183" s="135"/>
      <c r="AF183" s="135"/>
      <c r="AG183" s="135"/>
    </row>
    <row r="184" spans="1:33" customFormat="1" ht="45" customHeight="1">
      <c r="A184" s="135">
        <v>6</v>
      </c>
      <c r="B184" s="135">
        <v>8</v>
      </c>
      <c r="C184" s="164" t="s">
        <v>2476</v>
      </c>
      <c r="D184" s="145" t="s">
        <v>2672</v>
      </c>
      <c r="E184" s="145" t="s">
        <v>2673</v>
      </c>
      <c r="F184" s="145" t="s">
        <v>2674</v>
      </c>
      <c r="G184" s="145" t="s">
        <v>2675</v>
      </c>
      <c r="H184" s="145" t="s">
        <v>2676</v>
      </c>
      <c r="I184" s="145" t="s">
        <v>2677</v>
      </c>
      <c r="J184" s="145" t="s">
        <v>2678</v>
      </c>
      <c r="K184" s="145" t="s">
        <v>2679</v>
      </c>
      <c r="L184" s="145"/>
      <c r="M184" s="145"/>
      <c r="N184" s="145"/>
      <c r="O184" s="145"/>
      <c r="P184" s="145"/>
      <c r="Q184" s="145"/>
      <c r="R184" s="145"/>
      <c r="S184" s="166">
        <v>0</v>
      </c>
      <c r="T184" s="135"/>
      <c r="U184" s="135"/>
      <c r="V184" s="135"/>
      <c r="W184" s="135"/>
      <c r="X184" s="135"/>
      <c r="Y184" s="135"/>
      <c r="Z184" s="135"/>
      <c r="AA184" s="135"/>
      <c r="AB184" s="135"/>
      <c r="AC184" s="135"/>
      <c r="AD184" s="135"/>
      <c r="AE184" s="135"/>
      <c r="AF184" s="135"/>
      <c r="AG184" s="135"/>
    </row>
    <row r="185" spans="1:33" customFormat="1" ht="60.75">
      <c r="A185" s="135">
        <v>7</v>
      </c>
      <c r="B185" s="135">
        <v>8</v>
      </c>
      <c r="C185" s="164" t="s">
        <v>2486</v>
      </c>
      <c r="D185" s="145" t="s">
        <v>2680</v>
      </c>
      <c r="E185" s="145" t="s">
        <v>2681</v>
      </c>
      <c r="F185" s="145" t="s">
        <v>2682</v>
      </c>
      <c r="G185" s="145" t="s">
        <v>2683</v>
      </c>
      <c r="H185" s="145" t="s">
        <v>2684</v>
      </c>
      <c r="I185" s="145"/>
      <c r="J185" s="145"/>
      <c r="K185" s="145"/>
      <c r="L185" s="145"/>
      <c r="M185" s="145"/>
      <c r="N185" s="145"/>
      <c r="O185" s="145"/>
      <c r="P185" s="145"/>
      <c r="Q185" s="145"/>
      <c r="R185" s="145"/>
      <c r="S185" s="166">
        <v>0</v>
      </c>
      <c r="T185" s="135"/>
      <c r="U185" s="135"/>
      <c r="V185" s="135"/>
      <c r="W185" s="135"/>
      <c r="X185" s="135"/>
      <c r="Y185" s="135"/>
      <c r="Z185" s="135"/>
      <c r="AA185" s="135"/>
      <c r="AB185" s="135"/>
      <c r="AC185" s="135"/>
      <c r="AD185" s="135"/>
      <c r="AE185" s="135"/>
      <c r="AF185" s="135"/>
      <c r="AG185" s="135"/>
    </row>
    <row r="186" spans="1:33" customFormat="1" ht="30.75">
      <c r="A186" s="135">
        <v>8</v>
      </c>
      <c r="B186" s="135">
        <v>8</v>
      </c>
      <c r="C186" s="164" t="s">
        <v>2496</v>
      </c>
      <c r="D186" s="145"/>
      <c r="E186" s="145"/>
      <c r="F186" s="145"/>
      <c r="G186" s="145"/>
      <c r="H186" s="145"/>
      <c r="I186" s="145"/>
      <c r="J186" s="145"/>
      <c r="K186" s="145"/>
      <c r="L186" s="145"/>
      <c r="M186" s="145"/>
      <c r="N186" s="145"/>
      <c r="O186" s="145"/>
      <c r="P186" s="145"/>
      <c r="Q186" s="145"/>
      <c r="R186" s="145"/>
      <c r="S186" s="166">
        <v>0</v>
      </c>
      <c r="T186" s="135"/>
      <c r="U186" s="135"/>
      <c r="V186" s="135"/>
      <c r="W186" s="135"/>
      <c r="X186" s="135"/>
      <c r="Y186" s="135"/>
      <c r="Z186" s="135"/>
      <c r="AA186" s="135"/>
      <c r="AB186" s="135"/>
      <c r="AC186" s="135"/>
      <c r="AD186" s="135"/>
      <c r="AE186" s="135"/>
      <c r="AF186" s="135"/>
      <c r="AG186" s="135"/>
    </row>
    <row r="187" spans="1:33" customFormat="1" ht="45.75">
      <c r="A187" s="135">
        <v>9</v>
      </c>
      <c r="B187" s="135">
        <v>8</v>
      </c>
      <c r="C187" s="164" t="s">
        <v>2506</v>
      </c>
      <c r="D187" s="145"/>
      <c r="E187" s="145"/>
      <c r="F187" s="145"/>
      <c r="G187" s="145"/>
      <c r="H187" s="145"/>
      <c r="I187" s="145"/>
      <c r="J187" s="145"/>
      <c r="K187" s="145"/>
      <c r="L187" s="145"/>
      <c r="M187" s="145"/>
      <c r="N187" s="145"/>
      <c r="O187" s="145"/>
      <c r="P187" s="145"/>
      <c r="Q187" s="145"/>
      <c r="R187" s="145"/>
      <c r="S187" s="166">
        <v>0</v>
      </c>
      <c r="T187" s="135"/>
      <c r="U187" s="135"/>
      <c r="V187" s="135"/>
      <c r="W187" s="135"/>
      <c r="X187" s="135"/>
      <c r="Y187" s="135"/>
      <c r="Z187" s="135"/>
      <c r="AA187" s="135"/>
      <c r="AB187" s="135"/>
      <c r="AC187" s="135"/>
      <c r="AD187" s="135"/>
      <c r="AE187" s="135"/>
      <c r="AF187" s="135"/>
      <c r="AG187" s="135"/>
    </row>
    <row r="188" spans="1:33" customFormat="1" ht="45.75">
      <c r="A188" s="135">
        <v>10</v>
      </c>
      <c r="B188" s="135">
        <v>8</v>
      </c>
      <c r="C188" s="164" t="s">
        <v>2515</v>
      </c>
      <c r="D188" s="145"/>
      <c r="E188" s="145"/>
      <c r="F188" s="145"/>
      <c r="G188" s="145"/>
      <c r="H188" s="145"/>
      <c r="I188" s="145"/>
      <c r="J188" s="145"/>
      <c r="K188" s="145"/>
      <c r="L188" s="145"/>
      <c r="M188" s="145"/>
      <c r="N188" s="145"/>
      <c r="O188" s="145"/>
      <c r="P188" s="145"/>
      <c r="Q188" s="145"/>
      <c r="R188" s="145"/>
      <c r="S188" s="166">
        <v>0</v>
      </c>
      <c r="T188" s="135"/>
      <c r="U188" s="135"/>
      <c r="V188" s="135"/>
      <c r="W188" s="135"/>
      <c r="X188" s="135"/>
      <c r="Y188" s="135"/>
      <c r="Z188" s="135"/>
      <c r="AA188" s="135"/>
      <c r="AB188" s="135"/>
      <c r="AC188" s="135"/>
      <c r="AD188" s="135"/>
      <c r="AE188" s="135"/>
      <c r="AF188" s="135"/>
      <c r="AG188" s="135"/>
    </row>
    <row r="189" spans="1:33" customFormat="1" ht="137.25">
      <c r="A189" s="135">
        <v>11</v>
      </c>
      <c r="B189" s="135">
        <v>8</v>
      </c>
      <c r="C189" s="164" t="s">
        <v>2525</v>
      </c>
      <c r="D189" s="145" t="s">
        <v>2685</v>
      </c>
      <c r="E189" s="145" t="s">
        <v>2686</v>
      </c>
      <c r="F189" s="145" t="s">
        <v>2687</v>
      </c>
      <c r="G189" s="145" t="s">
        <v>2688</v>
      </c>
      <c r="H189" s="145" t="s">
        <v>2689</v>
      </c>
      <c r="I189" s="145" t="s">
        <v>2690</v>
      </c>
      <c r="J189" s="145" t="s">
        <v>2691</v>
      </c>
      <c r="K189" s="145" t="s">
        <v>2692</v>
      </c>
      <c r="L189" s="145" t="s">
        <v>2693</v>
      </c>
      <c r="M189" s="145"/>
      <c r="N189" s="145"/>
      <c r="O189" s="145"/>
      <c r="P189" s="145"/>
      <c r="Q189" s="145"/>
      <c r="R189" s="145"/>
      <c r="S189" s="166">
        <v>58020</v>
      </c>
      <c r="T189" s="135"/>
      <c r="U189" s="135"/>
      <c r="V189" s="135"/>
      <c r="W189" s="135"/>
      <c r="X189" s="135"/>
      <c r="Y189" s="135"/>
      <c r="Z189" s="135"/>
      <c r="AA189" s="135"/>
      <c r="AB189" s="135"/>
      <c r="AC189" s="135"/>
      <c r="AD189" s="135"/>
      <c r="AE189" s="135"/>
      <c r="AF189" s="135"/>
      <c r="AG189" s="135"/>
    </row>
    <row r="190" spans="1:33" customFormat="1" ht="183">
      <c r="A190" s="135">
        <v>12</v>
      </c>
      <c r="B190" s="135">
        <v>8</v>
      </c>
      <c r="C190" s="164" t="s">
        <v>2535</v>
      </c>
      <c r="D190" s="145" t="s">
        <v>2536</v>
      </c>
      <c r="E190" s="145" t="s">
        <v>2694</v>
      </c>
      <c r="F190" s="145" t="s">
        <v>2695</v>
      </c>
      <c r="G190" s="145" t="s">
        <v>2696</v>
      </c>
      <c r="H190" s="145" t="s">
        <v>2697</v>
      </c>
      <c r="I190" s="145" t="s">
        <v>2698</v>
      </c>
      <c r="J190" s="145" t="s">
        <v>2699</v>
      </c>
      <c r="K190" s="145" t="s">
        <v>2700</v>
      </c>
      <c r="L190" s="145" t="s">
        <v>2701</v>
      </c>
      <c r="M190" s="145"/>
      <c r="N190" s="145"/>
      <c r="O190" s="145"/>
      <c r="P190" s="145"/>
      <c r="Q190" s="145"/>
      <c r="R190" s="145"/>
      <c r="S190" s="166">
        <v>0</v>
      </c>
      <c r="T190" s="135"/>
      <c r="U190" s="135"/>
      <c r="V190" s="135"/>
      <c r="W190" s="135"/>
      <c r="X190" s="135"/>
      <c r="Y190" s="135"/>
      <c r="Z190" s="135"/>
      <c r="AA190" s="135"/>
      <c r="AB190" s="135"/>
      <c r="AC190" s="135"/>
      <c r="AD190" s="135"/>
      <c r="AE190" s="135"/>
      <c r="AF190" s="135"/>
      <c r="AG190" s="135"/>
    </row>
    <row r="191" spans="1:33" customFormat="1" ht="152.25">
      <c r="A191" s="135">
        <v>13</v>
      </c>
      <c r="B191" s="135">
        <v>8</v>
      </c>
      <c r="C191" s="164" t="s">
        <v>2544</v>
      </c>
      <c r="D191" s="145" t="s">
        <v>2702</v>
      </c>
      <c r="E191" s="145" t="s">
        <v>2703</v>
      </c>
      <c r="F191" s="145" t="s">
        <v>2704</v>
      </c>
      <c r="G191" s="145" t="s">
        <v>2705</v>
      </c>
      <c r="H191" s="145" t="s">
        <v>2706</v>
      </c>
      <c r="I191" s="145" t="s">
        <v>2707</v>
      </c>
      <c r="J191" s="145" t="s">
        <v>2708</v>
      </c>
      <c r="K191" s="145" t="s">
        <v>2709</v>
      </c>
      <c r="L191" s="145" t="s">
        <v>2710</v>
      </c>
      <c r="M191" s="145"/>
      <c r="N191" s="145"/>
      <c r="O191" s="145"/>
      <c r="P191" s="145"/>
      <c r="Q191" s="145"/>
      <c r="R191" s="145"/>
      <c r="S191" s="166">
        <v>29543</v>
      </c>
      <c r="T191" s="135"/>
      <c r="U191" s="135"/>
      <c r="V191" s="135"/>
      <c r="W191" s="135"/>
      <c r="X191" s="135"/>
      <c r="Y191" s="135"/>
      <c r="Z191" s="135"/>
      <c r="AA191" s="135"/>
      <c r="AB191" s="135"/>
      <c r="AC191" s="135"/>
      <c r="AD191" s="135"/>
      <c r="AE191" s="135"/>
      <c r="AF191" s="135"/>
      <c r="AG191" s="135"/>
    </row>
    <row r="192" spans="1:33" customFormat="1" ht="91.5">
      <c r="A192" s="135">
        <v>14</v>
      </c>
      <c r="B192" s="135">
        <v>8</v>
      </c>
      <c r="C192" s="164" t="s">
        <v>2554</v>
      </c>
      <c r="D192" s="145" t="s">
        <v>2711</v>
      </c>
      <c r="E192" s="145" t="s">
        <v>2712</v>
      </c>
      <c r="F192" s="145" t="s">
        <v>2713</v>
      </c>
      <c r="G192" s="145" t="s">
        <v>2714</v>
      </c>
      <c r="H192" s="145" t="s">
        <v>2715</v>
      </c>
      <c r="I192" s="145" t="s">
        <v>2716</v>
      </c>
      <c r="J192" s="145" t="s">
        <v>2717</v>
      </c>
      <c r="K192" s="145" t="s">
        <v>2718</v>
      </c>
      <c r="L192" s="145" t="s">
        <v>2719</v>
      </c>
      <c r="M192" s="145"/>
      <c r="N192" s="145"/>
      <c r="O192" s="145"/>
      <c r="P192" s="145"/>
      <c r="Q192" s="145"/>
      <c r="R192" s="145"/>
      <c r="S192" s="166">
        <v>430000</v>
      </c>
      <c r="T192" s="135"/>
      <c r="U192" s="135"/>
      <c r="V192" s="135"/>
      <c r="W192" s="135"/>
      <c r="X192" s="135"/>
      <c r="Y192" s="135"/>
      <c r="Z192" s="135"/>
      <c r="AA192" s="135"/>
      <c r="AB192" s="135"/>
      <c r="AC192" s="135"/>
      <c r="AD192" s="135"/>
      <c r="AE192" s="135"/>
      <c r="AF192" s="135"/>
      <c r="AG192" s="135"/>
    </row>
    <row r="193" spans="1:33" customFormat="1" ht="137.25">
      <c r="A193" s="135">
        <v>15</v>
      </c>
      <c r="B193" s="135">
        <v>8</v>
      </c>
      <c r="C193" s="164" t="s">
        <v>2564</v>
      </c>
      <c r="D193" s="145" t="s">
        <v>2720</v>
      </c>
      <c r="E193" s="145" t="s">
        <v>2721</v>
      </c>
      <c r="F193" s="145" t="s">
        <v>2722</v>
      </c>
      <c r="G193" s="145" t="s">
        <v>2723</v>
      </c>
      <c r="H193" s="145" t="s">
        <v>2724</v>
      </c>
      <c r="I193" s="145" t="s">
        <v>2725</v>
      </c>
      <c r="J193" s="145" t="s">
        <v>2726</v>
      </c>
      <c r="K193" s="145" t="s">
        <v>2727</v>
      </c>
      <c r="L193" s="145" t="s">
        <v>2728</v>
      </c>
      <c r="M193" s="145"/>
      <c r="N193" s="145"/>
      <c r="O193" s="145"/>
      <c r="P193" s="145"/>
      <c r="Q193" s="145"/>
      <c r="R193" s="145"/>
      <c r="S193" s="166">
        <f>46.79*30000</f>
        <v>1403700</v>
      </c>
      <c r="T193" s="135"/>
      <c r="U193" s="135"/>
      <c r="V193" s="135"/>
      <c r="W193" s="135"/>
      <c r="X193" s="135"/>
      <c r="Y193" s="135"/>
      <c r="Z193" s="135"/>
      <c r="AA193" s="135"/>
      <c r="AB193" s="135"/>
      <c r="AC193" s="135"/>
      <c r="AD193" s="135"/>
      <c r="AE193" s="135"/>
      <c r="AF193" s="135"/>
      <c r="AG193" s="135"/>
    </row>
    <row r="194" spans="1:33" customFormat="1" ht="30.75">
      <c r="A194" s="135">
        <v>16</v>
      </c>
      <c r="B194" s="135">
        <v>8</v>
      </c>
      <c r="C194" s="164" t="s">
        <v>2574</v>
      </c>
      <c r="D194" s="145"/>
      <c r="E194" s="145"/>
      <c r="F194" s="145"/>
      <c r="G194" s="145"/>
      <c r="H194" s="145"/>
      <c r="I194" s="145"/>
      <c r="J194" s="145"/>
      <c r="K194" s="145"/>
      <c r="L194" s="145"/>
      <c r="M194" s="145"/>
      <c r="N194" s="145"/>
      <c r="O194" s="145"/>
      <c r="P194" s="145"/>
      <c r="Q194" s="145"/>
      <c r="R194" s="145"/>
      <c r="S194" s="166">
        <v>0</v>
      </c>
      <c r="T194" s="135"/>
      <c r="U194" s="135"/>
      <c r="V194" s="135"/>
      <c r="W194" s="135"/>
      <c r="X194" s="135"/>
      <c r="Y194" s="135"/>
      <c r="Z194" s="135"/>
      <c r="AA194" s="135"/>
      <c r="AB194" s="135"/>
      <c r="AC194" s="135"/>
      <c r="AD194" s="135"/>
      <c r="AE194" s="135"/>
      <c r="AF194" s="135"/>
      <c r="AG194" s="135"/>
    </row>
    <row r="195" spans="1:33" customFormat="1">
      <c r="A195" s="135">
        <v>17</v>
      </c>
      <c r="B195" s="135">
        <v>8</v>
      </c>
      <c r="C195" s="164" t="s">
        <v>2584</v>
      </c>
      <c r="D195" s="145"/>
      <c r="E195" s="145"/>
      <c r="F195" s="145"/>
      <c r="G195" s="145"/>
      <c r="H195" s="145"/>
      <c r="I195" s="145"/>
      <c r="J195" s="145"/>
      <c r="K195" s="145"/>
      <c r="L195" s="145"/>
      <c r="M195" s="145"/>
      <c r="N195" s="145"/>
      <c r="O195" s="145"/>
      <c r="P195" s="145"/>
      <c r="Q195" s="145"/>
      <c r="R195" s="145"/>
      <c r="S195" s="166">
        <v>0</v>
      </c>
      <c r="T195" s="135"/>
      <c r="U195" s="135"/>
      <c r="V195" s="135"/>
      <c r="W195" s="135"/>
      <c r="X195" s="135"/>
      <c r="Y195" s="135"/>
      <c r="Z195" s="135"/>
      <c r="AA195" s="135"/>
      <c r="AB195" s="135"/>
      <c r="AC195" s="135"/>
      <c r="AD195" s="135"/>
      <c r="AE195" s="135"/>
      <c r="AF195" s="135"/>
      <c r="AG195" s="135"/>
    </row>
    <row r="196" spans="1:33" customFormat="1" ht="30.75">
      <c r="A196" s="135">
        <v>18</v>
      </c>
      <c r="B196" s="135">
        <v>8</v>
      </c>
      <c r="C196" s="164" t="s">
        <v>2592</v>
      </c>
      <c r="D196" s="145"/>
      <c r="E196" s="145"/>
      <c r="F196" s="145"/>
      <c r="G196" s="145"/>
      <c r="H196" s="145"/>
      <c r="I196" s="145"/>
      <c r="J196" s="145"/>
      <c r="K196" s="145"/>
      <c r="L196" s="145"/>
      <c r="M196" s="145"/>
      <c r="N196" s="145"/>
      <c r="O196" s="145"/>
      <c r="P196" s="145"/>
      <c r="Q196" s="145"/>
      <c r="R196" s="145"/>
      <c r="S196" s="166">
        <v>0</v>
      </c>
      <c r="T196" s="135"/>
      <c r="U196" s="135"/>
      <c r="V196" s="135"/>
      <c r="W196" s="135"/>
      <c r="X196" s="135"/>
      <c r="Y196" s="135"/>
      <c r="Z196" s="135"/>
      <c r="AA196" s="135"/>
      <c r="AB196" s="135"/>
      <c r="AC196" s="135"/>
      <c r="AD196" s="135"/>
      <c r="AE196" s="135"/>
      <c r="AF196" s="135"/>
      <c r="AG196" s="135"/>
    </row>
    <row r="197" spans="1:33" customFormat="1" ht="30.75">
      <c r="A197" s="135">
        <v>19</v>
      </c>
      <c r="B197" s="135">
        <v>8</v>
      </c>
      <c r="C197" s="164" t="s">
        <v>2602</v>
      </c>
      <c r="D197" s="145"/>
      <c r="E197" s="145"/>
      <c r="F197" s="145"/>
      <c r="G197" s="145"/>
      <c r="H197" s="145"/>
      <c r="I197" s="145"/>
      <c r="J197" s="145"/>
      <c r="K197" s="145"/>
      <c r="L197" s="145"/>
      <c r="M197" s="145"/>
      <c r="N197" s="145"/>
      <c r="O197" s="145"/>
      <c r="P197" s="145"/>
      <c r="Q197" s="145"/>
      <c r="R197" s="145"/>
      <c r="S197" s="166">
        <v>0</v>
      </c>
      <c r="T197" s="135"/>
      <c r="U197" s="135"/>
      <c r="V197" s="135"/>
      <c r="W197" s="135"/>
      <c r="X197" s="135"/>
      <c r="Y197" s="135"/>
      <c r="Z197" s="135"/>
      <c r="AA197" s="135"/>
      <c r="AB197" s="135"/>
      <c r="AC197" s="135"/>
      <c r="AD197" s="135"/>
      <c r="AE197" s="135"/>
      <c r="AF197" s="135"/>
      <c r="AG197" s="135"/>
    </row>
    <row r="198" spans="1:33" customFormat="1" ht="152.25">
      <c r="A198" s="135">
        <v>20</v>
      </c>
      <c r="B198" s="135">
        <v>8</v>
      </c>
      <c r="C198" s="164" t="s">
        <v>1482</v>
      </c>
      <c r="D198" s="145" t="s">
        <v>2729</v>
      </c>
      <c r="E198" s="145" t="s">
        <v>2730</v>
      </c>
      <c r="F198" s="145" t="s">
        <v>2731</v>
      </c>
      <c r="G198" s="145" t="s">
        <v>2732</v>
      </c>
      <c r="H198" s="145" t="s">
        <v>2733</v>
      </c>
      <c r="I198" s="145" t="s">
        <v>2734</v>
      </c>
      <c r="J198" s="145" t="s">
        <v>2735</v>
      </c>
      <c r="K198" s="145" t="s">
        <v>2736</v>
      </c>
      <c r="L198" s="145" t="s">
        <v>2737</v>
      </c>
      <c r="M198" s="145" t="s">
        <v>2738</v>
      </c>
      <c r="N198" s="145"/>
      <c r="O198" s="145"/>
      <c r="P198" s="145"/>
      <c r="Q198" s="145"/>
      <c r="R198" s="145"/>
      <c r="S198" s="166">
        <f>121*134/3600*30000</f>
        <v>135116.66666666666</v>
      </c>
      <c r="T198" s="135"/>
      <c r="U198" s="135"/>
      <c r="V198" s="135"/>
      <c r="W198" s="135"/>
      <c r="X198" s="135"/>
      <c r="Y198" s="135"/>
      <c r="Z198" s="135"/>
      <c r="AA198" s="135"/>
      <c r="AB198" s="135"/>
      <c r="AC198" s="135"/>
      <c r="AD198" s="135"/>
      <c r="AE198" s="135"/>
      <c r="AF198" s="135"/>
      <c r="AG198" s="135"/>
    </row>
    <row r="199" spans="1:33" customFormat="1">
      <c r="A199" s="135">
        <v>21</v>
      </c>
      <c r="B199" s="135">
        <v>8</v>
      </c>
      <c r="C199" s="164" t="s">
        <v>1488</v>
      </c>
      <c r="D199" s="145"/>
      <c r="E199" s="145"/>
      <c r="F199" s="145"/>
      <c r="G199" s="145"/>
      <c r="H199" s="145"/>
      <c r="I199" s="145"/>
      <c r="J199" s="145"/>
      <c r="K199" s="145"/>
      <c r="L199" s="145"/>
      <c r="M199" s="145"/>
      <c r="N199" s="145"/>
      <c r="O199" s="145"/>
      <c r="P199" s="145"/>
      <c r="Q199" s="145"/>
      <c r="R199" s="145"/>
      <c r="S199" s="166">
        <v>0</v>
      </c>
      <c r="T199" s="135"/>
      <c r="U199" s="135"/>
      <c r="V199" s="135"/>
      <c r="W199" s="135"/>
      <c r="X199" s="135"/>
      <c r="Y199" s="135"/>
      <c r="Z199" s="135"/>
      <c r="AA199" s="135"/>
      <c r="AB199" s="135"/>
      <c r="AC199" s="135"/>
      <c r="AD199" s="135"/>
      <c r="AE199" s="135"/>
      <c r="AF199" s="135"/>
      <c r="AG199" s="135"/>
    </row>
    <row r="200" spans="1:33" customFormat="1">
      <c r="A200" s="135">
        <v>22</v>
      </c>
      <c r="B200" s="135">
        <v>8</v>
      </c>
      <c r="C200" s="164" t="s">
        <v>2630</v>
      </c>
      <c r="D200" s="145"/>
      <c r="E200" s="145"/>
      <c r="F200" s="145"/>
      <c r="G200" s="145"/>
      <c r="H200" s="145"/>
      <c r="I200" s="145"/>
      <c r="J200" s="145"/>
      <c r="K200" s="145"/>
      <c r="L200" s="145"/>
      <c r="M200" s="145"/>
      <c r="N200" s="145"/>
      <c r="O200" s="145"/>
      <c r="P200" s="145"/>
      <c r="Q200" s="145"/>
      <c r="R200" s="145"/>
      <c r="S200" s="166">
        <v>0</v>
      </c>
      <c r="T200" s="135"/>
      <c r="U200" s="135"/>
      <c r="V200" s="135"/>
      <c r="W200" s="135"/>
      <c r="X200" s="135"/>
      <c r="Y200" s="135"/>
      <c r="Z200" s="135"/>
      <c r="AA200" s="135"/>
      <c r="AB200" s="135"/>
      <c r="AC200" s="135"/>
      <c r="AD200" s="135"/>
      <c r="AE200" s="135"/>
      <c r="AF200" s="135"/>
      <c r="AG200" s="135"/>
    </row>
    <row r="201" spans="1:33" customFormat="1" ht="106.5">
      <c r="A201" s="135">
        <v>23</v>
      </c>
      <c r="B201" s="135">
        <v>9</v>
      </c>
      <c r="C201" s="164" t="s">
        <v>1710</v>
      </c>
      <c r="D201" s="145"/>
      <c r="E201" s="169" t="s">
        <v>2739</v>
      </c>
      <c r="F201" s="145" t="s">
        <v>2740</v>
      </c>
      <c r="G201" s="145" t="s">
        <v>2741</v>
      </c>
      <c r="H201" s="145" t="s">
        <v>2742</v>
      </c>
      <c r="I201" s="145" t="s">
        <v>2743</v>
      </c>
      <c r="J201" s="145" t="s">
        <v>2744</v>
      </c>
      <c r="K201" s="145" t="s">
        <v>2745</v>
      </c>
      <c r="L201" s="145" t="s">
        <v>2746</v>
      </c>
      <c r="M201" s="145"/>
      <c r="N201" s="145"/>
      <c r="O201" s="145"/>
      <c r="P201" s="145"/>
      <c r="Q201" s="145"/>
      <c r="R201" s="145"/>
      <c r="S201" s="151"/>
      <c r="T201" s="135"/>
      <c r="U201" s="135"/>
      <c r="V201" s="135"/>
      <c r="W201" s="135"/>
      <c r="X201" s="135"/>
      <c r="Y201" s="135"/>
      <c r="Z201" s="135"/>
      <c r="AA201" s="135"/>
      <c r="AB201" s="135"/>
      <c r="AC201" s="135"/>
      <c r="AD201" s="135"/>
      <c r="AE201" s="135"/>
      <c r="AF201" s="135"/>
      <c r="AG201" s="135"/>
    </row>
    <row r="202" spans="1:33" customFormat="1" ht="167.25">
      <c r="A202" s="135">
        <v>24</v>
      </c>
      <c r="B202" s="135">
        <v>9</v>
      </c>
      <c r="C202" s="164" t="s">
        <v>2747</v>
      </c>
      <c r="D202" s="145"/>
      <c r="E202" s="169" t="s">
        <v>2748</v>
      </c>
      <c r="F202" s="169" t="s">
        <v>2749</v>
      </c>
      <c r="G202" s="145"/>
      <c r="H202" s="169" t="s">
        <v>2750</v>
      </c>
      <c r="I202" s="145" t="s">
        <v>2751</v>
      </c>
      <c r="J202" s="145" t="s">
        <v>2752</v>
      </c>
      <c r="K202" s="145"/>
      <c r="L202" s="169" t="s">
        <v>2753</v>
      </c>
      <c r="M202" s="145"/>
      <c r="N202" s="145"/>
      <c r="O202" s="145"/>
      <c r="P202" s="145"/>
      <c r="Q202" s="145"/>
      <c r="R202" s="145"/>
      <c r="S202" s="151"/>
      <c r="T202" s="135"/>
      <c r="U202" s="135"/>
      <c r="V202" s="135"/>
      <c r="W202" s="135"/>
      <c r="X202" s="135"/>
      <c r="Y202" s="135"/>
      <c r="Z202" s="135"/>
      <c r="AA202" s="135"/>
      <c r="AB202" s="135"/>
      <c r="AC202" s="135"/>
      <c r="AD202" s="135"/>
      <c r="AE202" s="135"/>
      <c r="AF202" s="135"/>
      <c r="AG202" s="135"/>
    </row>
  </sheetData>
  <autoFilter ref="A2:AG202" xr:uid="{00000000-0009-0000-0000-000001000000}">
    <sortState xmlns:xlrd2="http://schemas.microsoft.com/office/spreadsheetml/2017/richdata2" ref="A3:AG202">
      <sortCondition ref="B2:B157"/>
    </sortState>
  </autoFilter>
  <hyperlinks>
    <hyperlink ref="D67" r:id="rId1" display="https://confluence.gdn-app.com/display/~rachel.saragih" xr:uid="{FE3398FF-2CCC-4B5F-8243-DE4344B226A1}"/>
    <hyperlink ref="D69" r:id="rId2" display="https://confluence.gdn-app.com/display/~eka.kurniawan" xr:uid="{569ABCC8-60C8-4778-9903-74D9F38282BA}"/>
    <hyperlink ref="D90" r:id="rId3" display="https://confluence.gdn-app.com/display/~anggi.nugroho" xr:uid="{33CFA0DE-D952-4DFD-9170-7B991C4C5AD1}"/>
    <hyperlink ref="G97" r:id="rId4" display="https://confluence.gdn-app.com/download/attachments/23893081/Kaizen IV %28Data Before Improvement%29.xlsx?version=1&amp;modificationDate=1490058538308&amp;api=v2" xr:uid="{4F47F88F-5921-41A5-B4F6-A5DF80AADCF1}"/>
    <hyperlink ref="K97" r:id="rId5" display="https://confluence.gdn-app.com/download/attachments/23893081/Kaizen IV %28Data After Improvement%29.xlsx?version=1&amp;modificationDate=1490599640325&amp;api=v2" xr:uid="{C3B4D3F0-C1BF-48C0-9971-5C0A0B29F5B4}"/>
    <hyperlink ref="G146" r:id="rId6" display="https://confluence.gdn-app.com/download/attachments/23918583/WarehouseMedan_Data Before Kaizen VI.xlsx?version=1&amp;modificationDate=1494237208665&amp;api=v2" xr:uid="{5B5656CC-1DCA-4D0D-9FC8-6D83EBBF90C9}"/>
    <hyperlink ref="K146" r:id="rId7" display="https://confluence.gdn-app.com/download/attachments/23918583/WarehouseMedan_Data After Kaizen VI.xlsx?version=1&amp;modificationDate=1494842757056&amp;api=v2" xr:uid="{3B2CBFA7-CE84-46AF-8E11-7CE5C9017D47}"/>
    <hyperlink ref="J143" r:id="rId8" display="https://www.surveymonkey.com/r/YRBNMXB" xr:uid="{C306DDD4-CA87-4243-A71C-0C793F83A75A}"/>
  </hyperlinks>
  <pageMargins left="0.25" right="0.25" top="0.75" bottom="0.75" header="0.3" footer="0.3"/>
  <pageSetup paperSize="9" scale="41" fitToHeight="0" orientation="landscape"/>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7CF6F-B1AF-4145-87B1-18ADB8BA0767}">
  <dimension ref="A1:AW138"/>
  <sheetViews>
    <sheetView zoomScale="70" zoomScaleNormal="70" workbookViewId="0"/>
  </sheetViews>
  <sheetFormatPr defaultRowHeight="15" outlineLevelCol="1"/>
  <cols>
    <col min="1" max="1" width="9.140625" style="116"/>
    <col min="2" max="2" width="40.7109375" style="14" customWidth="1"/>
    <col min="3" max="10" width="40.7109375" style="14" customWidth="1" outlineLevel="1"/>
    <col min="11" max="11" width="42.140625" style="14" customWidth="1" outlineLevel="1"/>
    <col min="12" max="12" width="40.7109375" style="14" customWidth="1" outlineLevel="1"/>
    <col min="13" max="13" width="16.85546875" style="107" bestFit="1" customWidth="1"/>
    <col min="14" max="14" width="9.140625" style="116"/>
    <col min="15" max="15" width="18.140625" style="119" bestFit="1" customWidth="1"/>
    <col min="16" max="16" width="18.28515625" style="116" bestFit="1" customWidth="1"/>
    <col min="17" max="17" width="12" style="116" bestFit="1" customWidth="1"/>
    <col min="18" max="16384" width="9.140625" style="116"/>
  </cols>
  <sheetData>
    <row r="1" spans="1:20">
      <c r="A1" s="109" t="s">
        <v>14</v>
      </c>
      <c r="B1" s="110" t="s">
        <v>0</v>
      </c>
      <c r="C1" s="111" t="s">
        <v>2754</v>
      </c>
      <c r="D1" s="110" t="s">
        <v>2755</v>
      </c>
      <c r="E1" s="110" t="s">
        <v>1333</v>
      </c>
      <c r="F1" s="110" t="s">
        <v>1334</v>
      </c>
      <c r="G1" s="110" t="s">
        <v>2756</v>
      </c>
      <c r="H1" s="110" t="s">
        <v>1335</v>
      </c>
      <c r="I1" s="110" t="s">
        <v>13</v>
      </c>
      <c r="J1" s="110" t="s">
        <v>1336</v>
      </c>
      <c r="K1" s="110" t="s">
        <v>19</v>
      </c>
      <c r="L1" s="112" t="s">
        <v>1337</v>
      </c>
      <c r="M1" s="113" t="s">
        <v>2757</v>
      </c>
      <c r="N1" s="114" t="s">
        <v>2758</v>
      </c>
      <c r="O1" s="115" t="s">
        <v>2759</v>
      </c>
      <c r="P1" s="114" t="s">
        <v>2760</v>
      </c>
      <c r="S1" s="109" t="s">
        <v>14</v>
      </c>
    </row>
    <row r="2" spans="1:20" ht="213">
      <c r="A2" s="117" t="s">
        <v>2761</v>
      </c>
      <c r="B2" s="48" t="s">
        <v>2762</v>
      </c>
      <c r="C2" s="45" t="s">
        <v>2763</v>
      </c>
      <c r="D2" s="45" t="s">
        <v>2764</v>
      </c>
      <c r="E2" s="45" t="s">
        <v>2765</v>
      </c>
      <c r="F2" s="45" t="s">
        <v>2766</v>
      </c>
      <c r="G2" s="45" t="s">
        <v>2767</v>
      </c>
      <c r="H2" s="45" t="s">
        <v>2768</v>
      </c>
      <c r="I2" s="45" t="s">
        <v>2769</v>
      </c>
      <c r="J2" s="45" t="s">
        <v>2770</v>
      </c>
      <c r="K2" s="45" t="s">
        <v>2771</v>
      </c>
      <c r="L2" s="45" t="s">
        <v>2772</v>
      </c>
      <c r="M2" s="118">
        <v>1284000</v>
      </c>
      <c r="N2" s="116">
        <v>5</v>
      </c>
      <c r="O2" s="119">
        <f>M2*N2</f>
        <v>6420000</v>
      </c>
      <c r="P2" s="116" t="s">
        <v>2773</v>
      </c>
      <c r="S2" s="117" t="s">
        <v>2761</v>
      </c>
      <c r="T2" s="116">
        <f>COUNTIFS(A:A,S2,M:M,"&gt;"&amp;0)</f>
        <v>19</v>
      </c>
    </row>
    <row r="3" spans="1:20" ht="106.5">
      <c r="A3" s="114" t="s">
        <v>2761</v>
      </c>
      <c r="B3" s="45" t="s">
        <v>2774</v>
      </c>
      <c r="C3" s="45" t="s">
        <v>2775</v>
      </c>
      <c r="D3" s="45" t="s">
        <v>2776</v>
      </c>
      <c r="E3" s="45" t="s">
        <v>2777</v>
      </c>
      <c r="F3" s="45" t="s">
        <v>2778</v>
      </c>
      <c r="G3" s="45" t="s">
        <v>2779</v>
      </c>
      <c r="H3" s="45" t="s">
        <v>2780</v>
      </c>
      <c r="I3" s="45" t="s">
        <v>2781</v>
      </c>
      <c r="J3" s="45" t="s">
        <v>2782</v>
      </c>
      <c r="K3" s="45" t="s">
        <v>2783</v>
      </c>
      <c r="L3" s="45" t="s">
        <v>2784</v>
      </c>
      <c r="M3" s="120">
        <v>4889610</v>
      </c>
      <c r="N3" s="116">
        <v>5</v>
      </c>
      <c r="O3" s="119">
        <f t="shared" ref="O3:O68" si="0">M3*N3</f>
        <v>24448050</v>
      </c>
      <c r="P3" s="116" t="s">
        <v>2773</v>
      </c>
      <c r="S3" s="114" t="s">
        <v>2785</v>
      </c>
      <c r="T3" s="116">
        <f t="shared" ref="T3:T8" si="1">COUNTIFS(A:A,S3,M:M,"&gt;"&amp;0)</f>
        <v>14</v>
      </c>
    </row>
    <row r="4" spans="1:20" ht="275.25">
      <c r="A4" s="114" t="s">
        <v>2761</v>
      </c>
      <c r="B4" s="45" t="s">
        <v>2786</v>
      </c>
      <c r="C4" s="45" t="s">
        <v>2787</v>
      </c>
      <c r="D4" s="45" t="s">
        <v>2788</v>
      </c>
      <c r="E4" s="45" t="s">
        <v>2789</v>
      </c>
      <c r="F4" s="45" t="s">
        <v>2790</v>
      </c>
      <c r="G4" s="45" t="s">
        <v>2791</v>
      </c>
      <c r="H4" s="45" t="s">
        <v>2792</v>
      </c>
      <c r="I4" s="45" t="s">
        <v>2793</v>
      </c>
      <c r="J4" s="45" t="s">
        <v>2794</v>
      </c>
      <c r="K4" s="45" t="s">
        <v>2795</v>
      </c>
      <c r="L4" s="45" t="s">
        <v>2796</v>
      </c>
      <c r="M4" s="120">
        <v>5870178</v>
      </c>
      <c r="N4" s="116">
        <v>5</v>
      </c>
      <c r="O4" s="119">
        <f t="shared" si="0"/>
        <v>29350890</v>
      </c>
      <c r="P4" s="116" t="s">
        <v>2773</v>
      </c>
      <c r="S4" s="114" t="s">
        <v>2797</v>
      </c>
      <c r="T4" s="116">
        <f t="shared" si="1"/>
        <v>12</v>
      </c>
    </row>
    <row r="5" spans="1:20" ht="198">
      <c r="A5" s="114" t="s">
        <v>2761</v>
      </c>
      <c r="B5" s="45" t="s">
        <v>2798</v>
      </c>
      <c r="C5" s="45" t="s">
        <v>2799</v>
      </c>
      <c r="D5" s="45" t="s">
        <v>2800</v>
      </c>
      <c r="E5" s="45" t="s">
        <v>2801</v>
      </c>
      <c r="F5" s="45" t="s">
        <v>2802</v>
      </c>
      <c r="G5" s="45" t="s">
        <v>2803</v>
      </c>
      <c r="H5" s="45" t="s">
        <v>2804</v>
      </c>
      <c r="I5" s="45" t="s">
        <v>2805</v>
      </c>
      <c r="J5" s="45" t="s">
        <v>2806</v>
      </c>
      <c r="K5" s="45" t="s">
        <v>2807</v>
      </c>
      <c r="L5" s="45" t="s">
        <v>2808</v>
      </c>
      <c r="M5" s="121">
        <f>(10380-385)/3600*30000</f>
        <v>83291.666666666672</v>
      </c>
      <c r="N5" s="116">
        <v>5</v>
      </c>
      <c r="O5" s="119">
        <f t="shared" si="0"/>
        <v>416458.33333333337</v>
      </c>
      <c r="P5" s="116" t="s">
        <v>2798</v>
      </c>
      <c r="S5" s="114" t="s">
        <v>2809</v>
      </c>
      <c r="T5" s="116">
        <f t="shared" si="1"/>
        <v>10</v>
      </c>
    </row>
    <row r="6" spans="1:20" ht="60.75">
      <c r="A6" s="114" t="s">
        <v>2761</v>
      </c>
      <c r="B6" s="45" t="s">
        <v>2810</v>
      </c>
      <c r="C6" s="45" t="s">
        <v>2811</v>
      </c>
      <c r="D6" s="45" t="s">
        <v>2812</v>
      </c>
      <c r="E6" s="45" t="s">
        <v>2813</v>
      </c>
      <c r="F6" s="45" t="s">
        <v>2814</v>
      </c>
      <c r="G6" s="45" t="s">
        <v>2815</v>
      </c>
      <c r="H6" s="45" t="s">
        <v>2816</v>
      </c>
      <c r="I6" s="45" t="s">
        <v>2816</v>
      </c>
      <c r="J6" s="45" t="s">
        <v>2816</v>
      </c>
      <c r="K6" s="45" t="s">
        <v>2816</v>
      </c>
      <c r="L6" s="45" t="s">
        <v>2816</v>
      </c>
      <c r="M6" s="56">
        <v>90900</v>
      </c>
      <c r="N6" s="116">
        <v>5</v>
      </c>
      <c r="O6" s="119">
        <f t="shared" si="0"/>
        <v>454500</v>
      </c>
      <c r="P6" s="116" t="s">
        <v>2817</v>
      </c>
      <c r="S6" s="114" t="s">
        <v>2818</v>
      </c>
      <c r="T6" s="116">
        <f t="shared" si="1"/>
        <v>6</v>
      </c>
    </row>
    <row r="7" spans="1:20" ht="106.5">
      <c r="A7" s="114" t="s">
        <v>2761</v>
      </c>
      <c r="B7" s="45" t="s">
        <v>2819</v>
      </c>
      <c r="C7" s="45" t="s">
        <v>2820</v>
      </c>
      <c r="D7" s="45" t="s">
        <v>2821</v>
      </c>
      <c r="E7" s="45" t="s">
        <v>2822</v>
      </c>
      <c r="F7" s="45" t="s">
        <v>2823</v>
      </c>
      <c r="G7" s="45" t="s">
        <v>2824</v>
      </c>
      <c r="H7" s="45" t="s">
        <v>2825</v>
      </c>
      <c r="I7" s="45" t="s">
        <v>2826</v>
      </c>
      <c r="J7" s="45" t="s">
        <v>2827</v>
      </c>
      <c r="K7" s="45" t="s">
        <v>2828</v>
      </c>
      <c r="L7" s="45" t="s">
        <v>2829</v>
      </c>
      <c r="M7" s="56">
        <v>243900</v>
      </c>
      <c r="N7" s="116">
        <v>5</v>
      </c>
      <c r="O7" s="119">
        <f t="shared" si="0"/>
        <v>1219500</v>
      </c>
      <c r="P7" s="116" t="s">
        <v>2817</v>
      </c>
      <c r="S7" s="114" t="s">
        <v>2830</v>
      </c>
      <c r="T7" s="116">
        <f t="shared" si="1"/>
        <v>3</v>
      </c>
    </row>
    <row r="8" spans="1:20" ht="152.25">
      <c r="A8" s="114" t="s">
        <v>2761</v>
      </c>
      <c r="B8" s="45" t="s">
        <v>2831</v>
      </c>
      <c r="C8" s="45" t="s">
        <v>2832</v>
      </c>
      <c r="D8" s="45" t="s">
        <v>2833</v>
      </c>
      <c r="E8" s="45" t="s">
        <v>2834</v>
      </c>
      <c r="F8" s="45" t="s">
        <v>2835</v>
      </c>
      <c r="G8" s="45" t="s">
        <v>2836</v>
      </c>
      <c r="H8" s="45" t="s">
        <v>2837</v>
      </c>
      <c r="I8" s="45" t="s">
        <v>2838</v>
      </c>
      <c r="J8" s="45" t="s">
        <v>2835</v>
      </c>
      <c r="K8" s="45" t="s">
        <v>2839</v>
      </c>
      <c r="L8" s="45" t="s">
        <v>2840</v>
      </c>
      <c r="M8" s="56">
        <v>60000</v>
      </c>
      <c r="N8" s="116">
        <v>5</v>
      </c>
      <c r="O8" s="119">
        <f t="shared" si="0"/>
        <v>300000</v>
      </c>
      <c r="P8" s="116" t="s">
        <v>2841</v>
      </c>
      <c r="S8" s="114" t="s">
        <v>2842</v>
      </c>
      <c r="T8" s="116">
        <f t="shared" si="1"/>
        <v>9</v>
      </c>
    </row>
    <row r="9" spans="1:20" ht="91.5">
      <c r="A9" s="114" t="s">
        <v>2761</v>
      </c>
      <c r="B9" s="45" t="s">
        <v>2843</v>
      </c>
      <c r="C9" s="45" t="s">
        <v>2844</v>
      </c>
      <c r="D9" s="45" t="s">
        <v>2845</v>
      </c>
      <c r="E9" s="45" t="s">
        <v>2846</v>
      </c>
      <c r="F9" s="45" t="s">
        <v>2847</v>
      </c>
      <c r="G9" s="45" t="s">
        <v>2848</v>
      </c>
      <c r="H9" s="45" t="s">
        <v>2849</v>
      </c>
      <c r="I9" s="45" t="s">
        <v>2850</v>
      </c>
      <c r="J9" s="45" t="s">
        <v>2851</v>
      </c>
      <c r="K9" s="45" t="s">
        <v>2852</v>
      </c>
      <c r="L9" s="45" t="s">
        <v>2853</v>
      </c>
      <c r="M9" s="56">
        <v>141000</v>
      </c>
      <c r="N9" s="116">
        <v>2</v>
      </c>
      <c r="O9" s="119">
        <f t="shared" si="0"/>
        <v>282000</v>
      </c>
      <c r="P9" s="116" t="s">
        <v>2854</v>
      </c>
      <c r="S9"/>
    </row>
    <row r="10" spans="1:20" ht="121.5">
      <c r="A10" s="114" t="s">
        <v>2761</v>
      </c>
      <c r="B10" s="45" t="s">
        <v>2855</v>
      </c>
      <c r="C10" s="45" t="s">
        <v>2856</v>
      </c>
      <c r="D10" s="45" t="s">
        <v>2857</v>
      </c>
      <c r="E10" s="45" t="s">
        <v>2858</v>
      </c>
      <c r="F10" s="45" t="s">
        <v>2859</v>
      </c>
      <c r="G10" s="45" t="s">
        <v>2860</v>
      </c>
      <c r="H10" s="45" t="s">
        <v>2861</v>
      </c>
      <c r="I10" s="45" t="s">
        <v>2862</v>
      </c>
      <c r="J10" s="45" t="s">
        <v>2863</v>
      </c>
      <c r="K10" s="45" t="s">
        <v>2864</v>
      </c>
      <c r="L10" s="45" t="s">
        <v>2865</v>
      </c>
      <c r="M10" s="56">
        <v>10080000</v>
      </c>
      <c r="N10" s="116">
        <v>2</v>
      </c>
      <c r="O10" s="119">
        <f t="shared" si="0"/>
        <v>20160000</v>
      </c>
      <c r="P10" s="116" t="s">
        <v>2854</v>
      </c>
      <c r="S10"/>
    </row>
    <row r="11" spans="1:20" ht="229.5">
      <c r="A11" s="114" t="s">
        <v>2761</v>
      </c>
      <c r="B11" s="45" t="s">
        <v>2866</v>
      </c>
      <c r="C11" s="45" t="s">
        <v>2867</v>
      </c>
      <c r="D11" s="45" t="s">
        <v>2868</v>
      </c>
      <c r="E11" s="45" t="s">
        <v>2869</v>
      </c>
      <c r="F11" s="45" t="s">
        <v>2870</v>
      </c>
      <c r="G11" s="45" t="s">
        <v>2871</v>
      </c>
      <c r="H11" s="45" t="s">
        <v>2872</v>
      </c>
      <c r="I11" s="45" t="s">
        <v>2873</v>
      </c>
      <c r="J11" s="45" t="s">
        <v>2874</v>
      </c>
      <c r="K11" s="45" t="s">
        <v>2875</v>
      </c>
      <c r="L11" s="45" t="s">
        <v>2876</v>
      </c>
      <c r="M11" s="56">
        <v>34400</v>
      </c>
      <c r="N11" s="116">
        <v>5</v>
      </c>
      <c r="O11" s="119">
        <f t="shared" si="0"/>
        <v>172000</v>
      </c>
      <c r="P11" s="116" t="s">
        <v>2854</v>
      </c>
      <c r="S11"/>
    </row>
    <row r="12" spans="1:20" ht="137.25">
      <c r="A12" s="114" t="s">
        <v>2761</v>
      </c>
      <c r="B12" s="45" t="s">
        <v>2877</v>
      </c>
      <c r="C12" s="45" t="s">
        <v>2878</v>
      </c>
      <c r="D12" s="45" t="s">
        <v>2879</v>
      </c>
      <c r="E12" s="45" t="s">
        <v>2880</v>
      </c>
      <c r="F12" s="45" t="s">
        <v>2835</v>
      </c>
      <c r="G12" s="45" t="s">
        <v>2881</v>
      </c>
      <c r="H12" s="45" t="s">
        <v>2882</v>
      </c>
      <c r="I12" s="45" t="s">
        <v>2883</v>
      </c>
      <c r="J12" s="45" t="s">
        <v>2835</v>
      </c>
      <c r="K12" s="45" t="s">
        <v>2835</v>
      </c>
      <c r="L12" s="45" t="s">
        <v>2884</v>
      </c>
      <c r="M12" s="56">
        <v>59600</v>
      </c>
      <c r="N12" s="116">
        <v>5</v>
      </c>
      <c r="O12" s="119">
        <f t="shared" si="0"/>
        <v>298000</v>
      </c>
      <c r="P12" s="116" t="s">
        <v>2854</v>
      </c>
      <c r="S12"/>
    </row>
    <row r="13" spans="1:20" ht="106.5">
      <c r="A13" s="114" t="s">
        <v>2761</v>
      </c>
      <c r="B13" s="45" t="s">
        <v>2885</v>
      </c>
      <c r="C13" s="45" t="s">
        <v>2886</v>
      </c>
      <c r="D13" s="45" t="s">
        <v>2887</v>
      </c>
      <c r="E13" s="45" t="s">
        <v>2888</v>
      </c>
      <c r="F13" s="45" t="s">
        <v>2889</v>
      </c>
      <c r="G13" s="45" t="s">
        <v>2890</v>
      </c>
      <c r="H13" s="45" t="s">
        <v>2891</v>
      </c>
      <c r="I13" s="45" t="s">
        <v>2892</v>
      </c>
      <c r="J13" s="45" t="s">
        <v>2893</v>
      </c>
      <c r="K13" s="45" t="s">
        <v>2894</v>
      </c>
      <c r="L13" s="45" t="s">
        <v>2895</v>
      </c>
      <c r="M13" s="56">
        <v>250000.00000000003</v>
      </c>
      <c r="N13" s="116">
        <v>5</v>
      </c>
      <c r="O13" s="119">
        <f t="shared" si="0"/>
        <v>1250000.0000000002</v>
      </c>
      <c r="P13" s="116" t="s">
        <v>2854</v>
      </c>
      <c r="S13"/>
    </row>
    <row r="14" spans="1:20" ht="76.5">
      <c r="A14" s="114" t="s">
        <v>2761</v>
      </c>
      <c r="B14" s="45" t="s">
        <v>1434</v>
      </c>
      <c r="C14" s="45" t="s">
        <v>2896</v>
      </c>
      <c r="D14" s="122" t="s">
        <v>2897</v>
      </c>
      <c r="E14" s="45" t="s">
        <v>2898</v>
      </c>
      <c r="F14" s="45" t="s">
        <v>2899</v>
      </c>
      <c r="G14" s="45" t="s">
        <v>2900</v>
      </c>
      <c r="H14" s="45" t="s">
        <v>2901</v>
      </c>
      <c r="I14" s="45" t="s">
        <v>2902</v>
      </c>
      <c r="J14" s="45" t="s">
        <v>2835</v>
      </c>
      <c r="K14" s="45" t="s">
        <v>2835</v>
      </c>
      <c r="L14" s="45" t="s">
        <v>2835</v>
      </c>
      <c r="M14" s="56">
        <v>76000</v>
      </c>
      <c r="N14" s="116">
        <v>5</v>
      </c>
      <c r="O14" s="119">
        <f t="shared" si="0"/>
        <v>380000</v>
      </c>
      <c r="P14" s="116" t="s">
        <v>2544</v>
      </c>
      <c r="S14"/>
    </row>
    <row r="15" spans="1:20" ht="106.5">
      <c r="A15" s="114" t="s">
        <v>2761</v>
      </c>
      <c r="B15" s="45" t="s">
        <v>2903</v>
      </c>
      <c r="C15" s="45" t="s">
        <v>2904</v>
      </c>
      <c r="D15" s="45" t="s">
        <v>2905</v>
      </c>
      <c r="E15" s="45" t="s">
        <v>2906</v>
      </c>
      <c r="F15" s="45" t="s">
        <v>2907</v>
      </c>
      <c r="G15" s="45" t="s">
        <v>2908</v>
      </c>
      <c r="H15" s="45" t="s">
        <v>2909</v>
      </c>
      <c r="I15" s="45" t="s">
        <v>2910</v>
      </c>
      <c r="J15" s="45" t="s">
        <v>2911</v>
      </c>
      <c r="K15" s="45" t="s">
        <v>2912</v>
      </c>
      <c r="L15" s="45" t="s">
        <v>2913</v>
      </c>
      <c r="M15" s="120">
        <f>12*4*30000</f>
        <v>1440000</v>
      </c>
      <c r="N15" s="116">
        <v>5</v>
      </c>
      <c r="O15" s="119">
        <f t="shared" si="0"/>
        <v>7200000</v>
      </c>
      <c r="P15" s="116" t="s">
        <v>2914</v>
      </c>
      <c r="S15"/>
    </row>
    <row r="16" spans="1:20" ht="106.5">
      <c r="A16" s="114" t="s">
        <v>2761</v>
      </c>
      <c r="B16" s="45" t="s">
        <v>2915</v>
      </c>
      <c r="C16" s="45" t="s">
        <v>2916</v>
      </c>
      <c r="D16" s="45" t="s">
        <v>2917</v>
      </c>
      <c r="E16" s="45" t="s">
        <v>2918</v>
      </c>
      <c r="F16" s="45" t="s">
        <v>2919</v>
      </c>
      <c r="G16" s="45" t="s">
        <v>2920</v>
      </c>
      <c r="H16" s="45" t="s">
        <v>2921</v>
      </c>
      <c r="I16" s="45" t="s">
        <v>2922</v>
      </c>
      <c r="J16" s="45" t="s">
        <v>2923</v>
      </c>
      <c r="K16" s="45" t="s">
        <v>2924</v>
      </c>
      <c r="L16" s="45" t="s">
        <v>2925</v>
      </c>
      <c r="M16" s="56">
        <f>801900+(18+45/60)*30000</f>
        <v>1364400</v>
      </c>
      <c r="N16" s="116">
        <v>5</v>
      </c>
      <c r="O16" s="119">
        <f t="shared" si="0"/>
        <v>6822000</v>
      </c>
      <c r="P16" s="116" t="s">
        <v>2914</v>
      </c>
      <c r="S16"/>
    </row>
    <row r="17" spans="1:19" ht="76.5">
      <c r="A17" s="114" t="s">
        <v>2761</v>
      </c>
      <c r="B17" s="45" t="s">
        <v>2926</v>
      </c>
      <c r="C17" s="45" t="s">
        <v>2927</v>
      </c>
      <c r="D17" s="45" t="s">
        <v>2928</v>
      </c>
      <c r="E17" s="45" t="s">
        <v>2929</v>
      </c>
      <c r="F17" s="45" t="s">
        <v>2930</v>
      </c>
      <c r="G17" s="45" t="s">
        <v>2931</v>
      </c>
      <c r="H17" s="45" t="s">
        <v>2932</v>
      </c>
      <c r="I17" s="45" t="s">
        <v>2933</v>
      </c>
      <c r="J17" s="45" t="s">
        <v>2934</v>
      </c>
      <c r="K17" s="45" t="s">
        <v>2935</v>
      </c>
      <c r="L17" s="45" t="s">
        <v>2936</v>
      </c>
      <c r="M17" s="56">
        <f>1238/12*30000</f>
        <v>3095000</v>
      </c>
      <c r="N17" s="116">
        <v>5</v>
      </c>
      <c r="O17" s="119">
        <f t="shared" si="0"/>
        <v>15475000</v>
      </c>
      <c r="P17" s="116" t="s">
        <v>2914</v>
      </c>
      <c r="S17"/>
    </row>
    <row r="18" spans="1:19" ht="244.5">
      <c r="A18" s="114" t="s">
        <v>2761</v>
      </c>
      <c r="B18" s="45" t="s">
        <v>2592</v>
      </c>
      <c r="C18" s="45" t="s">
        <v>2937</v>
      </c>
      <c r="D18" s="45" t="s">
        <v>2938</v>
      </c>
      <c r="E18" s="45" t="s">
        <v>2939</v>
      </c>
      <c r="F18" s="45" t="s">
        <v>2940</v>
      </c>
      <c r="G18" s="45" t="s">
        <v>2941</v>
      </c>
      <c r="H18" s="45" t="s">
        <v>2942</v>
      </c>
      <c r="I18" s="45" t="s">
        <v>2943</v>
      </c>
      <c r="J18" s="45" t="s">
        <v>2944</v>
      </c>
      <c r="K18" s="45" t="s">
        <v>2945</v>
      </c>
      <c r="L18" s="45" t="s">
        <v>2946</v>
      </c>
      <c r="M18" s="56">
        <f>28.6*30000</f>
        <v>858000</v>
      </c>
      <c r="N18" s="116">
        <v>5</v>
      </c>
      <c r="O18" s="119">
        <f t="shared" si="0"/>
        <v>4290000</v>
      </c>
      <c r="P18" s="116" t="s">
        <v>2914</v>
      </c>
      <c r="S18"/>
    </row>
    <row r="19" spans="1:19" ht="106.5">
      <c r="A19" s="114" t="s">
        <v>2761</v>
      </c>
      <c r="B19" s="45" t="s">
        <v>2602</v>
      </c>
      <c r="C19" s="45" t="s">
        <v>2947</v>
      </c>
      <c r="D19" s="45" t="s">
        <v>2948</v>
      </c>
      <c r="E19" s="45" t="s">
        <v>2949</v>
      </c>
      <c r="F19" s="45" t="s">
        <v>2950</v>
      </c>
      <c r="G19" s="45" t="s">
        <v>2951</v>
      </c>
      <c r="H19" s="45" t="s">
        <v>2952</v>
      </c>
      <c r="I19" s="45" t="s">
        <v>2953</v>
      </c>
      <c r="J19" s="45" t="s">
        <v>2954</v>
      </c>
      <c r="K19" s="45" t="s">
        <v>2955</v>
      </c>
      <c r="L19" s="45" t="s">
        <v>2956</v>
      </c>
      <c r="M19" s="120">
        <f>3.269722222*1000*20/1000*1355.29</f>
        <v>88628.436605087598</v>
      </c>
      <c r="N19" s="116">
        <v>5</v>
      </c>
      <c r="O19" s="119">
        <f t="shared" si="0"/>
        <v>443142.18302543799</v>
      </c>
      <c r="P19" s="116" t="s">
        <v>2914</v>
      </c>
      <c r="S19"/>
    </row>
    <row r="20" spans="1:19" ht="106.5">
      <c r="A20" s="114" t="s">
        <v>2761</v>
      </c>
      <c r="B20" s="45" t="s">
        <v>1482</v>
      </c>
      <c r="C20" s="45" t="s">
        <v>2957</v>
      </c>
      <c r="D20" s="45" t="s">
        <v>2958</v>
      </c>
      <c r="E20" s="45" t="s">
        <v>2959</v>
      </c>
      <c r="F20" s="45" t="s">
        <v>2960</v>
      </c>
      <c r="G20" s="45" t="s">
        <v>2961</v>
      </c>
      <c r="H20" s="45" t="s">
        <v>2962</v>
      </c>
      <c r="I20" s="45" t="s">
        <v>2963</v>
      </c>
      <c r="J20" s="45" t="s">
        <v>2964</v>
      </c>
      <c r="K20" s="45" t="s">
        <v>2965</v>
      </c>
      <c r="L20" s="45" t="s">
        <v>2966</v>
      </c>
      <c r="M20" s="56">
        <v>2588</v>
      </c>
      <c r="N20" s="116">
        <v>5</v>
      </c>
      <c r="O20" s="119">
        <f t="shared" si="0"/>
        <v>12940</v>
      </c>
      <c r="P20" s="116" t="s">
        <v>2914</v>
      </c>
      <c r="S20"/>
    </row>
    <row r="21" spans="1:19" ht="45.75">
      <c r="A21" s="114" t="s">
        <v>2761</v>
      </c>
      <c r="B21" s="45" t="s">
        <v>2967</v>
      </c>
      <c r="C21" s="45" t="s">
        <v>2968</v>
      </c>
      <c r="D21" s="45" t="s">
        <v>2969</v>
      </c>
      <c r="E21" s="45" t="s">
        <v>2816</v>
      </c>
      <c r="F21" s="45" t="s">
        <v>2970</v>
      </c>
      <c r="G21" s="45" t="s">
        <v>2971</v>
      </c>
      <c r="H21" s="45" t="s">
        <v>2816</v>
      </c>
      <c r="I21" s="45" t="s">
        <v>2972</v>
      </c>
      <c r="J21" s="45" t="s">
        <v>2816</v>
      </c>
      <c r="K21" s="45" t="s">
        <v>2816</v>
      </c>
      <c r="L21" s="45" t="s">
        <v>2816</v>
      </c>
      <c r="M21" s="56">
        <v>0</v>
      </c>
      <c r="N21" s="116">
        <v>5</v>
      </c>
      <c r="O21" s="119">
        <f t="shared" si="0"/>
        <v>0</v>
      </c>
      <c r="P21" s="116" t="s">
        <v>2914</v>
      </c>
      <c r="S21"/>
    </row>
    <row r="22" spans="1:19" ht="60.75">
      <c r="A22" s="114" t="s">
        <v>2785</v>
      </c>
      <c r="B22" s="45" t="s">
        <v>2762</v>
      </c>
      <c r="C22" s="45" t="s">
        <v>2973</v>
      </c>
      <c r="D22" s="45" t="s">
        <v>2974</v>
      </c>
      <c r="E22" s="45" t="s">
        <v>2975</v>
      </c>
      <c r="F22" s="45">
        <v>0</v>
      </c>
      <c r="G22" s="45">
        <v>0</v>
      </c>
      <c r="H22" s="45">
        <v>0</v>
      </c>
      <c r="I22" s="45">
        <v>0</v>
      </c>
      <c r="J22" s="45">
        <v>0</v>
      </c>
      <c r="K22" s="45">
        <v>0</v>
      </c>
      <c r="L22" s="45">
        <v>0</v>
      </c>
      <c r="M22" s="56">
        <v>0</v>
      </c>
      <c r="N22" s="116">
        <v>4</v>
      </c>
      <c r="O22" s="119">
        <f t="shared" si="0"/>
        <v>0</v>
      </c>
      <c r="P22" s="116" t="s">
        <v>2773</v>
      </c>
      <c r="S22"/>
    </row>
    <row r="23" spans="1:19" ht="60.75">
      <c r="A23" s="114" t="s">
        <v>2785</v>
      </c>
      <c r="B23" s="45" t="s">
        <v>2774</v>
      </c>
      <c r="C23" s="45" t="s">
        <v>641</v>
      </c>
      <c r="D23" s="45" t="s">
        <v>2976</v>
      </c>
      <c r="E23" s="45" t="s">
        <v>2977</v>
      </c>
      <c r="F23" s="45" t="s">
        <v>2978</v>
      </c>
      <c r="G23" s="45" t="s">
        <v>2979</v>
      </c>
      <c r="H23" s="45" t="s">
        <v>2816</v>
      </c>
      <c r="I23" s="45" t="s">
        <v>2980</v>
      </c>
      <c r="J23" s="45" t="s">
        <v>2981</v>
      </c>
      <c r="K23" s="45" t="s">
        <v>2982</v>
      </c>
      <c r="L23" s="45" t="s">
        <v>2816</v>
      </c>
      <c r="M23" s="120">
        <v>484000</v>
      </c>
      <c r="N23" s="116">
        <v>4</v>
      </c>
      <c r="O23" s="119">
        <f t="shared" si="0"/>
        <v>1936000</v>
      </c>
      <c r="P23" s="116" t="s">
        <v>2773</v>
      </c>
      <c r="S23"/>
    </row>
    <row r="24" spans="1:19" ht="30.75">
      <c r="A24" s="114" t="s">
        <v>2785</v>
      </c>
      <c r="B24" s="45" t="s">
        <v>2786</v>
      </c>
      <c r="C24" s="45">
        <v>0</v>
      </c>
      <c r="D24" s="45" t="s">
        <v>2983</v>
      </c>
      <c r="E24" s="45">
        <v>0</v>
      </c>
      <c r="F24" s="45">
        <v>0</v>
      </c>
      <c r="G24" s="45">
        <v>0</v>
      </c>
      <c r="H24" s="45">
        <v>0</v>
      </c>
      <c r="I24" s="45">
        <v>0</v>
      </c>
      <c r="J24" s="45">
        <v>0</v>
      </c>
      <c r="K24" s="45">
        <v>0</v>
      </c>
      <c r="L24" s="45">
        <v>0</v>
      </c>
      <c r="M24" s="120">
        <v>4720000</v>
      </c>
      <c r="N24" s="116">
        <v>4</v>
      </c>
      <c r="O24" s="119">
        <f t="shared" si="0"/>
        <v>18880000</v>
      </c>
      <c r="P24" s="116" t="s">
        <v>2773</v>
      </c>
      <c r="S24"/>
    </row>
    <row r="25" spans="1:19" ht="30.75">
      <c r="A25" s="114" t="s">
        <v>2785</v>
      </c>
      <c r="B25" s="45" t="s">
        <v>2798</v>
      </c>
      <c r="C25" s="45" t="s">
        <v>2984</v>
      </c>
      <c r="D25" s="45" t="s">
        <v>2985</v>
      </c>
      <c r="E25" s="45" t="s">
        <v>2986</v>
      </c>
      <c r="F25" s="45" t="s">
        <v>2987</v>
      </c>
      <c r="G25" s="45" t="s">
        <v>2988</v>
      </c>
      <c r="H25" s="45" t="s">
        <v>2989</v>
      </c>
      <c r="I25" s="45" t="s">
        <v>2990</v>
      </c>
      <c r="J25" s="45" t="s">
        <v>2991</v>
      </c>
      <c r="K25" s="45" t="s">
        <v>2991</v>
      </c>
      <c r="L25" s="45" t="s">
        <v>2991</v>
      </c>
      <c r="M25" s="56">
        <f>((1579-302)/3600)*30000*30</f>
        <v>319250</v>
      </c>
      <c r="N25" s="116">
        <v>4</v>
      </c>
      <c r="O25" s="119">
        <f t="shared" si="0"/>
        <v>1277000</v>
      </c>
      <c r="P25" s="116" t="s">
        <v>2798</v>
      </c>
      <c r="S25"/>
    </row>
    <row r="26" spans="1:19" ht="30.75">
      <c r="A26" s="114" t="s">
        <v>2785</v>
      </c>
      <c r="B26" s="45" t="s">
        <v>2810</v>
      </c>
      <c r="C26" s="45">
        <v>0</v>
      </c>
      <c r="D26" s="45" t="s">
        <v>2992</v>
      </c>
      <c r="E26" s="45">
        <v>0</v>
      </c>
      <c r="F26" s="45">
        <v>0</v>
      </c>
      <c r="G26" s="45">
        <v>0</v>
      </c>
      <c r="H26" s="45">
        <v>0</v>
      </c>
      <c r="I26" s="45">
        <v>0</v>
      </c>
      <c r="J26" s="45">
        <v>0</v>
      </c>
      <c r="K26" s="45">
        <v>0</v>
      </c>
      <c r="L26" s="45">
        <v>0</v>
      </c>
      <c r="M26" s="56">
        <v>333666</v>
      </c>
      <c r="N26" s="116">
        <v>4</v>
      </c>
      <c r="O26" s="119">
        <f t="shared" si="0"/>
        <v>1334664</v>
      </c>
      <c r="P26" s="116" t="s">
        <v>2817</v>
      </c>
      <c r="S26"/>
    </row>
    <row r="27" spans="1:19" ht="45.75">
      <c r="A27" s="114" t="s">
        <v>2785</v>
      </c>
      <c r="B27" s="45" t="s">
        <v>2819</v>
      </c>
      <c r="C27" s="45">
        <v>0</v>
      </c>
      <c r="D27" s="45" t="s">
        <v>2993</v>
      </c>
      <c r="E27" s="45">
        <v>0</v>
      </c>
      <c r="F27" s="45">
        <v>0</v>
      </c>
      <c r="G27" s="45">
        <v>0</v>
      </c>
      <c r="H27" s="45">
        <v>0</v>
      </c>
      <c r="I27" s="45">
        <v>0</v>
      </c>
      <c r="J27" s="45">
        <v>0</v>
      </c>
      <c r="K27" s="45">
        <v>0</v>
      </c>
      <c r="L27" s="45">
        <v>0</v>
      </c>
      <c r="M27" s="56">
        <v>360000</v>
      </c>
      <c r="N27" s="116">
        <v>4</v>
      </c>
      <c r="O27" s="119">
        <f t="shared" si="0"/>
        <v>1440000</v>
      </c>
      <c r="P27" s="116" t="s">
        <v>2817</v>
      </c>
      <c r="S27"/>
    </row>
    <row r="28" spans="1:19" ht="30.75">
      <c r="A28" s="114" t="s">
        <v>2785</v>
      </c>
      <c r="B28" s="45" t="s">
        <v>2831</v>
      </c>
      <c r="C28" s="45">
        <v>0</v>
      </c>
      <c r="D28" s="45" t="s">
        <v>2994</v>
      </c>
      <c r="E28" s="45">
        <v>0</v>
      </c>
      <c r="F28" s="45">
        <v>0</v>
      </c>
      <c r="G28" s="45">
        <v>0</v>
      </c>
      <c r="H28" s="45">
        <v>0</v>
      </c>
      <c r="I28" s="45">
        <v>0</v>
      </c>
      <c r="J28" s="45">
        <v>0</v>
      </c>
      <c r="K28" s="45">
        <v>0</v>
      </c>
      <c r="L28" s="45">
        <v>0</v>
      </c>
      <c r="M28" s="56">
        <v>960000</v>
      </c>
      <c r="N28" s="116">
        <v>4</v>
      </c>
      <c r="O28" s="119">
        <f t="shared" si="0"/>
        <v>3840000</v>
      </c>
      <c r="P28" s="116" t="s">
        <v>2841</v>
      </c>
      <c r="S28"/>
    </row>
    <row r="29" spans="1:19">
      <c r="A29" s="114" t="s">
        <v>2785</v>
      </c>
      <c r="B29" s="45" t="s">
        <v>2843</v>
      </c>
      <c r="C29" s="45">
        <v>0</v>
      </c>
      <c r="D29" s="45"/>
      <c r="E29" s="45">
        <v>0</v>
      </c>
      <c r="F29" s="45">
        <v>0</v>
      </c>
      <c r="G29" s="45">
        <v>0</v>
      </c>
      <c r="H29" s="45">
        <v>0</v>
      </c>
      <c r="I29" s="45">
        <v>0</v>
      </c>
      <c r="J29" s="45">
        <v>0</v>
      </c>
      <c r="K29" s="45">
        <v>0</v>
      </c>
      <c r="L29" s="45">
        <v>0</v>
      </c>
      <c r="M29" s="56">
        <v>0</v>
      </c>
      <c r="N29" s="116">
        <v>4</v>
      </c>
      <c r="O29" s="119">
        <f t="shared" si="0"/>
        <v>0</v>
      </c>
      <c r="P29" s="116" t="s">
        <v>2854</v>
      </c>
      <c r="S29"/>
    </row>
    <row r="30" spans="1:19">
      <c r="A30" s="114" t="s">
        <v>2785</v>
      </c>
      <c r="B30" s="45" t="s">
        <v>2855</v>
      </c>
      <c r="C30" s="45">
        <v>0</v>
      </c>
      <c r="D30" s="45"/>
      <c r="E30" s="45">
        <v>0</v>
      </c>
      <c r="F30" s="45">
        <v>0</v>
      </c>
      <c r="G30" s="45">
        <v>0</v>
      </c>
      <c r="H30" s="45">
        <v>0</v>
      </c>
      <c r="I30" s="45">
        <v>0</v>
      </c>
      <c r="J30" s="45">
        <v>0</v>
      </c>
      <c r="K30" s="45">
        <v>0</v>
      </c>
      <c r="L30" s="45">
        <v>0</v>
      </c>
      <c r="M30" s="56">
        <v>0</v>
      </c>
      <c r="N30" s="116">
        <v>4</v>
      </c>
      <c r="O30" s="119">
        <f t="shared" si="0"/>
        <v>0</v>
      </c>
      <c r="P30" s="116" t="s">
        <v>2854</v>
      </c>
      <c r="S30"/>
    </row>
    <row r="31" spans="1:19">
      <c r="A31" s="114" t="s">
        <v>2785</v>
      </c>
      <c r="B31" s="45" t="s">
        <v>2866</v>
      </c>
      <c r="C31" s="45" t="s">
        <v>2995</v>
      </c>
      <c r="D31" s="45"/>
      <c r="E31" s="45" t="s">
        <v>2996</v>
      </c>
      <c r="F31" s="45" t="s">
        <v>2997</v>
      </c>
      <c r="G31" s="45" t="s">
        <v>2997</v>
      </c>
      <c r="H31" s="45" t="s">
        <v>2997</v>
      </c>
      <c r="I31" s="45" t="s">
        <v>2997</v>
      </c>
      <c r="J31" s="45" t="s">
        <v>2997</v>
      </c>
      <c r="K31" s="45" t="s">
        <v>2997</v>
      </c>
      <c r="L31" s="45" t="s">
        <v>2997</v>
      </c>
      <c r="M31" s="56">
        <v>260</v>
      </c>
      <c r="N31" s="116">
        <v>2</v>
      </c>
      <c r="O31" s="119">
        <f t="shared" si="0"/>
        <v>520</v>
      </c>
      <c r="P31" s="116" t="s">
        <v>2854</v>
      </c>
      <c r="S31"/>
    </row>
    <row r="32" spans="1:19" ht="213">
      <c r="A32" s="114" t="s">
        <v>2785</v>
      </c>
      <c r="B32" s="45" t="s">
        <v>2877</v>
      </c>
      <c r="C32" s="45" t="s">
        <v>2998</v>
      </c>
      <c r="D32" s="45"/>
      <c r="E32" s="45" t="s">
        <v>2999</v>
      </c>
      <c r="F32" s="45" t="s">
        <v>3000</v>
      </c>
      <c r="G32" s="45" t="s">
        <v>3001</v>
      </c>
      <c r="H32" s="45" t="s">
        <v>3002</v>
      </c>
      <c r="I32" s="45" t="s">
        <v>3003</v>
      </c>
      <c r="J32" s="45" t="s">
        <v>3004</v>
      </c>
      <c r="K32" s="45" t="s">
        <v>3004</v>
      </c>
      <c r="L32" s="45" t="s">
        <v>3004</v>
      </c>
      <c r="M32" s="56">
        <v>15000</v>
      </c>
      <c r="N32" s="116">
        <v>4</v>
      </c>
      <c r="O32" s="119">
        <f t="shared" si="0"/>
        <v>60000</v>
      </c>
      <c r="P32" s="116" t="s">
        <v>2854</v>
      </c>
      <c r="S32"/>
    </row>
    <row r="33" spans="1:19" ht="60.75">
      <c r="A33" s="114" t="s">
        <v>2785</v>
      </c>
      <c r="B33" s="45" t="s">
        <v>2885</v>
      </c>
      <c r="C33" s="45" t="s">
        <v>3005</v>
      </c>
      <c r="D33" s="45" t="s">
        <v>3006</v>
      </c>
      <c r="E33" s="45" t="s">
        <v>3007</v>
      </c>
      <c r="F33" s="45" t="s">
        <v>3008</v>
      </c>
      <c r="G33" s="45" t="s">
        <v>3009</v>
      </c>
      <c r="H33" s="45" t="s">
        <v>3010</v>
      </c>
      <c r="I33" s="45" t="s">
        <v>3011</v>
      </c>
      <c r="J33" s="45" t="s">
        <v>2835</v>
      </c>
      <c r="K33" s="45" t="s">
        <v>3012</v>
      </c>
      <c r="L33" s="45" t="s">
        <v>3013</v>
      </c>
      <c r="M33" s="56">
        <v>36000</v>
      </c>
      <c r="N33" s="116">
        <v>4</v>
      </c>
      <c r="O33" s="119">
        <f t="shared" si="0"/>
        <v>144000</v>
      </c>
      <c r="P33" s="116" t="s">
        <v>2854</v>
      </c>
      <c r="S33"/>
    </row>
    <row r="34" spans="1:19">
      <c r="A34" s="114" t="s">
        <v>2785</v>
      </c>
      <c r="B34" s="45" t="s">
        <v>1434</v>
      </c>
      <c r="C34" s="45">
        <v>0</v>
      </c>
      <c r="D34" s="45" t="s">
        <v>3014</v>
      </c>
      <c r="E34" s="45">
        <v>0</v>
      </c>
      <c r="F34" s="45">
        <v>0</v>
      </c>
      <c r="G34" s="45">
        <v>0</v>
      </c>
      <c r="H34" s="45">
        <v>0</v>
      </c>
      <c r="I34" s="45">
        <v>0</v>
      </c>
      <c r="J34" s="45">
        <v>0</v>
      </c>
      <c r="K34" s="45">
        <v>0</v>
      </c>
      <c r="L34" s="45">
        <v>0</v>
      </c>
      <c r="M34" s="56">
        <v>763241.66666666663</v>
      </c>
      <c r="N34" s="116">
        <v>4</v>
      </c>
      <c r="O34" s="119">
        <f t="shared" si="0"/>
        <v>3052966.6666666665</v>
      </c>
      <c r="P34" s="116" t="s">
        <v>2544</v>
      </c>
      <c r="S34"/>
    </row>
    <row r="35" spans="1:19" ht="45.75">
      <c r="A35" s="114" t="s">
        <v>2785</v>
      </c>
      <c r="B35" s="45" t="s">
        <v>2903</v>
      </c>
      <c r="C35" s="45" t="s">
        <v>3015</v>
      </c>
      <c r="D35" s="45" t="s">
        <v>3016</v>
      </c>
      <c r="E35" s="45" t="s">
        <v>3017</v>
      </c>
      <c r="F35" s="45" t="s">
        <v>3018</v>
      </c>
      <c r="G35" s="45" t="s">
        <v>3019</v>
      </c>
      <c r="H35" s="45" t="s">
        <v>3020</v>
      </c>
      <c r="I35" s="45" t="s">
        <v>3021</v>
      </c>
      <c r="J35" s="45" t="s">
        <v>3022</v>
      </c>
      <c r="K35" s="45" t="s">
        <v>3023</v>
      </c>
      <c r="L35" s="45" t="s">
        <v>3024</v>
      </c>
      <c r="M35" s="56">
        <v>1920000</v>
      </c>
      <c r="N35" s="123">
        <v>2</v>
      </c>
      <c r="O35" s="119">
        <f t="shared" si="0"/>
        <v>3840000</v>
      </c>
      <c r="P35" s="116" t="s">
        <v>2914</v>
      </c>
      <c r="S35"/>
    </row>
    <row r="36" spans="1:19" ht="60.75">
      <c r="A36" s="114" t="s">
        <v>2785</v>
      </c>
      <c r="B36" s="45" t="s">
        <v>2915</v>
      </c>
      <c r="C36" s="45" t="s">
        <v>3025</v>
      </c>
      <c r="D36" s="45" t="s">
        <v>3026</v>
      </c>
      <c r="E36" s="45" t="s">
        <v>3027</v>
      </c>
      <c r="F36" s="45" t="s">
        <v>3028</v>
      </c>
      <c r="G36" s="45" t="s">
        <v>3029</v>
      </c>
      <c r="H36" s="45" t="s">
        <v>3030</v>
      </c>
      <c r="I36" s="45" t="s">
        <v>3031</v>
      </c>
      <c r="J36" s="45" t="s">
        <v>3032</v>
      </c>
      <c r="K36" s="45" t="s">
        <v>3033</v>
      </c>
      <c r="L36" s="45" t="s">
        <v>3034</v>
      </c>
      <c r="M36" s="120">
        <f>3071400/3</f>
        <v>1023800</v>
      </c>
      <c r="N36" s="116">
        <v>4</v>
      </c>
      <c r="O36" s="119">
        <f t="shared" si="0"/>
        <v>4095200</v>
      </c>
      <c r="P36" s="116" t="s">
        <v>2914</v>
      </c>
      <c r="S36"/>
    </row>
    <row r="37" spans="1:19" ht="30.75">
      <c r="A37" s="114" t="s">
        <v>2785</v>
      </c>
      <c r="B37" s="45" t="s">
        <v>2926</v>
      </c>
      <c r="C37" s="45" t="s">
        <v>3035</v>
      </c>
      <c r="D37" s="45" t="s">
        <v>3036</v>
      </c>
      <c r="E37" s="45" t="s">
        <v>3037</v>
      </c>
      <c r="F37" s="45" t="s">
        <v>3038</v>
      </c>
      <c r="G37" s="45" t="s">
        <v>3039</v>
      </c>
      <c r="H37" s="45" t="s">
        <v>3040</v>
      </c>
      <c r="I37" s="45" t="s">
        <v>3041</v>
      </c>
      <c r="J37" s="45" t="s">
        <v>2934</v>
      </c>
      <c r="K37" s="45" t="s">
        <v>3042</v>
      </c>
      <c r="L37" s="45" t="s">
        <v>3043</v>
      </c>
      <c r="M37" s="56">
        <v>0</v>
      </c>
      <c r="N37" s="116">
        <v>4</v>
      </c>
      <c r="O37" s="119">
        <f t="shared" si="0"/>
        <v>0</v>
      </c>
      <c r="P37" s="116" t="s">
        <v>2914</v>
      </c>
      <c r="S37"/>
    </row>
    <row r="38" spans="1:19" ht="229.5">
      <c r="A38" s="114" t="s">
        <v>2785</v>
      </c>
      <c r="B38" s="45" t="s">
        <v>2592</v>
      </c>
      <c r="C38" s="45" t="s">
        <v>3044</v>
      </c>
      <c r="D38" s="45" t="s">
        <v>3045</v>
      </c>
      <c r="E38" s="45" t="s">
        <v>3046</v>
      </c>
      <c r="F38" s="45" t="s">
        <v>3047</v>
      </c>
      <c r="G38" s="45" t="s">
        <v>3048</v>
      </c>
      <c r="H38" s="45" t="s">
        <v>3049</v>
      </c>
      <c r="I38" s="45" t="s">
        <v>3050</v>
      </c>
      <c r="J38" s="45" t="s">
        <v>3051</v>
      </c>
      <c r="K38" s="45">
        <v>0</v>
      </c>
      <c r="L38" s="45" t="s">
        <v>3052</v>
      </c>
      <c r="M38" s="56">
        <v>0</v>
      </c>
      <c r="N38" s="116">
        <v>4</v>
      </c>
      <c r="O38" s="119">
        <f t="shared" si="0"/>
        <v>0</v>
      </c>
      <c r="P38" s="116" t="s">
        <v>2914</v>
      </c>
      <c r="S38"/>
    </row>
    <row r="39" spans="1:19" ht="91.5">
      <c r="A39" s="114" t="s">
        <v>2785</v>
      </c>
      <c r="B39" s="45" t="s">
        <v>2602</v>
      </c>
      <c r="C39" s="45" t="s">
        <v>3053</v>
      </c>
      <c r="D39" s="45" t="s">
        <v>3054</v>
      </c>
      <c r="E39" s="45" t="s">
        <v>3055</v>
      </c>
      <c r="F39" s="45" t="s">
        <v>3056</v>
      </c>
      <c r="G39" s="45" t="s">
        <v>3057</v>
      </c>
      <c r="H39" s="45" t="s">
        <v>3058</v>
      </c>
      <c r="I39" s="45" t="s">
        <v>3059</v>
      </c>
      <c r="J39" s="45" t="s">
        <v>3060</v>
      </c>
      <c r="K39" s="45" t="s">
        <v>3061</v>
      </c>
      <c r="L39" s="45" t="s">
        <v>3062</v>
      </c>
      <c r="M39" s="56">
        <f>(5052000+46944)/12</f>
        <v>424912</v>
      </c>
      <c r="N39" s="116">
        <v>4</v>
      </c>
      <c r="O39" s="119">
        <f t="shared" si="0"/>
        <v>1699648</v>
      </c>
      <c r="P39" s="116" t="s">
        <v>2914</v>
      </c>
      <c r="S39"/>
    </row>
    <row r="40" spans="1:19" ht="91.5">
      <c r="A40" s="114" t="s">
        <v>2785</v>
      </c>
      <c r="B40" s="45" t="s">
        <v>1482</v>
      </c>
      <c r="C40" s="45" t="s">
        <v>3063</v>
      </c>
      <c r="D40" s="45" t="s">
        <v>3064</v>
      </c>
      <c r="E40" s="45" t="s">
        <v>3065</v>
      </c>
      <c r="F40" s="45" t="s">
        <v>3066</v>
      </c>
      <c r="G40" s="45" t="s">
        <v>3067</v>
      </c>
      <c r="H40" s="45" t="s">
        <v>3068</v>
      </c>
      <c r="I40" s="45" t="s">
        <v>3069</v>
      </c>
      <c r="J40" s="45" t="s">
        <v>3070</v>
      </c>
      <c r="K40" s="45" t="s">
        <v>3071</v>
      </c>
      <c r="L40" s="45" t="s">
        <v>3072</v>
      </c>
      <c r="M40" s="56">
        <v>11666</v>
      </c>
      <c r="N40" s="116">
        <v>4</v>
      </c>
      <c r="O40" s="119">
        <f t="shared" si="0"/>
        <v>46664</v>
      </c>
      <c r="P40" s="116" t="s">
        <v>2914</v>
      </c>
      <c r="S40"/>
    </row>
    <row r="41" spans="1:19">
      <c r="A41" s="114" t="s">
        <v>2785</v>
      </c>
      <c r="B41" s="45" t="s">
        <v>2967</v>
      </c>
      <c r="C41" s="45">
        <v>0</v>
      </c>
      <c r="D41" s="45">
        <v>0</v>
      </c>
      <c r="E41" s="45">
        <v>0</v>
      </c>
      <c r="F41" s="45">
        <v>0</v>
      </c>
      <c r="G41" s="45">
        <v>0</v>
      </c>
      <c r="H41" s="45">
        <v>0</v>
      </c>
      <c r="I41" s="45">
        <v>0</v>
      </c>
      <c r="J41" s="45">
        <v>0</v>
      </c>
      <c r="K41" s="45">
        <v>0</v>
      </c>
      <c r="L41" s="45">
        <v>0</v>
      </c>
      <c r="M41" s="56">
        <v>0</v>
      </c>
      <c r="N41" s="116">
        <v>4</v>
      </c>
      <c r="O41" s="119">
        <f t="shared" si="0"/>
        <v>0</v>
      </c>
      <c r="P41" s="116" t="s">
        <v>2914</v>
      </c>
      <c r="S41"/>
    </row>
    <row r="42" spans="1:19">
      <c r="A42" s="114" t="s">
        <v>2797</v>
      </c>
      <c r="B42" s="53" t="s">
        <v>2762</v>
      </c>
      <c r="C42" s="53">
        <v>0</v>
      </c>
      <c r="D42" s="53">
        <v>0</v>
      </c>
      <c r="E42" s="53">
        <v>0</v>
      </c>
      <c r="F42" s="53">
        <v>0</v>
      </c>
      <c r="G42" s="53">
        <v>0</v>
      </c>
      <c r="H42" s="53">
        <v>0</v>
      </c>
      <c r="I42" s="53">
        <v>0</v>
      </c>
      <c r="J42" s="53">
        <v>0</v>
      </c>
      <c r="K42" s="53">
        <v>0</v>
      </c>
      <c r="L42" s="53">
        <v>0</v>
      </c>
      <c r="M42" s="124"/>
      <c r="N42" s="116">
        <v>4</v>
      </c>
      <c r="O42" s="119">
        <f t="shared" si="0"/>
        <v>0</v>
      </c>
      <c r="P42" s="116" t="s">
        <v>2773</v>
      </c>
      <c r="S42"/>
    </row>
    <row r="43" spans="1:19" ht="45.75">
      <c r="A43" s="114" t="s">
        <v>2797</v>
      </c>
      <c r="B43" s="53" t="s">
        <v>2774</v>
      </c>
      <c r="C43" s="53" t="s">
        <v>3073</v>
      </c>
      <c r="D43" s="53" t="s">
        <v>3074</v>
      </c>
      <c r="E43" s="53" t="s">
        <v>3075</v>
      </c>
      <c r="F43" s="53" t="s">
        <v>3076</v>
      </c>
      <c r="G43" s="53" t="s">
        <v>3077</v>
      </c>
      <c r="H43" s="53" t="s">
        <v>3078</v>
      </c>
      <c r="I43" s="53" t="s">
        <v>3079</v>
      </c>
      <c r="J43" s="53" t="s">
        <v>3080</v>
      </c>
      <c r="K43" s="53" t="s">
        <v>3081</v>
      </c>
      <c r="L43" s="53" t="s">
        <v>3082</v>
      </c>
      <c r="M43" s="125">
        <v>15878499</v>
      </c>
      <c r="N43" s="116">
        <v>4</v>
      </c>
      <c r="O43" s="119">
        <f t="shared" si="0"/>
        <v>63513996</v>
      </c>
      <c r="P43" s="116" t="s">
        <v>2773</v>
      </c>
      <c r="S43"/>
    </row>
    <row r="44" spans="1:19" ht="30.75">
      <c r="A44" s="114" t="s">
        <v>2797</v>
      </c>
      <c r="B44" s="53" t="s">
        <v>2786</v>
      </c>
      <c r="C44" s="53">
        <v>0</v>
      </c>
      <c r="D44" s="53" t="s">
        <v>3083</v>
      </c>
      <c r="E44" s="53">
        <v>0</v>
      </c>
      <c r="F44" s="53">
        <v>0</v>
      </c>
      <c r="G44" s="53">
        <v>0</v>
      </c>
      <c r="H44" s="53">
        <v>0</v>
      </c>
      <c r="I44" s="53">
        <v>0</v>
      </c>
      <c r="J44" s="53">
        <v>0</v>
      </c>
      <c r="K44" s="53">
        <v>0</v>
      </c>
      <c r="L44" s="53">
        <v>0</v>
      </c>
      <c r="M44" s="124">
        <v>900000</v>
      </c>
      <c r="N44" s="116">
        <v>4</v>
      </c>
      <c r="O44" s="119">
        <f t="shared" si="0"/>
        <v>3600000</v>
      </c>
      <c r="P44" s="116" t="s">
        <v>2773</v>
      </c>
      <c r="S44"/>
    </row>
    <row r="45" spans="1:19" ht="45.75">
      <c r="A45" s="114" t="s">
        <v>2797</v>
      </c>
      <c r="B45" s="53" t="s">
        <v>2798</v>
      </c>
      <c r="C45" s="53" t="s">
        <v>988</v>
      </c>
      <c r="D45" s="53" t="s">
        <v>3084</v>
      </c>
      <c r="E45" s="53" t="s">
        <v>3085</v>
      </c>
      <c r="F45" s="53" t="s">
        <v>3086</v>
      </c>
      <c r="G45" s="53" t="s">
        <v>3087</v>
      </c>
      <c r="H45" s="53" t="s">
        <v>3088</v>
      </c>
      <c r="I45" s="53" t="s">
        <v>3089</v>
      </c>
      <c r="J45" s="53" t="s">
        <v>3090</v>
      </c>
      <c r="K45" s="53" t="s">
        <v>2816</v>
      </c>
      <c r="L45" s="53" t="s">
        <v>2816</v>
      </c>
      <c r="M45" s="124">
        <v>27067</v>
      </c>
      <c r="N45" s="116">
        <v>4</v>
      </c>
      <c r="O45" s="119">
        <f t="shared" si="0"/>
        <v>108268</v>
      </c>
      <c r="P45" s="116" t="s">
        <v>2798</v>
      </c>
      <c r="S45"/>
    </row>
    <row r="46" spans="1:19" ht="30.75">
      <c r="A46" s="114" t="s">
        <v>2797</v>
      </c>
      <c r="B46" s="53" t="s">
        <v>2810</v>
      </c>
      <c r="C46" s="53">
        <v>0</v>
      </c>
      <c r="D46" s="53" t="s">
        <v>3091</v>
      </c>
      <c r="E46" s="53">
        <v>0</v>
      </c>
      <c r="F46" s="53">
        <v>0</v>
      </c>
      <c r="G46" s="53">
        <v>0</v>
      </c>
      <c r="H46" s="53">
        <v>0</v>
      </c>
      <c r="I46" s="53">
        <v>0</v>
      </c>
      <c r="J46" s="53">
        <v>0</v>
      </c>
      <c r="K46" s="53">
        <v>0</v>
      </c>
      <c r="L46" s="53">
        <v>0</v>
      </c>
      <c r="M46" s="124">
        <v>300000</v>
      </c>
      <c r="N46" s="116">
        <v>4</v>
      </c>
      <c r="O46" s="119">
        <f t="shared" si="0"/>
        <v>1200000</v>
      </c>
      <c r="P46" s="116" t="s">
        <v>2817</v>
      </c>
      <c r="S46"/>
    </row>
    <row r="47" spans="1:19" ht="30.75">
      <c r="A47" s="114" t="s">
        <v>2797</v>
      </c>
      <c r="B47" s="53" t="s">
        <v>2819</v>
      </c>
      <c r="C47" s="53"/>
      <c r="D47" s="53" t="s">
        <v>3092</v>
      </c>
      <c r="E47" s="53"/>
      <c r="F47" s="53"/>
      <c r="G47" s="53"/>
      <c r="H47" s="53"/>
      <c r="I47" s="53"/>
      <c r="J47" s="53"/>
      <c r="K47" s="53"/>
      <c r="L47" s="53"/>
      <c r="M47" s="124">
        <v>5905000</v>
      </c>
      <c r="N47" s="116">
        <v>4</v>
      </c>
      <c r="O47" s="119">
        <f t="shared" si="0"/>
        <v>23620000</v>
      </c>
      <c r="P47" s="116" t="s">
        <v>2817</v>
      </c>
      <c r="S47"/>
    </row>
    <row r="48" spans="1:19" ht="30.75">
      <c r="A48" s="114" t="s">
        <v>2797</v>
      </c>
      <c r="B48" s="53" t="s">
        <v>2841</v>
      </c>
      <c r="C48" s="53">
        <v>0</v>
      </c>
      <c r="D48" s="53" t="s">
        <v>3093</v>
      </c>
      <c r="E48" s="53">
        <v>0</v>
      </c>
      <c r="F48" s="53">
        <v>0</v>
      </c>
      <c r="G48" s="53">
        <v>0</v>
      </c>
      <c r="H48" s="53">
        <v>0</v>
      </c>
      <c r="I48" s="53">
        <v>0</v>
      </c>
      <c r="J48" s="53">
        <v>0</v>
      </c>
      <c r="K48" s="53">
        <v>0</v>
      </c>
      <c r="L48" s="53">
        <v>0</v>
      </c>
      <c r="M48" s="124"/>
      <c r="N48" s="116">
        <v>4</v>
      </c>
      <c r="O48" s="119">
        <f t="shared" si="0"/>
        <v>0</v>
      </c>
      <c r="P48" s="116" t="s">
        <v>2841</v>
      </c>
      <c r="S48"/>
    </row>
    <row r="49" spans="1:19">
      <c r="A49" s="114" t="s">
        <v>2797</v>
      </c>
      <c r="B49" s="53" t="s">
        <v>2843</v>
      </c>
      <c r="C49" s="53">
        <v>0</v>
      </c>
      <c r="D49" s="53"/>
      <c r="E49" s="53">
        <v>0</v>
      </c>
      <c r="F49" s="53">
        <v>0</v>
      </c>
      <c r="G49" s="53">
        <v>0</v>
      </c>
      <c r="H49" s="53">
        <v>0</v>
      </c>
      <c r="I49" s="53">
        <v>0</v>
      </c>
      <c r="J49" s="53">
        <v>0</v>
      </c>
      <c r="K49" s="53">
        <v>0</v>
      </c>
      <c r="L49" s="53">
        <v>0</v>
      </c>
      <c r="M49" s="124">
        <v>2148000</v>
      </c>
      <c r="N49" s="116">
        <v>2</v>
      </c>
      <c r="O49" s="119">
        <f t="shared" si="0"/>
        <v>4296000</v>
      </c>
      <c r="P49" s="116" t="s">
        <v>2854</v>
      </c>
      <c r="S49"/>
    </row>
    <row r="50" spans="1:19">
      <c r="A50" s="114" t="s">
        <v>2797</v>
      </c>
      <c r="B50" s="53" t="s">
        <v>2855</v>
      </c>
      <c r="C50" s="53">
        <v>0</v>
      </c>
      <c r="D50" s="53"/>
      <c r="E50" s="53">
        <v>0</v>
      </c>
      <c r="F50" s="53">
        <v>0</v>
      </c>
      <c r="G50" s="53">
        <v>0</v>
      </c>
      <c r="H50" s="53">
        <v>0</v>
      </c>
      <c r="I50" s="53">
        <v>0</v>
      </c>
      <c r="J50" s="53">
        <v>0</v>
      </c>
      <c r="K50" s="53">
        <v>0</v>
      </c>
      <c r="L50" s="53">
        <v>0</v>
      </c>
      <c r="M50" s="124">
        <v>0</v>
      </c>
      <c r="N50" s="116">
        <v>4</v>
      </c>
      <c r="O50" s="119">
        <f t="shared" si="0"/>
        <v>0</v>
      </c>
      <c r="P50" s="116" t="s">
        <v>2854</v>
      </c>
      <c r="S50"/>
    </row>
    <row r="51" spans="1:19" ht="183">
      <c r="A51" s="114" t="s">
        <v>2797</v>
      </c>
      <c r="B51" s="53" t="s">
        <v>2866</v>
      </c>
      <c r="C51" s="53" t="s">
        <v>3094</v>
      </c>
      <c r="D51" s="53"/>
      <c r="E51" s="53" t="s">
        <v>3095</v>
      </c>
      <c r="F51" s="53" t="s">
        <v>3096</v>
      </c>
      <c r="G51" s="53" t="s">
        <v>3097</v>
      </c>
      <c r="H51" s="53" t="s">
        <v>3098</v>
      </c>
      <c r="I51" s="53" t="s">
        <v>3099</v>
      </c>
      <c r="J51" s="53" t="s">
        <v>3100</v>
      </c>
      <c r="K51" s="53" t="s">
        <v>3101</v>
      </c>
      <c r="L51" s="53" t="s">
        <v>3102</v>
      </c>
      <c r="M51" s="124">
        <v>17491.666666666668</v>
      </c>
      <c r="N51" s="116">
        <v>4</v>
      </c>
      <c r="O51" s="119">
        <f t="shared" si="0"/>
        <v>69966.666666666672</v>
      </c>
      <c r="P51" s="116" t="s">
        <v>2854</v>
      </c>
      <c r="S51"/>
    </row>
    <row r="52" spans="1:19" ht="152.25">
      <c r="A52" s="114" t="s">
        <v>2797</v>
      </c>
      <c r="B52" s="53" t="s">
        <v>2877</v>
      </c>
      <c r="C52" s="53" t="s">
        <v>3103</v>
      </c>
      <c r="D52" s="53"/>
      <c r="E52" s="53" t="s">
        <v>3104</v>
      </c>
      <c r="F52" s="53" t="s">
        <v>3105</v>
      </c>
      <c r="G52" s="53" t="s">
        <v>3106</v>
      </c>
      <c r="H52" s="53" t="s">
        <v>3107</v>
      </c>
      <c r="I52" s="53" t="s">
        <v>3108</v>
      </c>
      <c r="J52" s="53" t="s">
        <v>3109</v>
      </c>
      <c r="K52" s="53" t="s">
        <v>3110</v>
      </c>
      <c r="L52" s="53" t="s">
        <v>3111</v>
      </c>
      <c r="M52" s="124">
        <v>46983</v>
      </c>
      <c r="N52" s="116">
        <v>4</v>
      </c>
      <c r="O52" s="119">
        <f t="shared" si="0"/>
        <v>187932</v>
      </c>
      <c r="P52" s="116" t="s">
        <v>2854</v>
      </c>
      <c r="S52"/>
    </row>
    <row r="53" spans="1:19" ht="91.5">
      <c r="A53" s="114" t="s">
        <v>2797</v>
      </c>
      <c r="B53" s="53" t="s">
        <v>2885</v>
      </c>
      <c r="C53" s="53" t="s">
        <v>3112</v>
      </c>
      <c r="D53" s="53" t="s">
        <v>3113</v>
      </c>
      <c r="E53" s="53" t="s">
        <v>3114</v>
      </c>
      <c r="F53" s="53" t="s">
        <v>3115</v>
      </c>
      <c r="G53" s="53" t="s">
        <v>3116</v>
      </c>
      <c r="H53" s="53" t="s">
        <v>3117</v>
      </c>
      <c r="I53" s="53" t="s">
        <v>3118</v>
      </c>
      <c r="J53" s="53" t="s">
        <v>3119</v>
      </c>
      <c r="K53" s="53" t="s">
        <v>3120</v>
      </c>
      <c r="L53" s="53" t="s">
        <v>3121</v>
      </c>
      <c r="M53" s="124">
        <v>113440</v>
      </c>
      <c r="N53" s="116">
        <v>4</v>
      </c>
      <c r="O53" s="119">
        <f t="shared" si="0"/>
        <v>453760</v>
      </c>
      <c r="P53" s="116" t="s">
        <v>2854</v>
      </c>
      <c r="S53"/>
    </row>
    <row r="54" spans="1:19" ht="30.75">
      <c r="A54" s="114" t="s">
        <v>2797</v>
      </c>
      <c r="B54" s="53" t="s">
        <v>1434</v>
      </c>
      <c r="C54" s="53">
        <v>0</v>
      </c>
      <c r="D54" s="53" t="s">
        <v>3122</v>
      </c>
      <c r="E54" s="53">
        <v>0</v>
      </c>
      <c r="F54" s="53">
        <v>0</v>
      </c>
      <c r="G54" s="53">
        <v>0</v>
      </c>
      <c r="H54" s="53">
        <v>0</v>
      </c>
      <c r="I54" s="53">
        <v>0</v>
      </c>
      <c r="J54" s="53">
        <v>0</v>
      </c>
      <c r="K54" s="53">
        <v>0</v>
      </c>
      <c r="L54" s="53">
        <v>0</v>
      </c>
      <c r="M54" s="124">
        <v>1080041.6666666667</v>
      </c>
      <c r="N54" s="116">
        <v>4</v>
      </c>
      <c r="O54" s="119">
        <f t="shared" si="0"/>
        <v>4320166.666666667</v>
      </c>
      <c r="P54" s="116" t="s">
        <v>2544</v>
      </c>
      <c r="S54"/>
    </row>
    <row r="55" spans="1:19">
      <c r="A55" s="114" t="s">
        <v>2797</v>
      </c>
      <c r="B55" s="53" t="s">
        <v>2903</v>
      </c>
      <c r="C55" s="53">
        <v>0</v>
      </c>
      <c r="D55" s="53">
        <v>0</v>
      </c>
      <c r="E55" s="53">
        <v>0</v>
      </c>
      <c r="F55" s="53">
        <v>0</v>
      </c>
      <c r="G55" s="53">
        <v>0</v>
      </c>
      <c r="H55" s="53">
        <v>0</v>
      </c>
      <c r="I55" s="53">
        <v>0</v>
      </c>
      <c r="J55" s="53">
        <v>0</v>
      </c>
      <c r="K55" s="53">
        <v>0</v>
      </c>
      <c r="L55" s="53">
        <v>0</v>
      </c>
      <c r="M55" s="124"/>
      <c r="N55" s="116">
        <v>4</v>
      </c>
      <c r="O55" s="119">
        <f t="shared" si="0"/>
        <v>0</v>
      </c>
      <c r="P55" s="116" t="s">
        <v>2914</v>
      </c>
      <c r="S55"/>
    </row>
    <row r="56" spans="1:19">
      <c r="A56" s="114" t="s">
        <v>2797</v>
      </c>
      <c r="B56" s="53" t="s">
        <v>2915</v>
      </c>
      <c r="C56" s="53">
        <v>0</v>
      </c>
      <c r="D56" s="53">
        <v>0</v>
      </c>
      <c r="E56" s="53">
        <v>0</v>
      </c>
      <c r="F56" s="53">
        <v>0</v>
      </c>
      <c r="G56" s="53">
        <v>0</v>
      </c>
      <c r="H56" s="53">
        <v>0</v>
      </c>
      <c r="I56" s="53">
        <v>0</v>
      </c>
      <c r="J56" s="53">
        <v>0</v>
      </c>
      <c r="K56" s="53">
        <v>0</v>
      </c>
      <c r="L56" s="53">
        <v>0</v>
      </c>
      <c r="M56" s="124"/>
      <c r="N56" s="116">
        <v>4</v>
      </c>
      <c r="O56" s="119">
        <f t="shared" si="0"/>
        <v>0</v>
      </c>
      <c r="P56" s="116" t="s">
        <v>2914</v>
      </c>
      <c r="S56"/>
    </row>
    <row r="57" spans="1:19">
      <c r="A57" s="114" t="s">
        <v>2797</v>
      </c>
      <c r="B57" s="53" t="s">
        <v>2926</v>
      </c>
      <c r="C57" s="53">
        <v>0</v>
      </c>
      <c r="D57" s="53">
        <v>0</v>
      </c>
      <c r="E57" s="53">
        <v>0</v>
      </c>
      <c r="F57" s="53">
        <v>0</v>
      </c>
      <c r="G57" s="53">
        <v>0</v>
      </c>
      <c r="H57" s="53">
        <v>0</v>
      </c>
      <c r="I57" s="53">
        <v>0</v>
      </c>
      <c r="J57" s="53">
        <v>0</v>
      </c>
      <c r="K57" s="53">
        <v>0</v>
      </c>
      <c r="L57" s="53">
        <v>0</v>
      </c>
      <c r="M57" s="124"/>
      <c r="N57" s="116">
        <v>4</v>
      </c>
      <c r="O57" s="119">
        <f t="shared" si="0"/>
        <v>0</v>
      </c>
      <c r="P57" s="116" t="s">
        <v>2914</v>
      </c>
      <c r="S57"/>
    </row>
    <row r="58" spans="1:19" ht="91.5">
      <c r="A58" s="114" t="s">
        <v>2797</v>
      </c>
      <c r="B58" s="53" t="s">
        <v>2592</v>
      </c>
      <c r="C58" s="53" t="s">
        <v>3123</v>
      </c>
      <c r="D58" s="53" t="s">
        <v>3124</v>
      </c>
      <c r="E58" s="53" t="s">
        <v>3125</v>
      </c>
      <c r="F58" s="53">
        <v>0</v>
      </c>
      <c r="G58" s="53" t="s">
        <v>3126</v>
      </c>
      <c r="H58" s="53" t="s">
        <v>3127</v>
      </c>
      <c r="I58" s="53" t="s">
        <v>3128</v>
      </c>
      <c r="J58" s="53">
        <v>0</v>
      </c>
      <c r="K58" s="53" t="s">
        <v>3129</v>
      </c>
      <c r="L58" s="53" t="s">
        <v>3130</v>
      </c>
      <c r="M58" s="120">
        <v>30268</v>
      </c>
      <c r="N58" s="116">
        <v>4</v>
      </c>
      <c r="O58" s="119">
        <f t="shared" si="0"/>
        <v>121072</v>
      </c>
      <c r="P58" s="116" t="s">
        <v>2914</v>
      </c>
      <c r="S58"/>
    </row>
    <row r="59" spans="1:19">
      <c r="A59" s="114" t="s">
        <v>2797</v>
      </c>
      <c r="B59" s="53" t="s">
        <v>2602</v>
      </c>
      <c r="C59" s="53">
        <v>0</v>
      </c>
      <c r="D59" s="53">
        <v>0</v>
      </c>
      <c r="E59" s="53">
        <v>0</v>
      </c>
      <c r="F59" s="53">
        <v>0</v>
      </c>
      <c r="G59" s="53">
        <v>0</v>
      </c>
      <c r="H59" s="53">
        <v>0</v>
      </c>
      <c r="I59" s="53">
        <v>0</v>
      </c>
      <c r="J59" s="53">
        <v>0</v>
      </c>
      <c r="K59" s="53">
        <v>0</v>
      </c>
      <c r="L59" s="53">
        <v>0</v>
      </c>
      <c r="M59" s="124"/>
      <c r="N59" s="116">
        <v>4</v>
      </c>
      <c r="O59" s="119">
        <f t="shared" si="0"/>
        <v>0</v>
      </c>
      <c r="P59" s="116" t="s">
        <v>2914</v>
      </c>
      <c r="S59"/>
    </row>
    <row r="60" spans="1:19" ht="137.25">
      <c r="A60" s="114" t="s">
        <v>2797</v>
      </c>
      <c r="B60" s="53" t="s">
        <v>1482</v>
      </c>
      <c r="C60" s="53" t="s">
        <v>3131</v>
      </c>
      <c r="D60" s="53" t="s">
        <v>3132</v>
      </c>
      <c r="E60" s="53" t="s">
        <v>3133</v>
      </c>
      <c r="F60" s="53" t="s">
        <v>3134</v>
      </c>
      <c r="G60" s="53" t="s">
        <v>3135</v>
      </c>
      <c r="H60" s="53" t="s">
        <v>3136</v>
      </c>
      <c r="I60" s="53" t="s">
        <v>3137</v>
      </c>
      <c r="J60" s="53" t="s">
        <v>3138</v>
      </c>
      <c r="K60" s="53" t="s">
        <v>3139</v>
      </c>
      <c r="L60" s="53" t="s">
        <v>3140</v>
      </c>
      <c r="M60" s="124">
        <v>892200</v>
      </c>
      <c r="N60" s="116">
        <v>4</v>
      </c>
      <c r="O60" s="119">
        <f t="shared" si="0"/>
        <v>3568800</v>
      </c>
      <c r="P60" s="116" t="s">
        <v>2914</v>
      </c>
      <c r="S60"/>
    </row>
    <row r="61" spans="1:19">
      <c r="A61" s="114" t="s">
        <v>2797</v>
      </c>
      <c r="B61" s="53" t="s">
        <v>2967</v>
      </c>
      <c r="C61" s="53">
        <v>0</v>
      </c>
      <c r="D61" s="53">
        <v>0</v>
      </c>
      <c r="E61" s="53">
        <v>0</v>
      </c>
      <c r="F61" s="53">
        <v>0</v>
      </c>
      <c r="G61" s="53">
        <v>0</v>
      </c>
      <c r="H61" s="53">
        <v>0</v>
      </c>
      <c r="I61" s="53">
        <v>0</v>
      </c>
      <c r="J61" s="53">
        <v>0</v>
      </c>
      <c r="K61" s="53">
        <v>0</v>
      </c>
      <c r="L61" s="53">
        <v>0</v>
      </c>
      <c r="M61" s="124"/>
      <c r="N61" s="116">
        <v>4</v>
      </c>
      <c r="O61" s="119">
        <f t="shared" si="0"/>
        <v>0</v>
      </c>
      <c r="P61" s="116" t="s">
        <v>2914</v>
      </c>
      <c r="S61"/>
    </row>
    <row r="62" spans="1:19" ht="76.5">
      <c r="A62" s="114" t="s">
        <v>2809</v>
      </c>
      <c r="B62" s="53" t="s">
        <v>2762</v>
      </c>
      <c r="C62" s="53" t="s">
        <v>3141</v>
      </c>
      <c r="D62" s="53" t="s">
        <v>3142</v>
      </c>
      <c r="E62" s="53" t="s">
        <v>3143</v>
      </c>
      <c r="F62" s="53" t="s">
        <v>3144</v>
      </c>
      <c r="G62" s="53" t="s">
        <v>3145</v>
      </c>
      <c r="H62" s="53" t="s">
        <v>3146</v>
      </c>
      <c r="I62" s="53" t="s">
        <v>3147</v>
      </c>
      <c r="J62" s="53" t="s">
        <v>3148</v>
      </c>
      <c r="K62" s="53" t="s">
        <v>3149</v>
      </c>
      <c r="L62" s="53" t="s">
        <v>3150</v>
      </c>
      <c r="M62" s="125">
        <v>2550000</v>
      </c>
      <c r="N62" s="116">
        <v>3</v>
      </c>
      <c r="O62" s="119">
        <f t="shared" si="0"/>
        <v>7650000</v>
      </c>
      <c r="P62" s="116" t="s">
        <v>2773</v>
      </c>
      <c r="S62"/>
    </row>
    <row r="63" spans="1:19" ht="60.75">
      <c r="A63" s="114" t="s">
        <v>2809</v>
      </c>
      <c r="B63" s="53" t="s">
        <v>2774</v>
      </c>
      <c r="C63" s="53" t="s">
        <v>3151</v>
      </c>
      <c r="D63" s="53" t="s">
        <v>3152</v>
      </c>
      <c r="E63" s="53" t="s">
        <v>3153</v>
      </c>
      <c r="F63" s="53" t="s">
        <v>3154</v>
      </c>
      <c r="G63" s="53" t="s">
        <v>3155</v>
      </c>
      <c r="H63" s="53" t="s">
        <v>3156</v>
      </c>
      <c r="I63" s="53" t="s">
        <v>3157</v>
      </c>
      <c r="J63" s="53" t="s">
        <v>3004</v>
      </c>
      <c r="K63" s="53" t="s">
        <v>3004</v>
      </c>
      <c r="L63" s="53" t="s">
        <v>3004</v>
      </c>
      <c r="M63" s="124"/>
      <c r="N63" s="116">
        <v>3</v>
      </c>
      <c r="O63" s="119">
        <f t="shared" si="0"/>
        <v>0</v>
      </c>
      <c r="P63" s="116" t="s">
        <v>2773</v>
      </c>
      <c r="S63"/>
    </row>
    <row r="64" spans="1:19" ht="60.75">
      <c r="A64" s="114" t="s">
        <v>2809</v>
      </c>
      <c r="B64" s="53" t="s">
        <v>2786</v>
      </c>
      <c r="C64" s="53" t="s">
        <v>3158</v>
      </c>
      <c r="D64" s="53" t="s">
        <v>3159</v>
      </c>
      <c r="E64" s="53" t="s">
        <v>3004</v>
      </c>
      <c r="F64" s="53" t="s">
        <v>3004</v>
      </c>
      <c r="G64" s="53" t="s">
        <v>3004</v>
      </c>
      <c r="H64" s="53" t="s">
        <v>3004</v>
      </c>
      <c r="I64" s="53" t="s">
        <v>3004</v>
      </c>
      <c r="J64" s="53" t="s">
        <v>3004</v>
      </c>
      <c r="K64" s="53" t="s">
        <v>3004</v>
      </c>
      <c r="L64" s="53" t="s">
        <v>3004</v>
      </c>
      <c r="M64" s="124">
        <v>7440000</v>
      </c>
      <c r="N64" s="116">
        <v>3</v>
      </c>
      <c r="O64" s="119">
        <f t="shared" si="0"/>
        <v>22320000</v>
      </c>
      <c r="P64" s="116" t="s">
        <v>2773</v>
      </c>
      <c r="S64"/>
    </row>
    <row r="65" spans="1:19" ht="45.75">
      <c r="A65" s="114" t="s">
        <v>2809</v>
      </c>
      <c r="B65" s="53" t="s">
        <v>2798</v>
      </c>
      <c r="C65" s="45" t="s">
        <v>3160</v>
      </c>
      <c r="D65" s="45" t="s">
        <v>3161</v>
      </c>
      <c r="E65" s="53">
        <v>0</v>
      </c>
      <c r="F65" s="53">
        <v>0</v>
      </c>
      <c r="G65" s="53">
        <v>0</v>
      </c>
      <c r="H65" s="53">
        <v>0</v>
      </c>
      <c r="I65" s="53">
        <v>0</v>
      </c>
      <c r="J65" s="53">
        <v>0</v>
      </c>
      <c r="K65" s="53">
        <v>0</v>
      </c>
      <c r="L65" s="53">
        <v>0</v>
      </c>
      <c r="M65" s="56">
        <f>(67110/3600)*30000</f>
        <v>559250</v>
      </c>
      <c r="N65" s="116">
        <v>3</v>
      </c>
      <c r="O65" s="119">
        <f t="shared" si="0"/>
        <v>1677750</v>
      </c>
      <c r="P65" s="116" t="s">
        <v>2798</v>
      </c>
      <c r="S65"/>
    </row>
    <row r="66" spans="1:19">
      <c r="A66" s="114" t="s">
        <v>2809</v>
      </c>
      <c r="B66" s="53" t="s">
        <v>3162</v>
      </c>
      <c r="C66" s="53">
        <v>0</v>
      </c>
      <c r="D66" s="53" t="s">
        <v>3163</v>
      </c>
      <c r="E66" s="53">
        <v>0</v>
      </c>
      <c r="F66" s="53">
        <v>0</v>
      </c>
      <c r="G66" s="53">
        <v>0</v>
      </c>
      <c r="H66" s="53">
        <v>0</v>
      </c>
      <c r="I66" s="53">
        <v>0</v>
      </c>
      <c r="J66" s="53">
        <v>0</v>
      </c>
      <c r="K66" s="53">
        <v>0</v>
      </c>
      <c r="L66" s="53">
        <v>0</v>
      </c>
      <c r="M66" s="124">
        <v>165000</v>
      </c>
      <c r="N66" s="116">
        <v>3</v>
      </c>
      <c r="O66" s="119">
        <f t="shared" si="0"/>
        <v>495000</v>
      </c>
      <c r="P66" s="116" t="s">
        <v>2817</v>
      </c>
      <c r="S66"/>
    </row>
    <row r="67" spans="1:19" ht="45.75">
      <c r="A67" s="114" t="s">
        <v>2809</v>
      </c>
      <c r="B67" s="53" t="s">
        <v>3164</v>
      </c>
      <c r="C67" s="53"/>
      <c r="D67" s="53" t="s">
        <v>3165</v>
      </c>
      <c r="E67" s="53"/>
      <c r="F67" s="53"/>
      <c r="G67" s="53"/>
      <c r="H67" s="53"/>
      <c r="I67" s="53"/>
      <c r="J67" s="53"/>
      <c r="K67" s="53"/>
      <c r="L67" s="53"/>
      <c r="M67" s="124">
        <v>308542</v>
      </c>
      <c r="N67" s="116">
        <v>3</v>
      </c>
      <c r="O67" s="119">
        <f t="shared" si="0"/>
        <v>925626</v>
      </c>
      <c r="P67" s="116" t="s">
        <v>2817</v>
      </c>
      <c r="S67"/>
    </row>
    <row r="68" spans="1:19">
      <c r="A68" s="114" t="s">
        <v>2809</v>
      </c>
      <c r="B68" s="53" t="s">
        <v>2841</v>
      </c>
      <c r="C68" s="53">
        <v>0</v>
      </c>
      <c r="D68" s="53"/>
      <c r="E68" s="53">
        <v>0</v>
      </c>
      <c r="F68" s="53">
        <v>0</v>
      </c>
      <c r="G68" s="53">
        <v>0</v>
      </c>
      <c r="H68" s="53">
        <v>0</v>
      </c>
      <c r="I68" s="53">
        <v>0</v>
      </c>
      <c r="J68" s="53">
        <v>0</v>
      </c>
      <c r="K68" s="53">
        <v>0</v>
      </c>
      <c r="L68" s="53">
        <v>0</v>
      </c>
      <c r="M68" s="124"/>
      <c r="N68" s="116">
        <v>3</v>
      </c>
      <c r="O68" s="119">
        <f t="shared" si="0"/>
        <v>0</v>
      </c>
      <c r="P68" s="116" t="s">
        <v>2841</v>
      </c>
      <c r="S68"/>
    </row>
    <row r="69" spans="1:19">
      <c r="A69" s="114" t="s">
        <v>2809</v>
      </c>
      <c r="B69" s="53" t="s">
        <v>2843</v>
      </c>
      <c r="C69" s="53">
        <v>0</v>
      </c>
      <c r="D69" s="53"/>
      <c r="E69" s="53">
        <v>0</v>
      </c>
      <c r="F69" s="53">
        <v>0</v>
      </c>
      <c r="G69" s="53">
        <v>0</v>
      </c>
      <c r="H69" s="53">
        <v>0</v>
      </c>
      <c r="I69" s="53">
        <v>0</v>
      </c>
      <c r="J69" s="53">
        <v>0</v>
      </c>
      <c r="K69" s="53">
        <v>0</v>
      </c>
      <c r="L69" s="53">
        <v>0</v>
      </c>
      <c r="M69" s="124">
        <v>2002643.7499999998</v>
      </c>
      <c r="N69" s="116">
        <v>2</v>
      </c>
      <c r="O69" s="119">
        <f t="shared" ref="O69:O119" si="2">M69*N69</f>
        <v>4005287.4999999995</v>
      </c>
      <c r="P69" s="116" t="s">
        <v>2854</v>
      </c>
      <c r="S69"/>
    </row>
    <row r="70" spans="1:19">
      <c r="A70" s="114" t="s">
        <v>2809</v>
      </c>
      <c r="B70" s="53" t="s">
        <v>2855</v>
      </c>
      <c r="C70" s="53">
        <v>0</v>
      </c>
      <c r="D70" s="53"/>
      <c r="E70" s="53">
        <v>0</v>
      </c>
      <c r="F70" s="53">
        <v>0</v>
      </c>
      <c r="G70" s="53">
        <v>0</v>
      </c>
      <c r="H70" s="53">
        <v>0</v>
      </c>
      <c r="I70" s="53">
        <v>0</v>
      </c>
      <c r="J70" s="53">
        <v>0</v>
      </c>
      <c r="K70" s="53">
        <v>0</v>
      </c>
      <c r="L70" s="53">
        <v>0</v>
      </c>
      <c r="M70" s="124">
        <v>0</v>
      </c>
      <c r="N70" s="116">
        <v>2</v>
      </c>
      <c r="O70" s="119">
        <f t="shared" si="2"/>
        <v>0</v>
      </c>
      <c r="P70" s="116" t="s">
        <v>2854</v>
      </c>
      <c r="S70"/>
    </row>
    <row r="71" spans="1:19" ht="60.75">
      <c r="A71" s="114" t="s">
        <v>2809</v>
      </c>
      <c r="B71" s="53" t="s">
        <v>2866</v>
      </c>
      <c r="C71" s="53" t="s">
        <v>3166</v>
      </c>
      <c r="D71" s="53"/>
      <c r="E71" s="53" t="s">
        <v>3167</v>
      </c>
      <c r="F71" s="53" t="s">
        <v>3168</v>
      </c>
      <c r="G71" s="53" t="s">
        <v>3169</v>
      </c>
      <c r="H71" s="53" t="s">
        <v>3170</v>
      </c>
      <c r="I71" s="53" t="s">
        <v>3171</v>
      </c>
      <c r="J71" s="53" t="s">
        <v>3172</v>
      </c>
      <c r="K71" s="53" t="s">
        <v>3173</v>
      </c>
      <c r="L71" s="53" t="s">
        <v>3174</v>
      </c>
      <c r="M71" s="124">
        <v>22500</v>
      </c>
      <c r="N71" s="116">
        <v>3</v>
      </c>
      <c r="O71" s="119">
        <f t="shared" si="2"/>
        <v>67500</v>
      </c>
      <c r="P71" s="116" t="s">
        <v>2854</v>
      </c>
      <c r="S71"/>
    </row>
    <row r="72" spans="1:19">
      <c r="A72" s="114" t="s">
        <v>2809</v>
      </c>
      <c r="B72" s="53" t="s">
        <v>2877</v>
      </c>
      <c r="C72" s="53">
        <v>0</v>
      </c>
      <c r="D72" s="53">
        <v>0</v>
      </c>
      <c r="E72" s="53">
        <v>0</v>
      </c>
      <c r="F72" s="53">
        <v>0</v>
      </c>
      <c r="G72" s="53">
        <v>0</v>
      </c>
      <c r="H72" s="53">
        <v>0</v>
      </c>
      <c r="I72" s="53">
        <v>0</v>
      </c>
      <c r="J72" s="53">
        <v>0</v>
      </c>
      <c r="K72" s="53">
        <v>0</v>
      </c>
      <c r="L72" s="53">
        <v>0</v>
      </c>
      <c r="M72" s="124">
        <v>1980000</v>
      </c>
      <c r="N72" s="116">
        <v>2</v>
      </c>
      <c r="O72" s="119">
        <f t="shared" si="2"/>
        <v>3960000</v>
      </c>
      <c r="P72" s="116" t="s">
        <v>2854</v>
      </c>
      <c r="S72"/>
    </row>
    <row r="73" spans="1:19">
      <c r="A73" s="114" t="s">
        <v>2809</v>
      </c>
      <c r="B73" s="53" t="s">
        <v>2885</v>
      </c>
      <c r="C73" s="53">
        <v>0</v>
      </c>
      <c r="D73" s="53">
        <v>0</v>
      </c>
      <c r="E73" s="53">
        <v>0</v>
      </c>
      <c r="F73" s="53">
        <v>0</v>
      </c>
      <c r="G73" s="53">
        <v>0</v>
      </c>
      <c r="H73" s="53">
        <v>0</v>
      </c>
      <c r="I73" s="53">
        <v>0</v>
      </c>
      <c r="J73" s="53">
        <v>0</v>
      </c>
      <c r="K73" s="53">
        <v>0</v>
      </c>
      <c r="L73" s="53">
        <v>0</v>
      </c>
      <c r="M73" s="124">
        <v>300000</v>
      </c>
      <c r="N73" s="116">
        <v>3</v>
      </c>
      <c r="O73" s="119">
        <f t="shared" si="2"/>
        <v>900000</v>
      </c>
      <c r="P73" s="116" t="s">
        <v>2854</v>
      </c>
      <c r="S73"/>
    </row>
    <row r="74" spans="1:19">
      <c r="A74" s="114" t="s">
        <v>2809</v>
      </c>
      <c r="B74" s="53" t="s">
        <v>1434</v>
      </c>
      <c r="C74" s="53">
        <v>0</v>
      </c>
      <c r="D74" s="53">
        <v>0</v>
      </c>
      <c r="E74" s="53">
        <v>0</v>
      </c>
      <c r="F74" s="53">
        <v>0</v>
      </c>
      <c r="G74" s="53">
        <v>0</v>
      </c>
      <c r="H74" s="53">
        <v>0</v>
      </c>
      <c r="I74" s="53">
        <v>0</v>
      </c>
      <c r="J74" s="53">
        <v>0</v>
      </c>
      <c r="K74" s="53">
        <v>0</v>
      </c>
      <c r="L74" s="53">
        <v>0</v>
      </c>
      <c r="M74" s="124"/>
      <c r="N74" s="116">
        <v>3</v>
      </c>
      <c r="O74" s="119">
        <f t="shared" si="2"/>
        <v>0</v>
      </c>
      <c r="P74" s="116" t="s">
        <v>2544</v>
      </c>
      <c r="S74"/>
    </row>
    <row r="75" spans="1:19" ht="86.25">
      <c r="A75" s="114" t="s">
        <v>2809</v>
      </c>
      <c r="B75" s="53" t="s">
        <v>2903</v>
      </c>
      <c r="C75" s="53" t="s">
        <v>3175</v>
      </c>
      <c r="D75" s="126" t="s">
        <v>3176</v>
      </c>
      <c r="E75" s="126" t="s">
        <v>3177</v>
      </c>
      <c r="F75" s="53">
        <v>0</v>
      </c>
      <c r="G75" s="53">
        <v>0</v>
      </c>
      <c r="H75" s="53">
        <v>0</v>
      </c>
      <c r="I75" s="53">
        <v>0</v>
      </c>
      <c r="J75" s="53">
        <v>0</v>
      </c>
      <c r="K75" s="53" t="s">
        <v>3178</v>
      </c>
      <c r="L75" s="53">
        <v>0</v>
      </c>
      <c r="M75" s="124">
        <f>8*22*30000*2</f>
        <v>10560000</v>
      </c>
      <c r="N75" s="116">
        <v>3</v>
      </c>
      <c r="O75" s="119">
        <f t="shared" si="2"/>
        <v>31680000</v>
      </c>
      <c r="P75" s="116" t="s">
        <v>2914</v>
      </c>
      <c r="S75"/>
    </row>
    <row r="76" spans="1:19">
      <c r="A76" s="114" t="s">
        <v>2809</v>
      </c>
      <c r="B76" s="53" t="s">
        <v>2915</v>
      </c>
      <c r="C76" s="53">
        <v>0</v>
      </c>
      <c r="D76" s="53">
        <v>0</v>
      </c>
      <c r="E76" s="53">
        <v>0</v>
      </c>
      <c r="F76" s="53">
        <v>0</v>
      </c>
      <c r="G76" s="53">
        <v>0</v>
      </c>
      <c r="H76" s="53">
        <v>0</v>
      </c>
      <c r="I76" s="53">
        <v>0</v>
      </c>
      <c r="J76" s="53">
        <v>0</v>
      </c>
      <c r="K76" s="53">
        <v>0</v>
      </c>
      <c r="L76" s="53">
        <v>0</v>
      </c>
      <c r="M76" s="124"/>
      <c r="N76" s="116">
        <v>3</v>
      </c>
      <c r="O76" s="119">
        <f t="shared" si="2"/>
        <v>0</v>
      </c>
      <c r="P76" s="116" t="s">
        <v>2914</v>
      </c>
      <c r="S76"/>
    </row>
    <row r="77" spans="1:19" ht="29.25" customHeight="1">
      <c r="A77" s="114" t="s">
        <v>2809</v>
      </c>
      <c r="B77" s="53" t="s">
        <v>2926</v>
      </c>
      <c r="C77" s="53">
        <v>0</v>
      </c>
      <c r="D77" s="53">
        <v>0</v>
      </c>
      <c r="E77" s="53">
        <v>0</v>
      </c>
      <c r="F77" s="53">
        <v>0</v>
      </c>
      <c r="G77" s="53">
        <v>0</v>
      </c>
      <c r="H77" s="53">
        <v>0</v>
      </c>
      <c r="I77" s="53">
        <v>0</v>
      </c>
      <c r="J77" s="53">
        <v>0</v>
      </c>
      <c r="K77" s="53">
        <v>0</v>
      </c>
      <c r="L77" s="53">
        <v>0</v>
      </c>
      <c r="M77" s="124"/>
      <c r="N77" s="116">
        <v>3</v>
      </c>
      <c r="O77" s="119">
        <f t="shared" si="2"/>
        <v>0</v>
      </c>
      <c r="P77" s="116" t="s">
        <v>2914</v>
      </c>
      <c r="S77"/>
    </row>
    <row r="78" spans="1:19">
      <c r="A78" s="114" t="s">
        <v>2809</v>
      </c>
      <c r="B78" s="53" t="s">
        <v>2592</v>
      </c>
      <c r="C78" s="53">
        <v>0</v>
      </c>
      <c r="D78" s="53">
        <v>0</v>
      </c>
      <c r="E78" s="53">
        <v>0</v>
      </c>
      <c r="F78" s="53">
        <v>0</v>
      </c>
      <c r="G78" s="53">
        <v>0</v>
      </c>
      <c r="H78" s="53">
        <v>0</v>
      </c>
      <c r="I78" s="53">
        <v>0</v>
      </c>
      <c r="J78" s="53">
        <v>0</v>
      </c>
      <c r="K78" s="53">
        <v>0</v>
      </c>
      <c r="L78" s="53">
        <v>0</v>
      </c>
      <c r="M78" s="124"/>
      <c r="N78" s="116">
        <v>3</v>
      </c>
      <c r="O78" s="119">
        <f t="shared" si="2"/>
        <v>0</v>
      </c>
      <c r="P78" s="116" t="s">
        <v>2914</v>
      </c>
      <c r="S78"/>
    </row>
    <row r="79" spans="1:19">
      <c r="A79" s="114" t="s">
        <v>2809</v>
      </c>
      <c r="B79" s="53" t="s">
        <v>2602</v>
      </c>
      <c r="C79" s="53">
        <v>0</v>
      </c>
      <c r="D79" s="53">
        <v>0</v>
      </c>
      <c r="E79" s="53">
        <v>0</v>
      </c>
      <c r="F79" s="53">
        <v>0</v>
      </c>
      <c r="G79" s="53">
        <v>0</v>
      </c>
      <c r="H79" s="53">
        <v>0</v>
      </c>
      <c r="I79" s="53">
        <v>0</v>
      </c>
      <c r="J79" s="53">
        <v>0</v>
      </c>
      <c r="K79" s="53">
        <v>0</v>
      </c>
      <c r="L79" s="53">
        <v>0</v>
      </c>
      <c r="M79" s="124"/>
      <c r="N79" s="116">
        <v>3</v>
      </c>
      <c r="O79" s="119">
        <f t="shared" si="2"/>
        <v>0</v>
      </c>
      <c r="P79" s="116" t="s">
        <v>2914</v>
      </c>
      <c r="S79"/>
    </row>
    <row r="80" spans="1:19" ht="106.5">
      <c r="A80" s="114" t="s">
        <v>2809</v>
      </c>
      <c r="B80" s="53" t="s">
        <v>1482</v>
      </c>
      <c r="C80" s="53" t="s">
        <v>3179</v>
      </c>
      <c r="D80" s="53" t="s">
        <v>3180</v>
      </c>
      <c r="E80" s="53" t="s">
        <v>3181</v>
      </c>
      <c r="F80" s="53" t="s">
        <v>3182</v>
      </c>
      <c r="G80" s="53" t="s">
        <v>3183</v>
      </c>
      <c r="H80" s="53" t="s">
        <v>3184</v>
      </c>
      <c r="I80" s="53" t="s">
        <v>3185</v>
      </c>
      <c r="J80" s="53" t="s">
        <v>3186</v>
      </c>
      <c r="K80" s="53" t="s">
        <v>3187</v>
      </c>
      <c r="L80" s="53" t="s">
        <v>3188</v>
      </c>
      <c r="M80" s="124">
        <v>0</v>
      </c>
      <c r="N80" s="116">
        <v>3</v>
      </c>
      <c r="O80" s="119">
        <f t="shared" si="2"/>
        <v>0</v>
      </c>
      <c r="P80" s="116" t="s">
        <v>2914</v>
      </c>
      <c r="S80"/>
    </row>
    <row r="81" spans="1:19">
      <c r="A81" s="114" t="s">
        <v>2809</v>
      </c>
      <c r="B81" s="53" t="s">
        <v>2967</v>
      </c>
      <c r="C81" s="53">
        <v>0</v>
      </c>
      <c r="D81" s="53">
        <v>0</v>
      </c>
      <c r="E81" s="53">
        <v>0</v>
      </c>
      <c r="F81" s="53">
        <v>0</v>
      </c>
      <c r="G81" s="53">
        <v>0</v>
      </c>
      <c r="H81" s="53">
        <v>0</v>
      </c>
      <c r="I81" s="53">
        <v>0</v>
      </c>
      <c r="J81" s="53">
        <v>0</v>
      </c>
      <c r="K81" s="53">
        <v>0</v>
      </c>
      <c r="L81" s="53">
        <v>0</v>
      </c>
      <c r="M81" s="124"/>
      <c r="N81" s="116">
        <v>3</v>
      </c>
      <c r="O81" s="119">
        <f t="shared" si="2"/>
        <v>0</v>
      </c>
      <c r="P81" s="116" t="s">
        <v>2914</v>
      </c>
      <c r="S81"/>
    </row>
    <row r="82" spans="1:19" ht="60.75">
      <c r="A82" s="114" t="s">
        <v>2818</v>
      </c>
      <c r="B82" s="45" t="s">
        <v>2762</v>
      </c>
      <c r="C82" s="45" t="s">
        <v>3189</v>
      </c>
      <c r="D82" s="45" t="s">
        <v>3190</v>
      </c>
      <c r="E82" s="45" t="s">
        <v>3191</v>
      </c>
      <c r="F82" s="45" t="s">
        <v>3192</v>
      </c>
      <c r="G82" s="45" t="s">
        <v>3193</v>
      </c>
      <c r="H82" s="45" t="s">
        <v>3194</v>
      </c>
      <c r="I82" s="45" t="s">
        <v>3195</v>
      </c>
      <c r="J82" s="45" t="s">
        <v>3196</v>
      </c>
      <c r="K82" s="45" t="s">
        <v>3197</v>
      </c>
      <c r="L82" s="45" t="s">
        <v>3198</v>
      </c>
      <c r="M82" s="56">
        <v>1440000</v>
      </c>
      <c r="N82" s="116">
        <v>2</v>
      </c>
      <c r="O82" s="119">
        <f t="shared" si="2"/>
        <v>2880000</v>
      </c>
      <c r="P82" s="116" t="s">
        <v>2773</v>
      </c>
      <c r="S82"/>
    </row>
    <row r="83" spans="1:19" ht="45.75">
      <c r="A83" s="114" t="s">
        <v>2818</v>
      </c>
      <c r="B83" s="45" t="s">
        <v>2774</v>
      </c>
      <c r="C83" s="45" t="s">
        <v>3199</v>
      </c>
      <c r="D83" s="45" t="s">
        <v>3200</v>
      </c>
      <c r="E83" s="45" t="s">
        <v>3201</v>
      </c>
      <c r="F83" s="45" t="s">
        <v>3202</v>
      </c>
      <c r="G83" s="45" t="s">
        <v>3203</v>
      </c>
      <c r="H83" s="45" t="s">
        <v>3204</v>
      </c>
      <c r="I83" s="45" t="s">
        <v>3205</v>
      </c>
      <c r="J83" s="45" t="s">
        <v>2874</v>
      </c>
      <c r="K83" s="45" t="s">
        <v>3206</v>
      </c>
      <c r="L83" s="45" t="s">
        <v>3207</v>
      </c>
      <c r="M83" s="56">
        <v>133500</v>
      </c>
      <c r="N83" s="116">
        <v>2</v>
      </c>
      <c r="O83" s="119">
        <f t="shared" si="2"/>
        <v>267000</v>
      </c>
      <c r="P83" s="116" t="s">
        <v>2773</v>
      </c>
      <c r="S83"/>
    </row>
    <row r="84" spans="1:19" ht="60.75">
      <c r="A84" s="114" t="s">
        <v>2818</v>
      </c>
      <c r="B84" s="45" t="s">
        <v>2786</v>
      </c>
      <c r="C84" s="45" t="s">
        <v>3208</v>
      </c>
      <c r="D84" s="45" t="s">
        <v>3209</v>
      </c>
      <c r="E84" s="45" t="s">
        <v>3210</v>
      </c>
      <c r="F84" s="45" t="s">
        <v>3211</v>
      </c>
      <c r="G84" s="45" t="s">
        <v>3212</v>
      </c>
      <c r="H84" s="45" t="s">
        <v>3213</v>
      </c>
      <c r="I84" s="45" t="s">
        <v>3214</v>
      </c>
      <c r="J84" s="45" t="s">
        <v>3211</v>
      </c>
      <c r="K84" s="45" t="s">
        <v>3215</v>
      </c>
      <c r="L84" s="45" t="s">
        <v>3216</v>
      </c>
      <c r="M84" s="56">
        <v>210000</v>
      </c>
      <c r="N84" s="116">
        <v>2</v>
      </c>
      <c r="O84" s="119">
        <f t="shared" si="2"/>
        <v>420000</v>
      </c>
      <c r="P84" s="116" t="s">
        <v>2773</v>
      </c>
      <c r="S84"/>
    </row>
    <row r="85" spans="1:19">
      <c r="A85" s="114" t="s">
        <v>2818</v>
      </c>
      <c r="B85" s="45" t="s">
        <v>2798</v>
      </c>
      <c r="C85" s="45">
        <v>0</v>
      </c>
      <c r="D85" s="45">
        <v>0</v>
      </c>
      <c r="E85" s="45">
        <v>0</v>
      </c>
      <c r="F85" s="45">
        <v>0</v>
      </c>
      <c r="G85" s="45">
        <v>0</v>
      </c>
      <c r="H85" s="45">
        <v>0</v>
      </c>
      <c r="I85" s="45">
        <v>0</v>
      </c>
      <c r="J85" s="45">
        <v>0</v>
      </c>
      <c r="K85" s="45">
        <v>0</v>
      </c>
      <c r="L85" s="45">
        <v>0</v>
      </c>
      <c r="M85" s="56">
        <v>0</v>
      </c>
      <c r="N85" s="116">
        <v>2</v>
      </c>
      <c r="O85" s="119">
        <f t="shared" si="2"/>
        <v>0</v>
      </c>
      <c r="P85" s="116" t="s">
        <v>2798</v>
      </c>
      <c r="S85"/>
    </row>
    <row r="86" spans="1:19" ht="60.75">
      <c r="A86" s="114" t="s">
        <v>2818</v>
      </c>
      <c r="B86" s="45" t="s">
        <v>3217</v>
      </c>
      <c r="C86" s="45" t="s">
        <v>3218</v>
      </c>
      <c r="D86" s="45" t="s">
        <v>3219</v>
      </c>
      <c r="E86" s="45" t="s">
        <v>3220</v>
      </c>
      <c r="F86" s="45" t="s">
        <v>3221</v>
      </c>
      <c r="G86" s="45" t="s">
        <v>3222</v>
      </c>
      <c r="H86" s="45" t="s">
        <v>3223</v>
      </c>
      <c r="I86" s="45" t="s">
        <v>3224</v>
      </c>
      <c r="J86" s="45" t="s">
        <v>3221</v>
      </c>
      <c r="K86" s="45" t="s">
        <v>3221</v>
      </c>
      <c r="L86" s="45" t="s">
        <v>3221</v>
      </c>
      <c r="M86" s="56" t="s">
        <v>3221</v>
      </c>
      <c r="N86" s="116">
        <v>2</v>
      </c>
      <c r="O86" s="119">
        <f t="shared" si="2"/>
        <v>0</v>
      </c>
      <c r="P86" s="116" t="s">
        <v>2817</v>
      </c>
      <c r="S86"/>
    </row>
    <row r="87" spans="1:19">
      <c r="A87" s="114" t="s">
        <v>2818</v>
      </c>
      <c r="B87" s="45" t="s">
        <v>2841</v>
      </c>
      <c r="C87" s="45">
        <v>0</v>
      </c>
      <c r="D87" s="45">
        <v>0</v>
      </c>
      <c r="E87" s="45">
        <v>0</v>
      </c>
      <c r="F87" s="45">
        <v>0</v>
      </c>
      <c r="G87" s="45">
        <v>0</v>
      </c>
      <c r="H87" s="45">
        <v>0</v>
      </c>
      <c r="I87" s="45">
        <v>0</v>
      </c>
      <c r="J87" s="45">
        <v>0</v>
      </c>
      <c r="K87" s="45">
        <v>0</v>
      </c>
      <c r="L87" s="45">
        <v>0</v>
      </c>
      <c r="M87" s="56"/>
      <c r="N87" s="116">
        <v>2</v>
      </c>
      <c r="O87" s="119">
        <f t="shared" si="2"/>
        <v>0</v>
      </c>
      <c r="P87" s="116" t="s">
        <v>2841</v>
      </c>
      <c r="S87"/>
    </row>
    <row r="88" spans="1:19" ht="76.5">
      <c r="A88" s="114" t="s">
        <v>2818</v>
      </c>
      <c r="B88" s="45" t="s">
        <v>2843</v>
      </c>
      <c r="C88" s="45" t="s">
        <v>258</v>
      </c>
      <c r="D88" s="45" t="s">
        <v>3225</v>
      </c>
      <c r="E88" s="45" t="s">
        <v>3226</v>
      </c>
      <c r="F88" s="45" t="s">
        <v>3227</v>
      </c>
      <c r="G88" s="45" t="s">
        <v>3228</v>
      </c>
      <c r="H88" s="45" t="s">
        <v>3229</v>
      </c>
      <c r="I88" s="45" t="s">
        <v>3230</v>
      </c>
      <c r="J88" s="45" t="s">
        <v>3231</v>
      </c>
      <c r="K88" s="45" t="s">
        <v>3232</v>
      </c>
      <c r="L88" s="45" t="s">
        <v>3233</v>
      </c>
      <c r="M88" s="56">
        <v>8461141</v>
      </c>
      <c r="N88" s="116">
        <v>2</v>
      </c>
      <c r="O88" s="119">
        <f t="shared" si="2"/>
        <v>16922282</v>
      </c>
      <c r="P88" s="116" t="s">
        <v>2854</v>
      </c>
      <c r="S88"/>
    </row>
    <row r="89" spans="1:19" ht="60.75">
      <c r="A89" s="114" t="s">
        <v>2818</v>
      </c>
      <c r="B89" s="45" t="s">
        <v>2855</v>
      </c>
      <c r="C89" s="45" t="s">
        <v>3234</v>
      </c>
      <c r="D89" s="45" t="s">
        <v>3235</v>
      </c>
      <c r="E89" s="45" t="s">
        <v>3236</v>
      </c>
      <c r="F89" s="45" t="s">
        <v>3237</v>
      </c>
      <c r="G89" s="45" t="s">
        <v>3238</v>
      </c>
      <c r="H89" s="45" t="s">
        <v>3239</v>
      </c>
      <c r="I89" s="45" t="s">
        <v>3240</v>
      </c>
      <c r="J89" s="45" t="s">
        <v>3241</v>
      </c>
      <c r="K89" s="45" t="s">
        <v>3242</v>
      </c>
      <c r="L89" s="45" t="s">
        <v>3243</v>
      </c>
      <c r="M89" s="56">
        <v>1210604</v>
      </c>
      <c r="N89" s="116">
        <v>2</v>
      </c>
      <c r="O89" s="119">
        <f t="shared" si="2"/>
        <v>2421208</v>
      </c>
      <c r="P89" s="116" t="s">
        <v>2854</v>
      </c>
      <c r="S89"/>
    </row>
    <row r="90" spans="1:19" ht="76.5">
      <c r="A90" s="114" t="s">
        <v>2818</v>
      </c>
      <c r="B90" s="45" t="s">
        <v>2866</v>
      </c>
      <c r="C90" s="45" t="s">
        <v>3244</v>
      </c>
      <c r="D90" s="45" t="s">
        <v>3245</v>
      </c>
      <c r="E90" s="45" t="s">
        <v>3246</v>
      </c>
      <c r="F90" s="45" t="s">
        <v>3247</v>
      </c>
      <c r="G90" s="45" t="s">
        <v>3248</v>
      </c>
      <c r="H90" s="45" t="s">
        <v>3249</v>
      </c>
      <c r="I90" s="45" t="s">
        <v>3250</v>
      </c>
      <c r="J90" s="45" t="s">
        <v>3251</v>
      </c>
      <c r="K90" s="45" t="s">
        <v>3252</v>
      </c>
      <c r="L90" s="45" t="s">
        <v>3253</v>
      </c>
      <c r="M90" s="56">
        <v>0</v>
      </c>
      <c r="N90" s="116">
        <v>2</v>
      </c>
      <c r="O90" s="119">
        <f t="shared" si="2"/>
        <v>0</v>
      </c>
      <c r="P90" s="116" t="s">
        <v>2854</v>
      </c>
      <c r="S90"/>
    </row>
    <row r="91" spans="1:19" ht="121.5">
      <c r="A91" s="114" t="s">
        <v>2818</v>
      </c>
      <c r="B91" s="45" t="s">
        <v>2877</v>
      </c>
      <c r="C91" s="45" t="s">
        <v>3103</v>
      </c>
      <c r="D91" s="45" t="s">
        <v>3254</v>
      </c>
      <c r="E91" s="45" t="s">
        <v>3255</v>
      </c>
      <c r="F91" s="45" t="s">
        <v>3256</v>
      </c>
      <c r="G91" s="45" t="s">
        <v>3257</v>
      </c>
      <c r="H91" s="45" t="s">
        <v>3258</v>
      </c>
      <c r="I91" s="45" t="s">
        <v>3259</v>
      </c>
      <c r="J91" s="45" t="s">
        <v>3260</v>
      </c>
      <c r="K91" s="45" t="s">
        <v>3261</v>
      </c>
      <c r="L91" s="45" t="s">
        <v>3262</v>
      </c>
      <c r="M91" s="56">
        <v>78900</v>
      </c>
      <c r="N91" s="116">
        <v>2</v>
      </c>
      <c r="O91" s="119">
        <f t="shared" si="2"/>
        <v>157800</v>
      </c>
      <c r="P91" s="116" t="s">
        <v>2854</v>
      </c>
      <c r="S91"/>
    </row>
    <row r="92" spans="1:19" ht="121.5">
      <c r="A92" s="114" t="s">
        <v>2818</v>
      </c>
      <c r="B92" s="45" t="s">
        <v>2885</v>
      </c>
      <c r="C92" s="45" t="s">
        <v>3263</v>
      </c>
      <c r="D92" s="45" t="s">
        <v>3264</v>
      </c>
      <c r="E92" s="45" t="s">
        <v>3265</v>
      </c>
      <c r="F92" s="45" t="s">
        <v>3266</v>
      </c>
      <c r="G92" s="45" t="s">
        <v>3267</v>
      </c>
      <c r="H92" s="45" t="s">
        <v>3268</v>
      </c>
      <c r="I92" s="45" t="s">
        <v>3269</v>
      </c>
      <c r="J92" s="45" t="s">
        <v>3270</v>
      </c>
      <c r="K92" s="45" t="s">
        <v>3271</v>
      </c>
      <c r="L92" s="45" t="s">
        <v>3272</v>
      </c>
      <c r="M92" s="56">
        <v>0</v>
      </c>
      <c r="N92" s="116">
        <v>2</v>
      </c>
      <c r="O92" s="119">
        <f t="shared" si="2"/>
        <v>0</v>
      </c>
      <c r="P92" s="116" t="s">
        <v>2854</v>
      </c>
      <c r="S92"/>
    </row>
    <row r="93" spans="1:19">
      <c r="A93" s="114" t="s">
        <v>2818</v>
      </c>
      <c r="B93" s="45" t="s">
        <v>1434</v>
      </c>
      <c r="C93" s="45">
        <v>0</v>
      </c>
      <c r="D93" s="45">
        <v>0</v>
      </c>
      <c r="E93" s="45">
        <v>0</v>
      </c>
      <c r="F93" s="45">
        <v>0</v>
      </c>
      <c r="G93" s="45">
        <v>0</v>
      </c>
      <c r="H93" s="45">
        <v>0</v>
      </c>
      <c r="I93" s="45">
        <v>0</v>
      </c>
      <c r="J93" s="45">
        <v>0</v>
      </c>
      <c r="K93" s="45">
        <v>0</v>
      </c>
      <c r="L93" s="45">
        <v>0</v>
      </c>
      <c r="M93" s="56">
        <v>0</v>
      </c>
      <c r="N93" s="116">
        <v>2</v>
      </c>
      <c r="O93" s="119">
        <f t="shared" si="2"/>
        <v>0</v>
      </c>
      <c r="P93" s="116" t="s">
        <v>2544</v>
      </c>
      <c r="S93"/>
    </row>
    <row r="94" spans="1:19" ht="60.75">
      <c r="A94" s="114" t="s">
        <v>2818</v>
      </c>
      <c r="B94" s="45" t="s">
        <v>2903</v>
      </c>
      <c r="C94" s="45" t="s">
        <v>792</v>
      </c>
      <c r="D94" s="45" t="s">
        <v>3273</v>
      </c>
      <c r="E94" s="45" t="s">
        <v>3274</v>
      </c>
      <c r="F94" s="45" t="s">
        <v>3221</v>
      </c>
      <c r="G94" s="45" t="s">
        <v>3275</v>
      </c>
      <c r="H94" s="45" t="s">
        <v>3221</v>
      </c>
      <c r="I94" s="45" t="s">
        <v>3276</v>
      </c>
      <c r="J94" s="45" t="s">
        <v>3221</v>
      </c>
      <c r="K94" s="45" t="s">
        <v>3221</v>
      </c>
      <c r="L94" s="45" t="s">
        <v>3221</v>
      </c>
      <c r="M94" s="56" t="s">
        <v>3221</v>
      </c>
      <c r="N94" s="116">
        <v>2</v>
      </c>
      <c r="O94" s="119">
        <f t="shared" si="2"/>
        <v>0</v>
      </c>
      <c r="P94" s="116" t="s">
        <v>2914</v>
      </c>
      <c r="S94"/>
    </row>
    <row r="95" spans="1:19">
      <c r="A95" s="114" t="s">
        <v>2818</v>
      </c>
      <c r="B95" s="45" t="s">
        <v>2915</v>
      </c>
      <c r="C95" s="45">
        <v>0</v>
      </c>
      <c r="D95" s="45">
        <v>0</v>
      </c>
      <c r="E95" s="45">
        <v>0</v>
      </c>
      <c r="F95" s="45">
        <v>0</v>
      </c>
      <c r="G95" s="45">
        <v>0</v>
      </c>
      <c r="H95" s="45">
        <v>0</v>
      </c>
      <c r="I95" s="45">
        <v>0</v>
      </c>
      <c r="J95" s="45">
        <v>0</v>
      </c>
      <c r="K95" s="45">
        <v>0</v>
      </c>
      <c r="L95" s="45">
        <v>0</v>
      </c>
      <c r="M95" s="56">
        <v>0</v>
      </c>
      <c r="N95" s="116">
        <v>2</v>
      </c>
      <c r="O95" s="119">
        <f t="shared" si="2"/>
        <v>0</v>
      </c>
      <c r="P95" s="116" t="s">
        <v>2914</v>
      </c>
      <c r="S95"/>
    </row>
    <row r="96" spans="1:19">
      <c r="A96" s="114" t="s">
        <v>2818</v>
      </c>
      <c r="B96" s="45" t="s">
        <v>2926</v>
      </c>
      <c r="C96" s="45">
        <v>0</v>
      </c>
      <c r="D96" s="45">
        <v>0</v>
      </c>
      <c r="E96" s="45">
        <v>0</v>
      </c>
      <c r="F96" s="45">
        <v>0</v>
      </c>
      <c r="G96" s="45">
        <v>0</v>
      </c>
      <c r="H96" s="45">
        <v>0</v>
      </c>
      <c r="I96" s="45">
        <v>0</v>
      </c>
      <c r="J96" s="45">
        <v>0</v>
      </c>
      <c r="K96" s="45">
        <v>0</v>
      </c>
      <c r="L96" s="45">
        <v>0</v>
      </c>
      <c r="M96" s="56">
        <v>0</v>
      </c>
      <c r="N96" s="116">
        <v>2</v>
      </c>
      <c r="O96" s="119">
        <f t="shared" si="2"/>
        <v>0</v>
      </c>
      <c r="P96" s="116" t="s">
        <v>2914</v>
      </c>
      <c r="S96"/>
    </row>
    <row r="97" spans="1:19">
      <c r="A97" s="114" t="s">
        <v>2818</v>
      </c>
      <c r="B97" s="45" t="s">
        <v>2592</v>
      </c>
      <c r="C97" s="45">
        <v>0</v>
      </c>
      <c r="D97" s="45">
        <v>0</v>
      </c>
      <c r="E97" s="45">
        <v>0</v>
      </c>
      <c r="F97" s="45">
        <v>0</v>
      </c>
      <c r="G97" s="45">
        <v>0</v>
      </c>
      <c r="H97" s="45">
        <v>0</v>
      </c>
      <c r="I97" s="45">
        <v>0</v>
      </c>
      <c r="J97" s="45">
        <v>0</v>
      </c>
      <c r="K97" s="45">
        <v>0</v>
      </c>
      <c r="L97" s="45">
        <v>0</v>
      </c>
      <c r="M97" s="56">
        <v>0</v>
      </c>
      <c r="N97" s="116">
        <v>2</v>
      </c>
      <c r="O97" s="119">
        <f t="shared" si="2"/>
        <v>0</v>
      </c>
      <c r="P97" s="116" t="s">
        <v>2914</v>
      </c>
      <c r="S97"/>
    </row>
    <row r="98" spans="1:19">
      <c r="A98" s="114" t="s">
        <v>2818</v>
      </c>
      <c r="B98" s="45" t="s">
        <v>2602</v>
      </c>
      <c r="C98" s="45">
        <v>0</v>
      </c>
      <c r="D98" s="45">
        <v>0</v>
      </c>
      <c r="E98" s="45">
        <v>0</v>
      </c>
      <c r="F98" s="45">
        <v>0</v>
      </c>
      <c r="G98" s="45">
        <v>0</v>
      </c>
      <c r="H98" s="45">
        <v>0</v>
      </c>
      <c r="I98" s="45">
        <v>0</v>
      </c>
      <c r="J98" s="45">
        <v>0</v>
      </c>
      <c r="K98" s="45">
        <v>0</v>
      </c>
      <c r="L98" s="45">
        <v>0</v>
      </c>
      <c r="M98" s="56">
        <v>0</v>
      </c>
      <c r="N98" s="116">
        <v>2</v>
      </c>
      <c r="O98" s="119">
        <f t="shared" si="2"/>
        <v>0</v>
      </c>
      <c r="P98" s="116" t="s">
        <v>2914</v>
      </c>
      <c r="S98"/>
    </row>
    <row r="99" spans="1:19" ht="106.5">
      <c r="A99" s="114" t="s">
        <v>2818</v>
      </c>
      <c r="B99" s="45" t="s">
        <v>1482</v>
      </c>
      <c r="C99" s="45" t="s">
        <v>3277</v>
      </c>
      <c r="D99" s="45" t="s">
        <v>3278</v>
      </c>
      <c r="E99" s="45" t="s">
        <v>3279</v>
      </c>
      <c r="F99" s="45" t="s">
        <v>3280</v>
      </c>
      <c r="G99" s="45" t="s">
        <v>3281</v>
      </c>
      <c r="H99" s="45" t="s">
        <v>3282</v>
      </c>
      <c r="I99" s="45" t="s">
        <v>3283</v>
      </c>
      <c r="J99" s="45" t="s">
        <v>3284</v>
      </c>
      <c r="K99" s="45" t="s">
        <v>3285</v>
      </c>
      <c r="L99" s="45" t="s">
        <v>3286</v>
      </c>
      <c r="M99" s="56"/>
      <c r="N99" s="116">
        <v>2</v>
      </c>
      <c r="O99" s="119">
        <f t="shared" si="2"/>
        <v>0</v>
      </c>
      <c r="P99" s="116" t="s">
        <v>2914</v>
      </c>
      <c r="S99"/>
    </row>
    <row r="100" spans="1:19">
      <c r="A100" s="114" t="s">
        <v>2818</v>
      </c>
      <c r="B100" s="45" t="s">
        <v>2967</v>
      </c>
      <c r="C100" s="45">
        <v>0</v>
      </c>
      <c r="D100" s="45">
        <v>0</v>
      </c>
      <c r="E100" s="45">
        <v>0</v>
      </c>
      <c r="F100" s="45">
        <v>0</v>
      </c>
      <c r="G100" s="45">
        <v>0</v>
      </c>
      <c r="H100" s="45">
        <v>0</v>
      </c>
      <c r="I100" s="45">
        <v>0</v>
      </c>
      <c r="J100" s="45">
        <v>0</v>
      </c>
      <c r="K100" s="45">
        <v>0</v>
      </c>
      <c r="L100" s="45">
        <v>0</v>
      </c>
      <c r="M100" s="56">
        <v>0</v>
      </c>
      <c r="N100" s="116">
        <v>2</v>
      </c>
      <c r="O100" s="119">
        <f t="shared" si="2"/>
        <v>0</v>
      </c>
      <c r="P100" s="116" t="s">
        <v>2914</v>
      </c>
      <c r="S100"/>
    </row>
    <row r="101" spans="1:19">
      <c r="A101" s="114" t="s">
        <v>2830</v>
      </c>
      <c r="B101" s="45" t="s">
        <v>2762</v>
      </c>
      <c r="C101" s="45" t="s">
        <v>3287</v>
      </c>
      <c r="D101" s="45" t="s">
        <v>3004</v>
      </c>
      <c r="E101" s="45" t="s">
        <v>3004</v>
      </c>
      <c r="F101" s="45" t="s">
        <v>3004</v>
      </c>
      <c r="G101" s="45" t="s">
        <v>3004</v>
      </c>
      <c r="H101" s="45" t="s">
        <v>3004</v>
      </c>
      <c r="I101" s="45" t="s">
        <v>3004</v>
      </c>
      <c r="J101" s="45" t="s">
        <v>3004</v>
      </c>
      <c r="K101" s="45" t="s">
        <v>3004</v>
      </c>
      <c r="L101" s="45" t="s">
        <v>3004</v>
      </c>
      <c r="M101" s="56" t="s">
        <v>3004</v>
      </c>
      <c r="N101" s="116">
        <v>1</v>
      </c>
      <c r="O101" s="119">
        <f t="shared" si="2"/>
        <v>0</v>
      </c>
      <c r="P101" s="116" t="s">
        <v>2773</v>
      </c>
      <c r="S101"/>
    </row>
    <row r="102" spans="1:19" ht="91.5">
      <c r="A102" s="114" t="s">
        <v>2830</v>
      </c>
      <c r="B102" s="45" t="s">
        <v>2774</v>
      </c>
      <c r="C102" s="45" t="s">
        <v>3288</v>
      </c>
      <c r="D102" s="45" t="s">
        <v>3289</v>
      </c>
      <c r="E102" s="45" t="s">
        <v>3290</v>
      </c>
      <c r="F102" s="45" t="s">
        <v>3291</v>
      </c>
      <c r="G102" s="45" t="s">
        <v>3292</v>
      </c>
      <c r="H102" s="45" t="s">
        <v>3293</v>
      </c>
      <c r="I102" s="45" t="s">
        <v>3294</v>
      </c>
      <c r="J102" s="45" t="s">
        <v>3295</v>
      </c>
      <c r="K102" s="45" t="s">
        <v>3004</v>
      </c>
      <c r="L102" s="45" t="s">
        <v>3296</v>
      </c>
      <c r="M102" s="127">
        <v>0</v>
      </c>
      <c r="N102" s="116">
        <v>1</v>
      </c>
      <c r="O102" s="119">
        <f t="shared" si="2"/>
        <v>0</v>
      </c>
      <c r="P102" s="116" t="s">
        <v>2773</v>
      </c>
      <c r="Q102" s="127">
        <v>5850000</v>
      </c>
      <c r="S102"/>
    </row>
    <row r="103" spans="1:19">
      <c r="A103" s="114" t="s">
        <v>2830</v>
      </c>
      <c r="B103" s="45" t="s">
        <v>2786</v>
      </c>
      <c r="C103" s="45">
        <v>0</v>
      </c>
      <c r="D103" s="45">
        <v>0</v>
      </c>
      <c r="E103" s="45">
        <v>0</v>
      </c>
      <c r="F103" s="45">
        <v>0</v>
      </c>
      <c r="G103" s="45">
        <v>0</v>
      </c>
      <c r="H103" s="45">
        <v>0</v>
      </c>
      <c r="I103" s="45">
        <v>0</v>
      </c>
      <c r="J103" s="45">
        <v>0</v>
      </c>
      <c r="K103" s="45">
        <v>0</v>
      </c>
      <c r="L103" s="45">
        <v>0</v>
      </c>
      <c r="M103" s="56">
        <v>0</v>
      </c>
      <c r="N103" s="116">
        <v>1</v>
      </c>
      <c r="O103" s="119">
        <f t="shared" si="2"/>
        <v>0</v>
      </c>
      <c r="P103" s="116" t="s">
        <v>2773</v>
      </c>
      <c r="S103"/>
    </row>
    <row r="104" spans="1:19">
      <c r="A104" s="114" t="s">
        <v>2830</v>
      </c>
      <c r="B104" s="45" t="s">
        <v>2798</v>
      </c>
      <c r="C104" s="45">
        <v>0</v>
      </c>
      <c r="D104" s="45">
        <v>0</v>
      </c>
      <c r="E104" s="45">
        <v>0</v>
      </c>
      <c r="F104" s="45">
        <v>0</v>
      </c>
      <c r="G104" s="45">
        <v>0</v>
      </c>
      <c r="H104" s="45">
        <v>0</v>
      </c>
      <c r="I104" s="45">
        <v>0</v>
      </c>
      <c r="J104" s="45">
        <v>0</v>
      </c>
      <c r="K104" s="45">
        <v>0</v>
      </c>
      <c r="L104" s="45">
        <v>0</v>
      </c>
      <c r="M104" s="56">
        <v>0</v>
      </c>
      <c r="N104" s="116">
        <v>1</v>
      </c>
      <c r="O104" s="119">
        <f t="shared" si="2"/>
        <v>0</v>
      </c>
      <c r="P104" s="116" t="s">
        <v>2798</v>
      </c>
      <c r="S104"/>
    </row>
    <row r="105" spans="1:19" ht="76.5">
      <c r="A105" s="114" t="s">
        <v>2830</v>
      </c>
      <c r="B105" s="45" t="s">
        <v>3217</v>
      </c>
      <c r="C105" s="45" t="s">
        <v>3297</v>
      </c>
      <c r="D105" s="45" t="s">
        <v>3298</v>
      </c>
      <c r="E105" s="45" t="s">
        <v>3299</v>
      </c>
      <c r="F105" s="45" t="s">
        <v>3300</v>
      </c>
      <c r="G105" s="45" t="s">
        <v>3301</v>
      </c>
      <c r="H105" s="45" t="s">
        <v>3302</v>
      </c>
      <c r="I105" s="45" t="s">
        <v>3303</v>
      </c>
      <c r="J105" s="45" t="s">
        <v>3304</v>
      </c>
      <c r="K105" s="45" t="s">
        <v>3304</v>
      </c>
      <c r="L105" s="45" t="s">
        <v>3304</v>
      </c>
      <c r="M105" s="56" t="s">
        <v>3304</v>
      </c>
      <c r="N105" s="116">
        <v>1</v>
      </c>
      <c r="O105" s="119">
        <f t="shared" si="2"/>
        <v>0</v>
      </c>
      <c r="P105" s="116" t="s">
        <v>2817</v>
      </c>
      <c r="S105"/>
    </row>
    <row r="106" spans="1:19" ht="30.75">
      <c r="A106" s="114" t="s">
        <v>2830</v>
      </c>
      <c r="B106" s="45" t="s">
        <v>2841</v>
      </c>
      <c r="C106" s="45" t="s">
        <v>3305</v>
      </c>
      <c r="D106" s="45" t="s">
        <v>3306</v>
      </c>
      <c r="E106" s="45" t="s">
        <v>2955</v>
      </c>
      <c r="F106" s="45" t="s">
        <v>2955</v>
      </c>
      <c r="G106" s="45" t="s">
        <v>2955</v>
      </c>
      <c r="H106" s="45" t="s">
        <v>2955</v>
      </c>
      <c r="I106" s="45" t="s">
        <v>2955</v>
      </c>
      <c r="J106" s="45" t="s">
        <v>2955</v>
      </c>
      <c r="K106" s="45" t="s">
        <v>2955</v>
      </c>
      <c r="L106" s="45" t="s">
        <v>2955</v>
      </c>
      <c r="M106" s="56"/>
      <c r="N106" s="116">
        <v>1</v>
      </c>
      <c r="O106" s="119">
        <f t="shared" si="2"/>
        <v>0</v>
      </c>
      <c r="P106" s="116" t="s">
        <v>2841</v>
      </c>
      <c r="S106"/>
    </row>
    <row r="107" spans="1:19">
      <c r="A107" s="114" t="s">
        <v>2830</v>
      </c>
      <c r="B107" s="45" t="s">
        <v>2843</v>
      </c>
      <c r="C107" s="45">
        <v>0</v>
      </c>
      <c r="D107" s="45">
        <v>0</v>
      </c>
      <c r="E107" s="45">
        <v>0</v>
      </c>
      <c r="F107" s="45">
        <v>0</v>
      </c>
      <c r="G107" s="45">
        <v>0</v>
      </c>
      <c r="H107" s="45">
        <v>0</v>
      </c>
      <c r="I107" s="45">
        <v>0</v>
      </c>
      <c r="J107" s="45">
        <v>0</v>
      </c>
      <c r="K107" s="45">
        <v>0</v>
      </c>
      <c r="L107" s="45">
        <v>0</v>
      </c>
      <c r="M107" s="56">
        <v>0</v>
      </c>
      <c r="N107" s="116">
        <v>1</v>
      </c>
      <c r="O107" s="119">
        <f t="shared" si="2"/>
        <v>0</v>
      </c>
      <c r="P107" s="116" t="s">
        <v>2854</v>
      </c>
      <c r="S107"/>
    </row>
    <row r="108" spans="1:19">
      <c r="A108" s="114" t="s">
        <v>2830</v>
      </c>
      <c r="B108" s="45" t="s">
        <v>2855</v>
      </c>
      <c r="C108" s="45">
        <v>0</v>
      </c>
      <c r="D108" s="45">
        <v>0</v>
      </c>
      <c r="E108" s="45">
        <v>0</v>
      </c>
      <c r="F108" s="45">
        <v>0</v>
      </c>
      <c r="G108" s="45">
        <v>0</v>
      </c>
      <c r="H108" s="45">
        <v>0</v>
      </c>
      <c r="I108" s="45">
        <v>0</v>
      </c>
      <c r="J108" s="45">
        <v>0</v>
      </c>
      <c r="K108" s="45">
        <v>0</v>
      </c>
      <c r="L108" s="45">
        <v>0</v>
      </c>
      <c r="M108" s="56">
        <v>0</v>
      </c>
      <c r="N108" s="116">
        <v>1</v>
      </c>
      <c r="O108" s="119">
        <f t="shared" si="2"/>
        <v>0</v>
      </c>
      <c r="P108" s="116" t="s">
        <v>2854</v>
      </c>
      <c r="S108"/>
    </row>
    <row r="109" spans="1:19" ht="76.5">
      <c r="A109" s="114" t="s">
        <v>2830</v>
      </c>
      <c r="B109" s="45" t="s">
        <v>2866</v>
      </c>
      <c r="C109" s="45" t="s">
        <v>3307</v>
      </c>
      <c r="D109" s="45" t="s">
        <v>3308</v>
      </c>
      <c r="E109" s="45" t="s">
        <v>3309</v>
      </c>
      <c r="F109" s="45" t="s">
        <v>3310</v>
      </c>
      <c r="G109" s="45" t="s">
        <v>3311</v>
      </c>
      <c r="H109" s="45" t="s">
        <v>3312</v>
      </c>
      <c r="I109" s="45" t="s">
        <v>3313</v>
      </c>
      <c r="J109" s="45" t="s">
        <v>3314</v>
      </c>
      <c r="K109" s="45" t="s">
        <v>3315</v>
      </c>
      <c r="L109" s="45" t="s">
        <v>3316</v>
      </c>
      <c r="M109" s="56">
        <v>65088</v>
      </c>
      <c r="N109" s="116">
        <v>1</v>
      </c>
      <c r="O109" s="119">
        <f t="shared" si="2"/>
        <v>65088</v>
      </c>
      <c r="P109" s="116" t="s">
        <v>2854</v>
      </c>
      <c r="S109"/>
    </row>
    <row r="110" spans="1:19">
      <c r="A110" s="114" t="s">
        <v>2830</v>
      </c>
      <c r="B110" s="45" t="s">
        <v>2877</v>
      </c>
      <c r="C110" s="45" t="s">
        <v>3103</v>
      </c>
      <c r="D110" s="45" t="s">
        <v>3004</v>
      </c>
      <c r="E110" s="45" t="s">
        <v>3004</v>
      </c>
      <c r="F110" s="45" t="s">
        <v>3004</v>
      </c>
      <c r="G110" s="45" t="s">
        <v>3004</v>
      </c>
      <c r="H110" s="45" t="s">
        <v>3004</v>
      </c>
      <c r="I110" s="45" t="s">
        <v>3004</v>
      </c>
      <c r="J110" s="45" t="s">
        <v>3004</v>
      </c>
      <c r="K110" s="45" t="s">
        <v>3004</v>
      </c>
      <c r="L110" s="45" t="s">
        <v>3004</v>
      </c>
      <c r="M110" s="56">
        <v>0</v>
      </c>
      <c r="N110" s="116">
        <v>1</v>
      </c>
      <c r="O110" s="119">
        <f t="shared" si="2"/>
        <v>0</v>
      </c>
      <c r="P110" s="116" t="s">
        <v>2854</v>
      </c>
      <c r="S110"/>
    </row>
    <row r="111" spans="1:19">
      <c r="A111" s="114" t="s">
        <v>2830</v>
      </c>
      <c r="B111" s="45" t="s">
        <v>2885</v>
      </c>
      <c r="C111" s="45">
        <v>0</v>
      </c>
      <c r="D111" s="45">
        <v>0</v>
      </c>
      <c r="E111" s="45">
        <v>0</v>
      </c>
      <c r="F111" s="45">
        <v>0</v>
      </c>
      <c r="G111" s="45">
        <v>0</v>
      </c>
      <c r="H111" s="45">
        <v>0</v>
      </c>
      <c r="I111" s="45">
        <v>0</v>
      </c>
      <c r="J111" s="45">
        <v>0</v>
      </c>
      <c r="K111" s="45">
        <v>0</v>
      </c>
      <c r="L111" s="45">
        <v>0</v>
      </c>
      <c r="M111" s="56">
        <v>0</v>
      </c>
      <c r="N111" s="116">
        <v>1</v>
      </c>
      <c r="O111" s="119">
        <f t="shared" si="2"/>
        <v>0</v>
      </c>
      <c r="P111" s="116" t="s">
        <v>2854</v>
      </c>
      <c r="S111"/>
    </row>
    <row r="112" spans="1:19">
      <c r="A112" s="114" t="s">
        <v>2830</v>
      </c>
      <c r="B112" s="45" t="s">
        <v>1434</v>
      </c>
      <c r="C112" s="45">
        <v>0</v>
      </c>
      <c r="D112" s="45">
        <v>0</v>
      </c>
      <c r="E112" s="45">
        <v>0</v>
      </c>
      <c r="F112" s="45">
        <v>0</v>
      </c>
      <c r="G112" s="45">
        <v>0</v>
      </c>
      <c r="H112" s="45">
        <v>0</v>
      </c>
      <c r="I112" s="45">
        <v>0</v>
      </c>
      <c r="J112" s="45">
        <v>0</v>
      </c>
      <c r="K112" s="45">
        <v>0</v>
      </c>
      <c r="L112" s="45">
        <v>0</v>
      </c>
      <c r="M112" s="56">
        <v>0</v>
      </c>
      <c r="N112" s="116">
        <v>1</v>
      </c>
      <c r="O112" s="119">
        <f t="shared" si="2"/>
        <v>0</v>
      </c>
      <c r="P112" s="116" t="s">
        <v>2544</v>
      </c>
      <c r="S112"/>
    </row>
    <row r="113" spans="1:49">
      <c r="A113" s="114" t="s">
        <v>2830</v>
      </c>
      <c r="B113" s="45" t="s">
        <v>2903</v>
      </c>
      <c r="C113" s="45">
        <v>0</v>
      </c>
      <c r="D113" s="45">
        <v>0</v>
      </c>
      <c r="E113" s="45">
        <v>0</v>
      </c>
      <c r="F113" s="45">
        <v>0</v>
      </c>
      <c r="G113" s="45">
        <v>0</v>
      </c>
      <c r="H113" s="45">
        <v>0</v>
      </c>
      <c r="I113" s="45">
        <v>0</v>
      </c>
      <c r="J113" s="45">
        <v>0</v>
      </c>
      <c r="K113" s="45">
        <v>0</v>
      </c>
      <c r="L113" s="45">
        <v>0</v>
      </c>
      <c r="M113" s="56">
        <v>0</v>
      </c>
      <c r="N113" s="116">
        <v>1</v>
      </c>
      <c r="O113" s="119">
        <f t="shared" si="2"/>
        <v>0</v>
      </c>
      <c r="P113" s="116" t="s">
        <v>2914</v>
      </c>
      <c r="S113"/>
    </row>
    <row r="114" spans="1:49">
      <c r="A114" s="114" t="s">
        <v>2830</v>
      </c>
      <c r="B114" s="45" t="s">
        <v>2915</v>
      </c>
      <c r="C114" s="45">
        <v>0</v>
      </c>
      <c r="D114" s="45">
        <v>0</v>
      </c>
      <c r="E114" s="45">
        <v>0</v>
      </c>
      <c r="F114" s="45">
        <v>0</v>
      </c>
      <c r="G114" s="45">
        <v>0</v>
      </c>
      <c r="H114" s="45">
        <v>0</v>
      </c>
      <c r="I114" s="45">
        <v>0</v>
      </c>
      <c r="J114" s="45">
        <v>0</v>
      </c>
      <c r="K114" s="45">
        <v>0</v>
      </c>
      <c r="L114" s="45">
        <v>0</v>
      </c>
      <c r="M114" s="56">
        <v>0</v>
      </c>
      <c r="N114" s="116">
        <v>1</v>
      </c>
      <c r="O114" s="119">
        <f t="shared" si="2"/>
        <v>0</v>
      </c>
      <c r="P114" s="116" t="s">
        <v>2914</v>
      </c>
      <c r="S114"/>
    </row>
    <row r="115" spans="1:49">
      <c r="A115" s="114" t="s">
        <v>2830</v>
      </c>
      <c r="B115" s="45" t="s">
        <v>2926</v>
      </c>
      <c r="C115" s="45">
        <v>0</v>
      </c>
      <c r="D115" s="45">
        <v>0</v>
      </c>
      <c r="E115" s="45">
        <v>0</v>
      </c>
      <c r="F115" s="45">
        <v>0</v>
      </c>
      <c r="G115" s="45">
        <v>0</v>
      </c>
      <c r="H115" s="45">
        <v>0</v>
      </c>
      <c r="I115" s="45">
        <v>0</v>
      </c>
      <c r="J115" s="45">
        <v>0</v>
      </c>
      <c r="K115" s="45">
        <v>0</v>
      </c>
      <c r="L115" s="45">
        <v>0</v>
      </c>
      <c r="M115" s="56">
        <v>0</v>
      </c>
      <c r="N115" s="116">
        <v>1</v>
      </c>
      <c r="O115" s="119">
        <f t="shared" si="2"/>
        <v>0</v>
      </c>
      <c r="P115" s="116" t="s">
        <v>2914</v>
      </c>
      <c r="S115"/>
    </row>
    <row r="116" spans="1:49" ht="57.75">
      <c r="A116" s="114" t="s">
        <v>2830</v>
      </c>
      <c r="B116" s="45" t="s">
        <v>2592</v>
      </c>
      <c r="C116" s="126" t="s">
        <v>3317</v>
      </c>
      <c r="D116" s="126" t="s">
        <v>3318</v>
      </c>
      <c r="E116" s="126" t="s">
        <v>3319</v>
      </c>
      <c r="F116" s="45">
        <v>0</v>
      </c>
      <c r="G116" s="45">
        <v>0</v>
      </c>
      <c r="H116" s="45">
        <v>0</v>
      </c>
      <c r="I116" s="45">
        <v>0</v>
      </c>
      <c r="J116" s="45">
        <v>0</v>
      </c>
      <c r="K116" s="45">
        <v>0</v>
      </c>
      <c r="L116" s="45">
        <v>0</v>
      </c>
      <c r="M116" s="56">
        <f>(13+14/60)*30000</f>
        <v>397000</v>
      </c>
      <c r="N116" s="116">
        <v>1</v>
      </c>
      <c r="O116" s="119">
        <f t="shared" si="2"/>
        <v>397000</v>
      </c>
      <c r="P116" s="116" t="s">
        <v>2914</v>
      </c>
      <c r="S116"/>
    </row>
    <row r="117" spans="1:49">
      <c r="A117" s="114" t="s">
        <v>2830</v>
      </c>
      <c r="B117" s="45" t="s">
        <v>2602</v>
      </c>
      <c r="C117" s="128" t="s">
        <v>3320</v>
      </c>
      <c r="D117" s="128" t="s">
        <v>3321</v>
      </c>
      <c r="E117" s="45">
        <v>0</v>
      </c>
      <c r="F117" s="45">
        <v>0</v>
      </c>
      <c r="G117" s="45">
        <v>0</v>
      </c>
      <c r="H117" s="45">
        <v>0</v>
      </c>
      <c r="I117" s="45">
        <v>0</v>
      </c>
      <c r="J117" s="45">
        <v>0</v>
      </c>
      <c r="K117" s="45">
        <v>0</v>
      </c>
      <c r="L117" s="45">
        <v>0</v>
      </c>
      <c r="M117" s="56">
        <f>40440/3600*30000</f>
        <v>337000</v>
      </c>
      <c r="N117" s="116">
        <v>1</v>
      </c>
      <c r="O117" s="119">
        <f t="shared" si="2"/>
        <v>337000</v>
      </c>
      <c r="P117" s="116" t="s">
        <v>2914</v>
      </c>
      <c r="S117"/>
    </row>
    <row r="118" spans="1:49" ht="183">
      <c r="A118" s="114" t="s">
        <v>2830</v>
      </c>
      <c r="B118" s="45" t="s">
        <v>1482</v>
      </c>
      <c r="C118" s="45" t="s">
        <v>3322</v>
      </c>
      <c r="D118" s="45" t="s">
        <v>3323</v>
      </c>
      <c r="E118" s="45" t="s">
        <v>3324</v>
      </c>
      <c r="F118" s="45" t="s">
        <v>3325</v>
      </c>
      <c r="G118" s="45" t="s">
        <v>3326</v>
      </c>
      <c r="H118" s="45" t="s">
        <v>3327</v>
      </c>
      <c r="I118" s="45" t="s">
        <v>3328</v>
      </c>
      <c r="J118" s="45" t="s">
        <v>3329</v>
      </c>
      <c r="K118" s="45" t="s">
        <v>3330</v>
      </c>
      <c r="L118" s="45" t="s">
        <v>3331</v>
      </c>
      <c r="M118" s="56"/>
      <c r="N118" s="116">
        <v>1</v>
      </c>
      <c r="O118" s="119">
        <f t="shared" si="2"/>
        <v>0</v>
      </c>
      <c r="P118" s="116" t="s">
        <v>2914</v>
      </c>
      <c r="S118"/>
    </row>
    <row r="119" spans="1:49">
      <c r="A119" s="114" t="s">
        <v>2830</v>
      </c>
      <c r="B119" s="45" t="s">
        <v>2967</v>
      </c>
      <c r="C119" s="45">
        <v>0</v>
      </c>
      <c r="D119" s="45">
        <v>0</v>
      </c>
      <c r="E119" s="45">
        <v>0</v>
      </c>
      <c r="F119" s="45">
        <v>0</v>
      </c>
      <c r="G119" s="45">
        <v>0</v>
      </c>
      <c r="H119" s="45">
        <v>0</v>
      </c>
      <c r="I119" s="45">
        <v>0</v>
      </c>
      <c r="J119" s="45">
        <v>0</v>
      </c>
      <c r="K119" s="45">
        <v>0</v>
      </c>
      <c r="L119" s="45">
        <v>0</v>
      </c>
      <c r="M119" s="56">
        <v>0</v>
      </c>
      <c r="N119" s="116">
        <v>1</v>
      </c>
      <c r="O119" s="119">
        <f t="shared" si="2"/>
        <v>0</v>
      </c>
      <c r="P119" s="116" t="s">
        <v>2914</v>
      </c>
      <c r="S119"/>
    </row>
    <row r="120" spans="1:49" ht="45.75">
      <c r="A120" s="114" t="s">
        <v>2842</v>
      </c>
      <c r="B120" s="45" t="s">
        <v>2762</v>
      </c>
      <c r="C120" s="14" t="s">
        <v>3332</v>
      </c>
      <c r="D120" s="14" t="s">
        <v>3333</v>
      </c>
      <c r="M120" s="56">
        <v>5850000</v>
      </c>
      <c r="N120" s="114"/>
      <c r="O120" s="115"/>
      <c r="P120" s="114"/>
      <c r="S120"/>
    </row>
    <row r="121" spans="1:49" ht="244.5">
      <c r="A121" s="114" t="s">
        <v>2842</v>
      </c>
      <c r="B121" s="45" t="s">
        <v>3334</v>
      </c>
      <c r="C121" s="14" t="s">
        <v>3335</v>
      </c>
      <c r="D121" s="14" t="s">
        <v>3336</v>
      </c>
      <c r="E121" s="14" t="s">
        <v>3337</v>
      </c>
      <c r="F121" s="14" t="s">
        <v>3338</v>
      </c>
      <c r="G121" s="14" t="s">
        <v>3339</v>
      </c>
      <c r="H121" s="14" t="s">
        <v>3340</v>
      </c>
      <c r="I121" s="14" t="s">
        <v>3341</v>
      </c>
      <c r="J121" s="14" t="s">
        <v>3342</v>
      </c>
      <c r="K121" s="14" t="s">
        <v>3343</v>
      </c>
      <c r="L121" s="14" t="s">
        <v>3344</v>
      </c>
      <c r="M121" s="56">
        <v>72000</v>
      </c>
      <c r="N121" s="114"/>
      <c r="O121" s="115"/>
      <c r="P121" s="114"/>
      <c r="S121"/>
    </row>
    <row r="122" spans="1:49" ht="213">
      <c r="A122" s="114" t="s">
        <v>2842</v>
      </c>
      <c r="B122" s="45" t="s">
        <v>3345</v>
      </c>
      <c r="C122" s="14" t="s">
        <v>3346</v>
      </c>
      <c r="D122" s="14" t="s">
        <v>3347</v>
      </c>
      <c r="E122" s="14" t="s">
        <v>3348</v>
      </c>
      <c r="F122" s="14" t="s">
        <v>3349</v>
      </c>
      <c r="G122" s="14" t="s">
        <v>3350</v>
      </c>
      <c r="H122" s="14" t="s">
        <v>3351</v>
      </c>
      <c r="I122" s="14" t="s">
        <v>3352</v>
      </c>
      <c r="J122" s="14" t="s">
        <v>3353</v>
      </c>
      <c r="K122" s="14" t="s">
        <v>3354</v>
      </c>
      <c r="L122" s="14" t="s">
        <v>3355</v>
      </c>
      <c r="M122" s="56">
        <f>(2+26/60+23.5/3600)*30000</f>
        <v>73195.833333333343</v>
      </c>
      <c r="N122" s="114"/>
      <c r="O122" s="115"/>
      <c r="P122" s="114"/>
      <c r="S122"/>
    </row>
    <row r="123" spans="1:49" ht="137.25">
      <c r="A123" s="114" t="s">
        <v>2842</v>
      </c>
      <c r="B123" s="45" t="s">
        <v>3217</v>
      </c>
      <c r="C123" s="14" t="s">
        <v>3356</v>
      </c>
      <c r="D123" s="14" t="s">
        <v>3357</v>
      </c>
      <c r="E123" s="14" t="s">
        <v>3358</v>
      </c>
      <c r="F123" s="14" t="s">
        <v>3359</v>
      </c>
      <c r="G123" s="14" t="s">
        <v>3360</v>
      </c>
      <c r="H123" s="14" t="s">
        <v>3361</v>
      </c>
      <c r="I123" s="14" t="s">
        <v>3362</v>
      </c>
      <c r="J123" s="14" t="s">
        <v>3363</v>
      </c>
      <c r="K123" s="14" t="s">
        <v>3364</v>
      </c>
      <c r="L123" s="14" t="s">
        <v>3365</v>
      </c>
      <c r="M123" s="56">
        <v>41250</v>
      </c>
      <c r="N123" s="114"/>
      <c r="O123" s="115"/>
      <c r="P123" s="115"/>
      <c r="Q123" s="119"/>
      <c r="R123" s="119"/>
      <c r="S123"/>
      <c r="T123" s="119"/>
      <c r="U123" s="119"/>
      <c r="V123" s="119"/>
      <c r="W123" s="119"/>
      <c r="X123" s="119"/>
      <c r="Y123" s="119"/>
      <c r="Z123" s="119"/>
      <c r="AA123" s="119"/>
      <c r="AB123" s="119"/>
      <c r="AC123" s="119"/>
      <c r="AD123" s="119"/>
      <c r="AE123" s="119"/>
      <c r="AF123" s="119"/>
      <c r="AG123" s="119"/>
      <c r="AH123" s="119"/>
      <c r="AI123" s="119"/>
      <c r="AJ123" s="119"/>
      <c r="AK123" s="119"/>
      <c r="AL123" s="119"/>
    </row>
    <row r="124" spans="1:49" ht="45.75">
      <c r="A124" s="114" t="s">
        <v>2842</v>
      </c>
      <c r="B124" s="45" t="s">
        <v>2841</v>
      </c>
      <c r="C124" s="14" t="s">
        <v>3366</v>
      </c>
      <c r="D124" s="14" t="s">
        <v>3367</v>
      </c>
      <c r="E124" s="14" t="s">
        <v>3368</v>
      </c>
      <c r="F124" s="14" t="s">
        <v>3369</v>
      </c>
      <c r="G124" s="14" t="s">
        <v>3370</v>
      </c>
      <c r="H124" s="14" t="s">
        <v>3371</v>
      </c>
      <c r="I124" s="14" t="s">
        <v>3372</v>
      </c>
      <c r="J124" s="14" t="s">
        <v>3373</v>
      </c>
      <c r="K124" s="14" t="s">
        <v>3374</v>
      </c>
      <c r="L124" s="14" t="s">
        <v>3375</v>
      </c>
      <c r="M124" s="56">
        <v>526667</v>
      </c>
      <c r="N124" s="114"/>
      <c r="O124" s="115"/>
      <c r="P124" s="115"/>
      <c r="Q124" s="119"/>
      <c r="R124" s="119"/>
      <c r="S124"/>
      <c r="T124" s="119"/>
      <c r="U124" s="119"/>
      <c r="V124" s="119"/>
      <c r="W124" s="119"/>
      <c r="X124" s="119"/>
      <c r="Y124" s="119"/>
      <c r="Z124" s="119"/>
      <c r="AA124" s="119"/>
      <c r="AB124" s="119"/>
      <c r="AC124" s="119"/>
      <c r="AD124" s="119"/>
      <c r="AE124" s="119"/>
      <c r="AF124" s="119"/>
      <c r="AG124" s="119"/>
      <c r="AH124" s="119"/>
      <c r="AI124" s="119"/>
      <c r="AJ124" s="119"/>
      <c r="AK124" s="119"/>
      <c r="AL124" s="119">
        <f t="shared" ref="AL124:AW124" si="3">Z124</f>
        <v>0</v>
      </c>
      <c r="AM124" s="119">
        <f t="shared" si="3"/>
        <v>0</v>
      </c>
      <c r="AN124" s="119">
        <f t="shared" si="3"/>
        <v>0</v>
      </c>
      <c r="AO124" s="119">
        <f t="shared" si="3"/>
        <v>0</v>
      </c>
      <c r="AP124" s="119">
        <f t="shared" si="3"/>
        <v>0</v>
      </c>
      <c r="AQ124" s="119">
        <f t="shared" si="3"/>
        <v>0</v>
      </c>
      <c r="AR124" s="119">
        <f t="shared" si="3"/>
        <v>0</v>
      </c>
      <c r="AS124" s="119">
        <f t="shared" si="3"/>
        <v>0</v>
      </c>
      <c r="AT124" s="119">
        <f t="shared" si="3"/>
        <v>0</v>
      </c>
      <c r="AU124" s="119">
        <f t="shared" si="3"/>
        <v>0</v>
      </c>
      <c r="AV124" s="119">
        <f t="shared" si="3"/>
        <v>0</v>
      </c>
      <c r="AW124" s="119">
        <f t="shared" si="3"/>
        <v>0</v>
      </c>
    </row>
    <row r="125" spans="1:49">
      <c r="A125" s="114" t="s">
        <v>2842</v>
      </c>
      <c r="B125" s="45" t="s">
        <v>2843</v>
      </c>
      <c r="D125" s="14" t="s">
        <v>3376</v>
      </c>
      <c r="M125" s="56"/>
      <c r="N125" s="114"/>
      <c r="O125" s="115"/>
      <c r="P125" s="114"/>
      <c r="S125"/>
    </row>
    <row r="126" spans="1:49" ht="30.75">
      <c r="A126" s="114" t="s">
        <v>2842</v>
      </c>
      <c r="B126" s="45" t="s">
        <v>2855</v>
      </c>
      <c r="D126" s="14" t="s">
        <v>3377</v>
      </c>
      <c r="M126" s="56"/>
      <c r="N126" s="114"/>
      <c r="O126" s="115"/>
      <c r="P126" s="114"/>
      <c r="S126"/>
    </row>
    <row r="127" spans="1:49" ht="91.5">
      <c r="A127" s="114" t="s">
        <v>2842</v>
      </c>
      <c r="B127" s="45" t="s">
        <v>3378</v>
      </c>
      <c r="C127" s="14" t="s">
        <v>3379</v>
      </c>
      <c r="D127" s="14" t="s">
        <v>3380</v>
      </c>
      <c r="E127" s="14" t="s">
        <v>3381</v>
      </c>
      <c r="F127" s="14" t="s">
        <v>3382</v>
      </c>
      <c r="G127" s="14" t="s">
        <v>3383</v>
      </c>
      <c r="H127" s="14" t="s">
        <v>3384</v>
      </c>
      <c r="I127" s="14" t="s">
        <v>3385</v>
      </c>
      <c r="J127" s="14" t="s">
        <v>3386</v>
      </c>
      <c r="K127" s="14" t="s">
        <v>3387</v>
      </c>
      <c r="L127" s="14" t="s">
        <v>3388</v>
      </c>
      <c r="M127" s="56">
        <f>56100/3600*30000</f>
        <v>467500</v>
      </c>
      <c r="N127" s="114"/>
      <c r="O127" s="115"/>
      <c r="P127" s="115"/>
      <c r="Q127" s="119"/>
      <c r="R127" s="119"/>
      <c r="S127"/>
      <c r="T127" s="119"/>
      <c r="U127" s="119"/>
      <c r="V127" s="119"/>
      <c r="W127" s="119"/>
      <c r="X127" s="119"/>
      <c r="Y127" s="119"/>
    </row>
    <row r="128" spans="1:49" ht="30.75">
      <c r="A128" s="114" t="s">
        <v>2842</v>
      </c>
      <c r="B128" s="45" t="s">
        <v>3389</v>
      </c>
      <c r="C128" s="14" t="s">
        <v>3390</v>
      </c>
      <c r="D128" s="14" t="s">
        <v>3391</v>
      </c>
      <c r="J128" s="14" t="s">
        <v>605</v>
      </c>
      <c r="M128" s="56"/>
      <c r="N128" s="114"/>
      <c r="O128" s="115"/>
      <c r="P128" s="114"/>
      <c r="S128"/>
    </row>
    <row r="129" spans="1:19" ht="30.75">
      <c r="A129" s="114" t="s">
        <v>2842</v>
      </c>
      <c r="B129" s="45" t="s">
        <v>3392</v>
      </c>
      <c r="D129" s="14" t="s">
        <v>3393</v>
      </c>
      <c r="M129" s="56">
        <f>154800/3600*30000</f>
        <v>1290000</v>
      </c>
      <c r="N129" s="114"/>
      <c r="O129" s="115"/>
      <c r="P129" s="114"/>
      <c r="S129"/>
    </row>
    <row r="130" spans="1:19">
      <c r="A130" s="114" t="s">
        <v>2842</v>
      </c>
      <c r="B130" s="45" t="s">
        <v>3394</v>
      </c>
      <c r="D130" s="14" t="s">
        <v>3395</v>
      </c>
      <c r="M130" s="56">
        <v>8524818.0600000005</v>
      </c>
      <c r="N130" s="114"/>
      <c r="O130" s="115"/>
      <c r="P130" s="114"/>
      <c r="S130"/>
    </row>
    <row r="131" spans="1:19">
      <c r="A131" s="114" t="s">
        <v>2842</v>
      </c>
      <c r="B131" s="45" t="s">
        <v>3396</v>
      </c>
      <c r="D131" s="14" t="s">
        <v>3397</v>
      </c>
      <c r="M131" s="56">
        <v>41250</v>
      </c>
      <c r="N131" s="114"/>
      <c r="O131" s="115"/>
      <c r="P131" s="114"/>
      <c r="S131"/>
    </row>
    <row r="132" spans="1:19">
      <c r="A132" s="114"/>
      <c r="B132" s="45"/>
      <c r="M132" s="56"/>
      <c r="N132" s="114"/>
      <c r="O132" s="115"/>
      <c r="P132" s="114"/>
    </row>
    <row r="133" spans="1:19">
      <c r="A133" s="114"/>
      <c r="B133" s="45"/>
      <c r="M133" s="56"/>
      <c r="N133" s="114"/>
      <c r="O133" s="115"/>
      <c r="P133" s="114"/>
    </row>
    <row r="134" spans="1:19">
      <c r="A134" s="114"/>
      <c r="B134" s="45"/>
      <c r="M134" s="56"/>
      <c r="N134" s="114"/>
      <c r="O134" s="115"/>
      <c r="P134" s="114"/>
    </row>
    <row r="135" spans="1:19">
      <c r="A135" s="114"/>
      <c r="B135" s="45"/>
      <c r="M135" s="56"/>
      <c r="N135" s="114"/>
      <c r="O135" s="115"/>
      <c r="P135" s="114"/>
    </row>
    <row r="136" spans="1:19">
      <c r="A136" s="114"/>
      <c r="B136" s="45"/>
      <c r="M136" s="56"/>
      <c r="N136" s="114"/>
      <c r="O136" s="115"/>
      <c r="P136" s="114"/>
    </row>
    <row r="137" spans="1:19">
      <c r="A137" s="114"/>
      <c r="B137" s="45"/>
      <c r="M137" s="56"/>
      <c r="N137" s="114"/>
      <c r="O137" s="115"/>
      <c r="P137" s="114"/>
    </row>
    <row r="138" spans="1:19">
      <c r="A138" s="114"/>
      <c r="B138" s="45"/>
      <c r="M138" s="56"/>
      <c r="N138" s="114"/>
      <c r="O138" s="115"/>
      <c r="P138" s="114"/>
    </row>
  </sheetData>
  <autoFilter ref="A1:P131" xr:uid="{00000000-0009-0000-0000-000002000000}"/>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84F5-7A70-4EAF-B11A-13B26649237E}">
  <dimension ref="A1:AN77"/>
  <sheetViews>
    <sheetView zoomScale="85" zoomScaleNormal="85" workbookViewId="0">
      <pane xSplit="8" ySplit="3" topLeftCell="I4" activePane="bottomRight" state="frozen"/>
      <selection pane="bottomRight"/>
      <selection pane="bottomLeft"/>
      <selection pane="topRight"/>
    </sheetView>
  </sheetViews>
  <sheetFormatPr defaultRowHeight="15" outlineLevelRow="1"/>
  <cols>
    <col min="1" max="1" width="21.5703125" bestFit="1" customWidth="1"/>
    <col min="2" max="2" width="14.42578125" customWidth="1"/>
    <col min="3" max="3" width="39.7109375" customWidth="1"/>
    <col min="4" max="4" width="7.5703125" bestFit="1" customWidth="1"/>
    <col min="5" max="5" width="10.42578125" style="229" bestFit="1" customWidth="1"/>
    <col min="6" max="6" width="15.7109375" style="230" customWidth="1"/>
    <col min="7" max="7" width="18.5703125" style="230" customWidth="1"/>
    <col min="8" max="8" width="11.5703125" style="230" customWidth="1"/>
    <col min="9" max="9" width="14.5703125" style="230" customWidth="1"/>
    <col min="10" max="10" width="11.42578125" style="230" customWidth="1"/>
    <col min="11" max="12" width="9.140625" style="230"/>
    <col min="13" max="13" width="14.5703125" style="230" customWidth="1"/>
    <col min="14" max="14" width="11.42578125" style="230" customWidth="1"/>
    <col min="15" max="16" width="9.140625" style="230"/>
    <col min="17" max="17" width="14.5703125" style="230" customWidth="1"/>
    <col min="18" max="18" width="11.42578125" style="230" customWidth="1"/>
    <col min="19" max="20" width="9.140625" style="230"/>
    <col min="21" max="21" width="14.5703125" style="230" customWidth="1"/>
    <col min="22" max="22" width="11.42578125" style="230" customWidth="1"/>
    <col min="23" max="24" width="9.140625" style="230"/>
    <col min="25" max="25" width="14.5703125" style="230" customWidth="1"/>
    <col min="26" max="26" width="11.42578125" style="230" customWidth="1"/>
    <col min="27" max="28" width="9.140625" style="230"/>
    <col min="29" max="29" width="14.5703125" style="230" customWidth="1"/>
    <col min="30" max="30" width="11.42578125" style="230" customWidth="1"/>
    <col min="31" max="32" width="9.140625" style="230"/>
  </cols>
  <sheetData>
    <row r="1" spans="1:32">
      <c r="A1" s="228" t="s">
        <v>3398</v>
      </c>
      <c r="C1">
        <f>COUNTA(C4:C17,C23:C35,C41:C53,C61:C73)-2-2-2-1</f>
        <v>46</v>
      </c>
      <c r="D1">
        <f>COUNTA(C4:C17,C23:C35,C41:C53,C61:C73)</f>
        <v>53</v>
      </c>
    </row>
    <row r="2" spans="1:32" s="228" customFormat="1" outlineLevel="1">
      <c r="A2" s="231" t="s">
        <v>3399</v>
      </c>
      <c r="B2" s="231"/>
      <c r="C2" s="231"/>
      <c r="D2" s="231"/>
      <c r="E2" s="231"/>
      <c r="F2" s="232" t="s">
        <v>3400</v>
      </c>
      <c r="G2" s="233"/>
      <c r="H2" s="234"/>
      <c r="I2" s="235" t="s">
        <v>3401</v>
      </c>
      <c r="J2" s="235"/>
      <c r="K2" s="235"/>
      <c r="L2" s="235"/>
      <c r="M2" s="235" t="s">
        <v>3402</v>
      </c>
      <c r="N2" s="235"/>
      <c r="O2" s="235"/>
      <c r="P2" s="235"/>
      <c r="Q2" s="235" t="s">
        <v>3403</v>
      </c>
      <c r="R2" s="235"/>
      <c r="S2" s="235"/>
      <c r="T2" s="235"/>
      <c r="U2" s="235" t="s">
        <v>3404</v>
      </c>
      <c r="V2" s="235"/>
      <c r="W2" s="235"/>
      <c r="X2" s="235"/>
      <c r="Y2" s="235" t="s">
        <v>3405</v>
      </c>
      <c r="Z2" s="235"/>
      <c r="AA2" s="235"/>
      <c r="AB2" s="235"/>
      <c r="AC2" s="235" t="s">
        <v>3406</v>
      </c>
      <c r="AD2" s="235"/>
      <c r="AE2" s="235"/>
      <c r="AF2" s="235"/>
    </row>
    <row r="3" spans="1:32" s="239" customFormat="1" ht="60.75" outlineLevel="1">
      <c r="A3" s="236" t="s">
        <v>0</v>
      </c>
      <c r="B3" s="236" t="s">
        <v>7</v>
      </c>
      <c r="C3" s="236" t="s">
        <v>2</v>
      </c>
      <c r="D3" s="236" t="s">
        <v>3407</v>
      </c>
      <c r="E3" s="237" t="s">
        <v>3408</v>
      </c>
      <c r="F3" s="238" t="s">
        <v>3409</v>
      </c>
      <c r="G3" s="238" t="s">
        <v>3410</v>
      </c>
      <c r="H3" s="238" t="s">
        <v>3411</v>
      </c>
      <c r="I3" s="238" t="s">
        <v>3412</v>
      </c>
      <c r="J3" s="238" t="s">
        <v>1334</v>
      </c>
      <c r="K3" s="238" t="s">
        <v>3413</v>
      </c>
      <c r="L3" s="238" t="s">
        <v>3414</v>
      </c>
      <c r="M3" s="238" t="s">
        <v>3412</v>
      </c>
      <c r="N3" s="238" t="s">
        <v>1334</v>
      </c>
      <c r="O3" s="238" t="s">
        <v>3413</v>
      </c>
      <c r="P3" s="238" t="s">
        <v>3414</v>
      </c>
      <c r="Q3" s="238" t="s">
        <v>3412</v>
      </c>
      <c r="R3" s="238" t="s">
        <v>1334</v>
      </c>
      <c r="S3" s="238" t="s">
        <v>3413</v>
      </c>
      <c r="T3" s="238" t="s">
        <v>3414</v>
      </c>
      <c r="U3" s="238" t="s">
        <v>3412</v>
      </c>
      <c r="V3" s="238" t="s">
        <v>1334</v>
      </c>
      <c r="W3" s="238" t="s">
        <v>3413</v>
      </c>
      <c r="X3" s="238" t="s">
        <v>3414</v>
      </c>
      <c r="Y3" s="238" t="s">
        <v>3412</v>
      </c>
      <c r="Z3" s="238" t="s">
        <v>1334</v>
      </c>
      <c r="AA3" s="238" t="s">
        <v>3413</v>
      </c>
      <c r="AB3" s="238" t="s">
        <v>3414</v>
      </c>
      <c r="AC3" s="238" t="s">
        <v>3412</v>
      </c>
      <c r="AD3" s="238" t="s">
        <v>1334</v>
      </c>
      <c r="AE3" s="238" t="s">
        <v>3413</v>
      </c>
      <c r="AF3" s="238" t="s">
        <v>3414</v>
      </c>
    </row>
    <row r="4" spans="1:32" outlineLevel="1">
      <c r="A4" s="189" t="s">
        <v>3415</v>
      </c>
      <c r="B4" s="189" t="s">
        <v>3416</v>
      </c>
      <c r="C4" s="189" t="s">
        <v>3417</v>
      </c>
      <c r="D4" s="240" t="s">
        <v>3402</v>
      </c>
      <c r="E4" s="241">
        <f>IF(H4&gt;0,AVERAGE(L4,P4,T4,X4,AB4,AF4),0)</f>
        <v>3.8</v>
      </c>
      <c r="F4" s="242">
        <v>509579</v>
      </c>
      <c r="G4" s="242">
        <f>F4*5</f>
        <v>2547895</v>
      </c>
      <c r="H4" s="242">
        <v>4</v>
      </c>
      <c r="I4" s="242"/>
      <c r="J4" s="242"/>
      <c r="K4" s="242"/>
      <c r="L4" s="242"/>
      <c r="M4" s="242">
        <v>4</v>
      </c>
      <c r="N4" s="242">
        <v>4</v>
      </c>
      <c r="O4" s="242">
        <v>4</v>
      </c>
      <c r="P4" s="242">
        <f t="shared" ref="P4:P17" si="0">IFERROR(SUM(M4:O4)/3,0)</f>
        <v>4</v>
      </c>
      <c r="Q4" s="242">
        <v>4</v>
      </c>
      <c r="R4" s="242">
        <v>4</v>
      </c>
      <c r="S4" s="242">
        <v>4</v>
      </c>
      <c r="T4" s="242">
        <f t="shared" ref="T4:T17" si="1">IFERROR(SUM(Q4:S4)/3,0)</f>
        <v>4</v>
      </c>
      <c r="U4" s="242">
        <v>4</v>
      </c>
      <c r="V4" s="242">
        <v>4</v>
      </c>
      <c r="W4" s="242">
        <v>3</v>
      </c>
      <c r="X4" s="242">
        <f t="shared" ref="X4:X17" si="2">IFERROR(SUM(U4:W4)/3,0)</f>
        <v>3.6666666666666665</v>
      </c>
      <c r="Y4" s="242">
        <v>4</v>
      </c>
      <c r="Z4" s="242">
        <v>4</v>
      </c>
      <c r="AA4" s="242">
        <v>3</v>
      </c>
      <c r="AB4" s="242">
        <f t="shared" ref="AB4:AB17" si="3">IFERROR(SUM(Y4:AA4)/3,0)</f>
        <v>3.6666666666666665</v>
      </c>
      <c r="AC4" s="242">
        <v>4</v>
      </c>
      <c r="AD4" s="242">
        <v>4</v>
      </c>
      <c r="AE4" s="242">
        <v>3</v>
      </c>
      <c r="AF4" s="242">
        <f t="shared" ref="AF4:AF17" si="4">IFERROR(SUM(AC4:AE4)/3,0)</f>
        <v>3.6666666666666665</v>
      </c>
    </row>
    <row r="5" spans="1:32" outlineLevel="1">
      <c r="A5" s="189" t="s">
        <v>3418</v>
      </c>
      <c r="B5" s="189" t="s">
        <v>3419</v>
      </c>
      <c r="C5" s="189" t="s">
        <v>3420</v>
      </c>
      <c r="D5" s="240" t="s">
        <v>3405</v>
      </c>
      <c r="E5" s="241">
        <f>IF(H5&gt;0,AVERAGE(L5,P5,T5,X5,AB5,AF5),0)</f>
        <v>2.0000000000000004</v>
      </c>
      <c r="F5" s="243">
        <v>4567369.5</v>
      </c>
      <c r="G5" s="242">
        <f t="shared" ref="G5:G17" si="5">F5*5</f>
        <v>22836847.5</v>
      </c>
      <c r="H5" s="244">
        <v>4</v>
      </c>
      <c r="I5" s="242"/>
      <c r="J5" s="242"/>
      <c r="K5" s="242"/>
      <c r="L5" s="242"/>
      <c r="M5" s="242">
        <v>1</v>
      </c>
      <c r="N5" s="242">
        <v>1</v>
      </c>
      <c r="O5" s="242">
        <v>1</v>
      </c>
      <c r="P5" s="242">
        <f t="shared" si="0"/>
        <v>1</v>
      </c>
      <c r="Q5" s="242">
        <v>4</v>
      </c>
      <c r="R5" s="242">
        <v>1</v>
      </c>
      <c r="S5" s="242">
        <v>1</v>
      </c>
      <c r="T5" s="242">
        <f t="shared" si="1"/>
        <v>2</v>
      </c>
      <c r="U5" s="242">
        <v>3</v>
      </c>
      <c r="V5" s="242">
        <v>2</v>
      </c>
      <c r="W5" s="242">
        <v>2</v>
      </c>
      <c r="X5" s="242">
        <f t="shared" si="2"/>
        <v>2.3333333333333335</v>
      </c>
      <c r="Y5" s="242">
        <v>3</v>
      </c>
      <c r="Z5" s="242">
        <v>2</v>
      </c>
      <c r="AA5" s="242">
        <v>2</v>
      </c>
      <c r="AB5" s="242">
        <f t="shared" si="3"/>
        <v>2.3333333333333335</v>
      </c>
      <c r="AC5" s="242">
        <v>2</v>
      </c>
      <c r="AD5" s="242">
        <v>2</v>
      </c>
      <c r="AE5" s="242">
        <v>3</v>
      </c>
      <c r="AF5" s="242">
        <f t="shared" si="4"/>
        <v>2.3333333333333335</v>
      </c>
    </row>
    <row r="6" spans="1:32" outlineLevel="1">
      <c r="A6" s="189" t="s">
        <v>3421</v>
      </c>
      <c r="B6" s="189" t="s">
        <v>3422</v>
      </c>
      <c r="C6" s="189" t="s">
        <v>3423</v>
      </c>
      <c r="D6" s="240" t="s">
        <v>3405</v>
      </c>
      <c r="E6" s="241">
        <f t="shared" ref="E6:E17" si="6">IF(H6&gt;0,AVERAGE(L6,P6,T6,X6,AB6,AF6),0)</f>
        <v>3.1333333333333337</v>
      </c>
      <c r="F6" s="242">
        <f>5.02*30000</f>
        <v>150600</v>
      </c>
      <c r="G6" s="242">
        <f t="shared" si="5"/>
        <v>753000</v>
      </c>
      <c r="H6" s="242">
        <v>4</v>
      </c>
      <c r="I6" s="242"/>
      <c r="J6" s="242"/>
      <c r="K6" s="242"/>
      <c r="L6" s="242"/>
      <c r="M6" s="242">
        <v>2</v>
      </c>
      <c r="N6" s="242">
        <v>2</v>
      </c>
      <c r="O6" s="242">
        <v>2</v>
      </c>
      <c r="P6" s="242">
        <f t="shared" si="0"/>
        <v>2</v>
      </c>
      <c r="Q6" s="242">
        <v>3</v>
      </c>
      <c r="R6" s="242">
        <v>3</v>
      </c>
      <c r="S6" s="242">
        <v>3</v>
      </c>
      <c r="T6" s="242">
        <f t="shared" si="1"/>
        <v>3</v>
      </c>
      <c r="U6" s="242">
        <v>4</v>
      </c>
      <c r="V6" s="242">
        <v>4</v>
      </c>
      <c r="W6" s="242">
        <v>4</v>
      </c>
      <c r="X6" s="242">
        <f t="shared" si="2"/>
        <v>4</v>
      </c>
      <c r="Y6" s="242">
        <v>4</v>
      </c>
      <c r="Z6" s="242">
        <v>3</v>
      </c>
      <c r="AA6" s="242">
        <v>3</v>
      </c>
      <c r="AB6" s="242">
        <f t="shared" si="3"/>
        <v>3.3333333333333335</v>
      </c>
      <c r="AC6" s="242">
        <v>4</v>
      </c>
      <c r="AD6" s="242">
        <v>3</v>
      </c>
      <c r="AE6" s="242">
        <v>3</v>
      </c>
      <c r="AF6" s="242">
        <f t="shared" si="4"/>
        <v>3.3333333333333335</v>
      </c>
    </row>
    <row r="7" spans="1:32" outlineLevel="1">
      <c r="A7" s="189" t="s">
        <v>1429</v>
      </c>
      <c r="B7" s="189" t="s">
        <v>3424</v>
      </c>
      <c r="C7" s="189" t="s">
        <v>3425</v>
      </c>
      <c r="D7" s="240" t="s">
        <v>3403</v>
      </c>
      <c r="E7" s="241">
        <f t="shared" si="6"/>
        <v>3.6</v>
      </c>
      <c r="F7" s="242">
        <f>106/60*26*30000</f>
        <v>1378000</v>
      </c>
      <c r="G7" s="242">
        <f t="shared" si="5"/>
        <v>6890000</v>
      </c>
      <c r="H7" s="242">
        <v>4</v>
      </c>
      <c r="I7" s="242"/>
      <c r="J7" s="242"/>
      <c r="K7" s="242"/>
      <c r="L7" s="242"/>
      <c r="M7" s="242">
        <v>4</v>
      </c>
      <c r="N7" s="242">
        <v>3</v>
      </c>
      <c r="O7" s="242">
        <v>3</v>
      </c>
      <c r="P7" s="242">
        <f t="shared" si="0"/>
        <v>3.3333333333333335</v>
      </c>
      <c r="Q7" s="242">
        <v>4</v>
      </c>
      <c r="R7" s="242">
        <v>3</v>
      </c>
      <c r="S7" s="242">
        <v>3</v>
      </c>
      <c r="T7" s="242">
        <f t="shared" si="1"/>
        <v>3.3333333333333335</v>
      </c>
      <c r="U7" s="242">
        <v>4</v>
      </c>
      <c r="V7" s="242">
        <v>4</v>
      </c>
      <c r="W7" s="242">
        <v>4</v>
      </c>
      <c r="X7" s="242">
        <f t="shared" si="2"/>
        <v>4</v>
      </c>
      <c r="Y7" s="242">
        <v>4</v>
      </c>
      <c r="Z7" s="242">
        <v>4</v>
      </c>
      <c r="AA7" s="242">
        <v>3</v>
      </c>
      <c r="AB7" s="242">
        <f t="shared" si="3"/>
        <v>3.6666666666666665</v>
      </c>
      <c r="AC7" s="242">
        <v>4</v>
      </c>
      <c r="AD7" s="242">
        <v>3</v>
      </c>
      <c r="AE7" s="242">
        <v>4</v>
      </c>
      <c r="AF7" s="242">
        <f t="shared" si="4"/>
        <v>3.6666666666666665</v>
      </c>
    </row>
    <row r="8" spans="1:32" outlineLevel="1">
      <c r="A8" s="189" t="s">
        <v>3426</v>
      </c>
      <c r="B8" s="189" t="s">
        <v>3427</v>
      </c>
      <c r="C8" s="189" t="s">
        <v>3428</v>
      </c>
      <c r="D8" s="240" t="s">
        <v>3406</v>
      </c>
      <c r="E8" s="241">
        <f t="shared" si="6"/>
        <v>3.7333333333333329</v>
      </c>
      <c r="F8" s="242">
        <f>3.6*30000</f>
        <v>108000</v>
      </c>
      <c r="G8" s="242">
        <f t="shared" si="5"/>
        <v>540000</v>
      </c>
      <c r="H8" s="242">
        <v>4</v>
      </c>
      <c r="I8" s="242"/>
      <c r="J8" s="242"/>
      <c r="K8" s="242"/>
      <c r="L8" s="242"/>
      <c r="M8" s="242">
        <v>4</v>
      </c>
      <c r="N8" s="242">
        <v>4</v>
      </c>
      <c r="O8" s="242">
        <v>4</v>
      </c>
      <c r="P8" s="242">
        <f t="shared" si="0"/>
        <v>4</v>
      </c>
      <c r="Q8" s="242">
        <v>4</v>
      </c>
      <c r="R8" s="242">
        <v>4</v>
      </c>
      <c r="S8" s="242">
        <v>3</v>
      </c>
      <c r="T8" s="242">
        <f t="shared" si="1"/>
        <v>3.6666666666666665</v>
      </c>
      <c r="U8" s="242">
        <v>3</v>
      </c>
      <c r="V8" s="242">
        <v>4</v>
      </c>
      <c r="W8" s="242">
        <v>3</v>
      </c>
      <c r="X8" s="242">
        <f t="shared" si="2"/>
        <v>3.3333333333333335</v>
      </c>
      <c r="Y8" s="242">
        <v>4</v>
      </c>
      <c r="Z8" s="242">
        <v>4</v>
      </c>
      <c r="AA8" s="242">
        <v>3</v>
      </c>
      <c r="AB8" s="242">
        <f t="shared" si="3"/>
        <v>3.6666666666666665</v>
      </c>
      <c r="AC8" s="242">
        <v>4</v>
      </c>
      <c r="AD8" s="242">
        <v>4</v>
      </c>
      <c r="AE8" s="242">
        <v>4</v>
      </c>
      <c r="AF8" s="242">
        <f t="shared" si="4"/>
        <v>4</v>
      </c>
    </row>
    <row r="9" spans="1:32" outlineLevel="1">
      <c r="A9" s="189" t="s">
        <v>3429</v>
      </c>
      <c r="B9" s="189" t="s">
        <v>3430</v>
      </c>
      <c r="C9" s="189" t="s">
        <v>3431</v>
      </c>
      <c r="D9" s="240" t="s">
        <v>3406</v>
      </c>
      <c r="E9" s="241">
        <f t="shared" si="6"/>
        <v>4</v>
      </c>
      <c r="F9" s="242">
        <f>64.17*30000</f>
        <v>1925100</v>
      </c>
      <c r="G9" s="242">
        <f t="shared" si="5"/>
        <v>9625500</v>
      </c>
      <c r="H9" s="242">
        <v>4</v>
      </c>
      <c r="I9" s="242"/>
      <c r="J9" s="242"/>
      <c r="K9" s="242"/>
      <c r="L9" s="242"/>
      <c r="M9" s="242">
        <v>4</v>
      </c>
      <c r="N9" s="242">
        <v>4</v>
      </c>
      <c r="O9" s="242">
        <v>4</v>
      </c>
      <c r="P9" s="242">
        <f t="shared" si="0"/>
        <v>4</v>
      </c>
      <c r="Q9" s="242">
        <v>4</v>
      </c>
      <c r="R9" s="242">
        <v>4</v>
      </c>
      <c r="S9" s="242">
        <v>4</v>
      </c>
      <c r="T9" s="242">
        <f t="shared" si="1"/>
        <v>4</v>
      </c>
      <c r="U9" s="242">
        <v>4</v>
      </c>
      <c r="V9" s="242">
        <v>4</v>
      </c>
      <c r="W9" s="242">
        <v>4</v>
      </c>
      <c r="X9" s="242">
        <f t="shared" si="2"/>
        <v>4</v>
      </c>
      <c r="Y9" s="242">
        <v>4</v>
      </c>
      <c r="Z9" s="242">
        <v>4</v>
      </c>
      <c r="AA9" s="242">
        <v>4</v>
      </c>
      <c r="AB9" s="242">
        <f t="shared" si="3"/>
        <v>4</v>
      </c>
      <c r="AC9" s="242">
        <v>4</v>
      </c>
      <c r="AD9" s="242">
        <v>4</v>
      </c>
      <c r="AE9" s="242">
        <v>4</v>
      </c>
      <c r="AF9" s="242">
        <f t="shared" si="4"/>
        <v>4</v>
      </c>
    </row>
    <row r="10" spans="1:32" outlineLevel="1">
      <c r="A10" s="189" t="s">
        <v>3432</v>
      </c>
      <c r="B10" s="189" t="s">
        <v>3433</v>
      </c>
      <c r="C10" s="189" t="s">
        <v>3434</v>
      </c>
      <c r="D10" s="240" t="s">
        <v>3404</v>
      </c>
      <c r="E10" s="241">
        <f t="shared" si="6"/>
        <v>3.0000000000000004</v>
      </c>
      <c r="F10" s="243">
        <v>25100000</v>
      </c>
      <c r="G10" s="242">
        <f t="shared" si="5"/>
        <v>125500000</v>
      </c>
      <c r="H10" s="242">
        <v>4</v>
      </c>
      <c r="I10" s="242"/>
      <c r="J10" s="242"/>
      <c r="K10" s="242"/>
      <c r="L10" s="242"/>
      <c r="M10" s="242">
        <v>3</v>
      </c>
      <c r="N10" s="242">
        <v>3</v>
      </c>
      <c r="O10" s="242">
        <v>2</v>
      </c>
      <c r="P10" s="242">
        <f t="shared" si="0"/>
        <v>2.6666666666666665</v>
      </c>
      <c r="Q10" s="242">
        <v>3</v>
      </c>
      <c r="R10" s="242">
        <v>2</v>
      </c>
      <c r="S10" s="242">
        <v>2</v>
      </c>
      <c r="T10" s="242">
        <f t="shared" si="1"/>
        <v>2.3333333333333335</v>
      </c>
      <c r="U10" s="242">
        <v>3</v>
      </c>
      <c r="V10" s="242">
        <v>4</v>
      </c>
      <c r="W10" s="242">
        <v>3</v>
      </c>
      <c r="X10" s="242">
        <f t="shared" si="2"/>
        <v>3.3333333333333335</v>
      </c>
      <c r="Y10" s="242">
        <v>3</v>
      </c>
      <c r="Z10" s="242">
        <v>4</v>
      </c>
      <c r="AA10" s="242">
        <v>3</v>
      </c>
      <c r="AB10" s="242">
        <f t="shared" si="3"/>
        <v>3.3333333333333335</v>
      </c>
      <c r="AC10" s="242">
        <v>3</v>
      </c>
      <c r="AD10" s="242">
        <v>4</v>
      </c>
      <c r="AE10" s="242">
        <v>3</v>
      </c>
      <c r="AF10" s="242">
        <f t="shared" si="4"/>
        <v>3.3333333333333335</v>
      </c>
    </row>
    <row r="11" spans="1:32" outlineLevel="1">
      <c r="A11" s="189" t="s">
        <v>3435</v>
      </c>
      <c r="B11" s="189" t="s">
        <v>3436</v>
      </c>
      <c r="C11" s="189" t="s">
        <v>3437</v>
      </c>
      <c r="D11" s="240" t="s">
        <v>3404</v>
      </c>
      <c r="E11" s="241">
        <f t="shared" si="6"/>
        <v>3.6</v>
      </c>
      <c r="F11" s="242">
        <v>45000</v>
      </c>
      <c r="G11" s="242">
        <f t="shared" si="5"/>
        <v>225000</v>
      </c>
      <c r="H11" s="242">
        <v>4</v>
      </c>
      <c r="I11" s="242"/>
      <c r="J11" s="242"/>
      <c r="K11" s="242"/>
      <c r="L11" s="242"/>
      <c r="M11" s="242">
        <v>4</v>
      </c>
      <c r="N11" s="242">
        <v>4</v>
      </c>
      <c r="O11" s="242">
        <v>3</v>
      </c>
      <c r="P11" s="242">
        <f t="shared" si="0"/>
        <v>3.6666666666666665</v>
      </c>
      <c r="Q11" s="242">
        <v>4</v>
      </c>
      <c r="R11" s="242">
        <v>4</v>
      </c>
      <c r="S11" s="242">
        <v>3</v>
      </c>
      <c r="T11" s="242">
        <f t="shared" si="1"/>
        <v>3.6666666666666665</v>
      </c>
      <c r="U11" s="242">
        <v>3</v>
      </c>
      <c r="V11" s="242">
        <v>4</v>
      </c>
      <c r="W11" s="242">
        <v>4</v>
      </c>
      <c r="X11" s="242">
        <f t="shared" si="2"/>
        <v>3.6666666666666665</v>
      </c>
      <c r="Y11" s="242">
        <v>3</v>
      </c>
      <c r="Z11" s="242">
        <v>4</v>
      </c>
      <c r="AA11" s="242">
        <v>3</v>
      </c>
      <c r="AB11" s="242">
        <f t="shared" si="3"/>
        <v>3.3333333333333335</v>
      </c>
      <c r="AC11" s="242">
        <v>4</v>
      </c>
      <c r="AD11" s="242">
        <v>3</v>
      </c>
      <c r="AE11" s="242">
        <v>4</v>
      </c>
      <c r="AF11" s="242">
        <f t="shared" si="4"/>
        <v>3.6666666666666665</v>
      </c>
    </row>
    <row r="12" spans="1:32" outlineLevel="1">
      <c r="A12" s="189" t="s">
        <v>3438</v>
      </c>
      <c r="B12" s="189" t="s">
        <v>3439</v>
      </c>
      <c r="C12" s="189" t="s">
        <v>3440</v>
      </c>
      <c r="D12" s="240" t="s">
        <v>3404</v>
      </c>
      <c r="E12" s="241">
        <f t="shared" si="6"/>
        <v>0</v>
      </c>
      <c r="F12" s="242">
        <v>0</v>
      </c>
      <c r="G12" s="242">
        <f t="shared" si="5"/>
        <v>0</v>
      </c>
      <c r="H12" s="242">
        <v>0</v>
      </c>
      <c r="I12" s="242"/>
      <c r="J12" s="242"/>
      <c r="K12" s="242"/>
      <c r="L12" s="242"/>
      <c r="M12" s="242">
        <v>2</v>
      </c>
      <c r="N12" s="242">
        <v>1</v>
      </c>
      <c r="O12" s="242">
        <v>1</v>
      </c>
      <c r="P12" s="242">
        <f t="shared" si="0"/>
        <v>1.3333333333333333</v>
      </c>
      <c r="Q12" s="242">
        <v>4</v>
      </c>
      <c r="R12" s="242">
        <v>1</v>
      </c>
      <c r="S12" s="242">
        <v>1</v>
      </c>
      <c r="T12" s="242">
        <f t="shared" si="1"/>
        <v>2</v>
      </c>
      <c r="U12" s="242">
        <v>2</v>
      </c>
      <c r="V12" s="242">
        <v>2</v>
      </c>
      <c r="W12" s="242">
        <v>2</v>
      </c>
      <c r="X12" s="242">
        <f t="shared" si="2"/>
        <v>2</v>
      </c>
      <c r="Y12" s="242">
        <v>2</v>
      </c>
      <c r="Z12" s="242">
        <v>2</v>
      </c>
      <c r="AA12" s="242">
        <v>2</v>
      </c>
      <c r="AB12" s="242">
        <f t="shared" si="3"/>
        <v>2</v>
      </c>
      <c r="AC12" s="242">
        <v>3</v>
      </c>
      <c r="AD12" s="242">
        <v>4</v>
      </c>
      <c r="AE12" s="242">
        <v>3</v>
      </c>
      <c r="AF12" s="242">
        <f t="shared" si="4"/>
        <v>3.3333333333333335</v>
      </c>
    </row>
    <row r="13" spans="1:32" outlineLevel="1">
      <c r="A13" s="189" t="s">
        <v>3441</v>
      </c>
      <c r="B13" s="189" t="s">
        <v>3442</v>
      </c>
      <c r="C13" s="189" t="s">
        <v>3443</v>
      </c>
      <c r="D13" s="240" t="s">
        <v>3404</v>
      </c>
      <c r="E13" s="241">
        <f t="shared" si="6"/>
        <v>4</v>
      </c>
      <c r="F13" s="242">
        <f>(216.72-74.5)/60*26*30000</f>
        <v>1848860</v>
      </c>
      <c r="G13" s="242">
        <f t="shared" si="5"/>
        <v>9244300</v>
      </c>
      <c r="H13" s="242">
        <v>4</v>
      </c>
      <c r="I13" s="242"/>
      <c r="J13" s="242"/>
      <c r="K13" s="242"/>
      <c r="L13" s="242"/>
      <c r="M13" s="242">
        <v>4</v>
      </c>
      <c r="N13" s="242">
        <v>4</v>
      </c>
      <c r="O13" s="242">
        <v>4</v>
      </c>
      <c r="P13" s="242">
        <f t="shared" si="0"/>
        <v>4</v>
      </c>
      <c r="Q13" s="242">
        <v>4</v>
      </c>
      <c r="R13" s="242">
        <v>4</v>
      </c>
      <c r="S13" s="242">
        <v>4</v>
      </c>
      <c r="T13" s="242">
        <f t="shared" si="1"/>
        <v>4</v>
      </c>
      <c r="U13" s="242">
        <v>4</v>
      </c>
      <c r="V13" s="242">
        <v>4</v>
      </c>
      <c r="W13" s="242">
        <v>4</v>
      </c>
      <c r="X13" s="242">
        <f t="shared" si="2"/>
        <v>4</v>
      </c>
      <c r="Y13" s="242">
        <v>4</v>
      </c>
      <c r="Z13" s="242">
        <v>4</v>
      </c>
      <c r="AA13" s="242">
        <v>4</v>
      </c>
      <c r="AB13" s="242">
        <f t="shared" si="3"/>
        <v>4</v>
      </c>
      <c r="AC13" s="242">
        <v>4</v>
      </c>
      <c r="AD13" s="242">
        <v>4</v>
      </c>
      <c r="AE13" s="242">
        <v>4</v>
      </c>
      <c r="AF13" s="242">
        <f t="shared" si="4"/>
        <v>4</v>
      </c>
    </row>
    <row r="14" spans="1:32" outlineLevel="1">
      <c r="A14" s="189" t="s">
        <v>3444</v>
      </c>
      <c r="B14" s="189" t="s">
        <v>3445</v>
      </c>
      <c r="C14" s="189" t="s">
        <v>3446</v>
      </c>
      <c r="D14" s="240" t="s">
        <v>3403</v>
      </c>
      <c r="E14" s="241">
        <f t="shared" si="6"/>
        <v>2.333333333333333</v>
      </c>
      <c r="F14" s="242">
        <v>0</v>
      </c>
      <c r="G14" s="242">
        <f t="shared" si="5"/>
        <v>0</v>
      </c>
      <c r="H14" s="242">
        <v>4</v>
      </c>
      <c r="I14" s="242"/>
      <c r="J14" s="242"/>
      <c r="K14" s="242"/>
      <c r="L14" s="242"/>
      <c r="M14" s="242">
        <v>2</v>
      </c>
      <c r="N14" s="242">
        <v>2</v>
      </c>
      <c r="O14" s="242">
        <v>2</v>
      </c>
      <c r="P14" s="242">
        <f t="shared" si="0"/>
        <v>2</v>
      </c>
      <c r="Q14" s="242">
        <v>4</v>
      </c>
      <c r="R14" s="242">
        <v>2</v>
      </c>
      <c r="S14" s="242">
        <v>2</v>
      </c>
      <c r="T14" s="242">
        <f t="shared" si="1"/>
        <v>2.6666666666666665</v>
      </c>
      <c r="U14" s="242">
        <v>2</v>
      </c>
      <c r="V14" s="242">
        <v>2</v>
      </c>
      <c r="W14" s="242">
        <v>2</v>
      </c>
      <c r="X14" s="242">
        <f t="shared" si="2"/>
        <v>2</v>
      </c>
      <c r="Y14" s="242">
        <v>2</v>
      </c>
      <c r="Z14" s="242">
        <v>2</v>
      </c>
      <c r="AA14" s="242">
        <v>2</v>
      </c>
      <c r="AB14" s="242">
        <f t="shared" si="3"/>
        <v>2</v>
      </c>
      <c r="AC14" s="242">
        <v>3</v>
      </c>
      <c r="AD14" s="242">
        <v>3</v>
      </c>
      <c r="AE14" s="242">
        <v>3</v>
      </c>
      <c r="AF14" s="242">
        <f t="shared" si="4"/>
        <v>3</v>
      </c>
    </row>
    <row r="15" spans="1:32" outlineLevel="1">
      <c r="A15" s="188" t="s">
        <v>3447</v>
      </c>
      <c r="B15" s="188" t="s">
        <v>3448</v>
      </c>
      <c r="C15" s="188" t="s">
        <v>3449</v>
      </c>
      <c r="D15" s="240" t="s">
        <v>3405</v>
      </c>
      <c r="E15" s="241">
        <f t="shared" si="6"/>
        <v>0</v>
      </c>
      <c r="F15" s="242"/>
      <c r="G15" s="242">
        <f t="shared" si="5"/>
        <v>0</v>
      </c>
      <c r="H15" s="242"/>
      <c r="I15" s="242"/>
      <c r="J15" s="242"/>
      <c r="K15" s="242"/>
      <c r="L15" s="242"/>
      <c r="M15" s="242"/>
      <c r="N15" s="242"/>
      <c r="O15" s="242"/>
      <c r="P15" s="242">
        <f t="shared" si="0"/>
        <v>0</v>
      </c>
      <c r="Q15" s="242"/>
      <c r="R15" s="242"/>
      <c r="S15" s="242"/>
      <c r="T15" s="242">
        <f t="shared" si="1"/>
        <v>0</v>
      </c>
      <c r="U15" s="242"/>
      <c r="V15" s="242"/>
      <c r="W15" s="242"/>
      <c r="X15" s="242">
        <f t="shared" si="2"/>
        <v>0</v>
      </c>
      <c r="Y15" s="242"/>
      <c r="Z15" s="242"/>
      <c r="AA15" s="242"/>
      <c r="AB15" s="242">
        <f t="shared" si="3"/>
        <v>0</v>
      </c>
      <c r="AC15" s="242"/>
      <c r="AD15" s="242"/>
      <c r="AE15" s="242"/>
      <c r="AF15" s="242">
        <f t="shared" si="4"/>
        <v>0</v>
      </c>
    </row>
    <row r="16" spans="1:32" outlineLevel="1">
      <c r="A16" s="189" t="s">
        <v>2817</v>
      </c>
      <c r="B16" s="189" t="s">
        <v>3450</v>
      </c>
      <c r="C16" s="189" t="s">
        <v>3451</v>
      </c>
      <c r="D16" s="240" t="s">
        <v>3402</v>
      </c>
      <c r="E16" s="241">
        <f t="shared" si="6"/>
        <v>0</v>
      </c>
      <c r="F16" s="242">
        <v>285000</v>
      </c>
      <c r="G16" s="242">
        <f t="shared" si="5"/>
        <v>1425000</v>
      </c>
      <c r="H16" s="242"/>
      <c r="I16" s="242"/>
      <c r="J16" s="242"/>
      <c r="K16" s="242"/>
      <c r="L16" s="242"/>
      <c r="M16" s="242"/>
      <c r="N16" s="242"/>
      <c r="O16" s="242"/>
      <c r="P16" s="242">
        <f t="shared" si="0"/>
        <v>0</v>
      </c>
      <c r="Q16" s="242"/>
      <c r="R16" s="242"/>
      <c r="S16" s="242"/>
      <c r="T16" s="242">
        <f t="shared" si="1"/>
        <v>0</v>
      </c>
      <c r="U16" s="242"/>
      <c r="V16" s="242"/>
      <c r="W16" s="242"/>
      <c r="X16" s="242">
        <f t="shared" si="2"/>
        <v>0</v>
      </c>
      <c r="Y16" s="242"/>
      <c r="Z16" s="242"/>
      <c r="AA16" s="242"/>
      <c r="AB16" s="242">
        <f t="shared" si="3"/>
        <v>0</v>
      </c>
      <c r="AC16" s="242"/>
      <c r="AD16" s="242"/>
      <c r="AE16" s="242"/>
      <c r="AF16" s="242">
        <f t="shared" si="4"/>
        <v>0</v>
      </c>
    </row>
    <row r="17" spans="1:32" outlineLevel="1">
      <c r="A17" s="188" t="s">
        <v>3452</v>
      </c>
      <c r="B17" s="188" t="s">
        <v>3453</v>
      </c>
      <c r="C17" s="188" t="s">
        <v>3454</v>
      </c>
      <c r="D17" s="240" t="s">
        <v>3404</v>
      </c>
      <c r="E17" s="241">
        <f t="shared" si="6"/>
        <v>0</v>
      </c>
      <c r="F17" s="242"/>
      <c r="G17" s="242">
        <f t="shared" si="5"/>
        <v>0</v>
      </c>
      <c r="H17" s="242"/>
      <c r="I17" s="242"/>
      <c r="J17" s="242"/>
      <c r="K17" s="242"/>
      <c r="L17" s="242"/>
      <c r="M17" s="242"/>
      <c r="N17" s="242"/>
      <c r="O17" s="242"/>
      <c r="P17" s="242">
        <f t="shared" si="0"/>
        <v>0</v>
      </c>
      <c r="Q17" s="242"/>
      <c r="R17" s="242"/>
      <c r="S17" s="242"/>
      <c r="T17" s="242">
        <f t="shared" si="1"/>
        <v>0</v>
      </c>
      <c r="U17" s="242"/>
      <c r="V17" s="242"/>
      <c r="W17" s="242"/>
      <c r="X17" s="242">
        <f t="shared" si="2"/>
        <v>0</v>
      </c>
      <c r="Y17" s="242"/>
      <c r="Z17" s="242"/>
      <c r="AA17" s="242"/>
      <c r="AB17" s="242">
        <f t="shared" si="3"/>
        <v>0</v>
      </c>
      <c r="AC17" s="242"/>
      <c r="AD17" s="242"/>
      <c r="AE17" s="242"/>
      <c r="AF17" s="242">
        <f t="shared" si="4"/>
        <v>0</v>
      </c>
    </row>
    <row r="18" spans="1:32">
      <c r="A18" s="231" t="s">
        <v>3455</v>
      </c>
      <c r="B18" s="231"/>
      <c r="C18" s="231"/>
      <c r="D18" s="231"/>
      <c r="E18" s="231"/>
      <c r="F18" s="245">
        <f>SUM(F4:F17)</f>
        <v>35917508.5</v>
      </c>
      <c r="G18" s="245">
        <f>SUM(G4:G17)</f>
        <v>179587542.5</v>
      </c>
    </row>
    <row r="20" spans="1:32">
      <c r="A20" s="228" t="s">
        <v>3456</v>
      </c>
    </row>
    <row r="21" spans="1:32" s="228" customFormat="1" outlineLevel="1">
      <c r="A21" s="231" t="s">
        <v>3399</v>
      </c>
      <c r="B21" s="231"/>
      <c r="C21" s="231"/>
      <c r="D21" s="231"/>
      <c r="E21" s="231"/>
      <c r="F21" s="232" t="s">
        <v>3400</v>
      </c>
      <c r="G21" s="233"/>
      <c r="H21" s="234"/>
      <c r="I21" s="235" t="s">
        <v>3401</v>
      </c>
      <c r="J21" s="235"/>
      <c r="K21" s="235"/>
      <c r="L21" s="235"/>
      <c r="M21" s="235" t="s">
        <v>3402</v>
      </c>
      <c r="N21" s="235"/>
      <c r="O21" s="235"/>
      <c r="P21" s="235"/>
      <c r="Q21" s="235" t="s">
        <v>3403</v>
      </c>
      <c r="R21" s="235"/>
      <c r="S21" s="235"/>
      <c r="T21" s="235"/>
      <c r="U21" s="235" t="s">
        <v>3404</v>
      </c>
      <c r="V21" s="235"/>
      <c r="W21" s="235"/>
      <c r="X21" s="235"/>
      <c r="Y21" s="235" t="s">
        <v>3405</v>
      </c>
      <c r="Z21" s="235"/>
      <c r="AA21" s="235"/>
      <c r="AB21" s="235"/>
      <c r="AC21" s="235" t="s">
        <v>3406</v>
      </c>
      <c r="AD21" s="235"/>
      <c r="AE21" s="235"/>
      <c r="AF21" s="235"/>
    </row>
    <row r="22" spans="1:32" s="239" customFormat="1" ht="60.75" outlineLevel="1">
      <c r="A22" s="236" t="s">
        <v>0</v>
      </c>
      <c r="B22" s="236" t="s">
        <v>7</v>
      </c>
      <c r="C22" s="236" t="s">
        <v>2</v>
      </c>
      <c r="D22" s="236" t="s">
        <v>3407</v>
      </c>
      <c r="E22" s="237" t="s">
        <v>3408</v>
      </c>
      <c r="F22" s="238" t="s">
        <v>3409</v>
      </c>
      <c r="G22" s="238" t="s">
        <v>3410</v>
      </c>
      <c r="H22" s="238" t="s">
        <v>3411</v>
      </c>
      <c r="I22" s="238" t="s">
        <v>3412</v>
      </c>
      <c r="J22" s="238" t="s">
        <v>1334</v>
      </c>
      <c r="K22" s="238" t="s">
        <v>3413</v>
      </c>
      <c r="L22" s="238" t="s">
        <v>3414</v>
      </c>
      <c r="M22" s="238" t="s">
        <v>3412</v>
      </c>
      <c r="N22" s="238" t="s">
        <v>1334</v>
      </c>
      <c r="O22" s="238" t="s">
        <v>3413</v>
      </c>
      <c r="P22" s="238" t="s">
        <v>3414</v>
      </c>
      <c r="Q22" s="238" t="s">
        <v>3412</v>
      </c>
      <c r="R22" s="238" t="s">
        <v>1334</v>
      </c>
      <c r="S22" s="238" t="s">
        <v>3413</v>
      </c>
      <c r="T22" s="238" t="s">
        <v>3414</v>
      </c>
      <c r="U22" s="238" t="s">
        <v>3412</v>
      </c>
      <c r="V22" s="238" t="s">
        <v>1334</v>
      </c>
      <c r="W22" s="238" t="s">
        <v>3413</v>
      </c>
      <c r="X22" s="238" t="s">
        <v>3414</v>
      </c>
      <c r="Y22" s="238" t="s">
        <v>3412</v>
      </c>
      <c r="Z22" s="238" t="s">
        <v>1334</v>
      </c>
      <c r="AA22" s="238" t="s">
        <v>3413</v>
      </c>
      <c r="AB22" s="238" t="s">
        <v>3414</v>
      </c>
      <c r="AC22" s="238" t="s">
        <v>3412</v>
      </c>
      <c r="AD22" s="238" t="s">
        <v>1334</v>
      </c>
      <c r="AE22" s="238" t="s">
        <v>3413</v>
      </c>
      <c r="AF22" s="238" t="s">
        <v>3414</v>
      </c>
    </row>
    <row r="23" spans="1:32" outlineLevel="1">
      <c r="A23" s="189" t="s">
        <v>3457</v>
      </c>
      <c r="B23" s="189" t="s">
        <v>3458</v>
      </c>
      <c r="C23" s="189" t="s">
        <v>3459</v>
      </c>
      <c r="D23" s="240" t="s">
        <v>3402</v>
      </c>
      <c r="E23" s="241">
        <f>IF(H23&gt;0,AVERAGE(L23,P23,T23,X23,AB23,AF23),0)</f>
        <v>4</v>
      </c>
      <c r="F23" s="242">
        <v>64942</v>
      </c>
      <c r="G23" s="242">
        <f>F23*4</f>
        <v>259768</v>
      </c>
      <c r="H23" s="242">
        <v>4</v>
      </c>
      <c r="I23" s="242"/>
      <c r="J23" s="242"/>
      <c r="K23" s="242"/>
      <c r="L23" s="242"/>
      <c r="M23" s="242">
        <v>4</v>
      </c>
      <c r="N23" s="242">
        <v>4</v>
      </c>
      <c r="O23" s="242">
        <v>4</v>
      </c>
      <c r="P23" s="242">
        <f t="shared" ref="P23:P35" si="7">IFERROR(SUM(M23:O23)/3,0)</f>
        <v>4</v>
      </c>
      <c r="Q23" s="242">
        <v>4</v>
      </c>
      <c r="R23" s="242">
        <v>4</v>
      </c>
      <c r="S23" s="242">
        <v>4</v>
      </c>
      <c r="T23" s="242">
        <f t="shared" ref="T23:T35" si="8">IFERROR(SUM(Q23:S23)/3,0)</f>
        <v>4</v>
      </c>
      <c r="U23" s="242">
        <v>4</v>
      </c>
      <c r="V23" s="242">
        <v>4</v>
      </c>
      <c r="W23" s="242">
        <v>4</v>
      </c>
      <c r="X23" s="242">
        <f t="shared" ref="X23:X34" si="9">IFERROR(SUM(U23:W23)/3,0)</f>
        <v>4</v>
      </c>
      <c r="Y23" s="242">
        <v>4</v>
      </c>
      <c r="Z23" s="242">
        <v>4</v>
      </c>
      <c r="AA23" s="242">
        <v>4</v>
      </c>
      <c r="AB23" s="242">
        <f t="shared" ref="AB23:AB34" si="10">IFERROR(SUM(Y23:AA23)/3,0)</f>
        <v>4</v>
      </c>
      <c r="AC23" s="242">
        <v>4</v>
      </c>
      <c r="AD23" s="242">
        <v>4</v>
      </c>
      <c r="AE23" s="242">
        <v>4</v>
      </c>
      <c r="AF23" s="242">
        <f t="shared" ref="AF23:AF35" si="11">IFERROR(SUM(AC23:AE23)/3,0)</f>
        <v>4</v>
      </c>
    </row>
    <row r="24" spans="1:32" outlineLevel="1">
      <c r="A24" s="189" t="s">
        <v>2817</v>
      </c>
      <c r="B24" s="189" t="s">
        <v>3460</v>
      </c>
      <c r="C24" s="189" t="s">
        <v>3461</v>
      </c>
      <c r="D24" s="240" t="s">
        <v>3402</v>
      </c>
      <c r="E24" s="241">
        <f>IF(H24&gt;0,AVERAGE(L24,P24,T24,X24,AB24,AF24),0)</f>
        <v>3.8</v>
      </c>
      <c r="F24" s="242">
        <v>1242000</v>
      </c>
      <c r="G24" s="242">
        <f t="shared" ref="G24:G35" si="12">F24*4</f>
        <v>4968000</v>
      </c>
      <c r="H24" s="244">
        <v>4</v>
      </c>
      <c r="I24" s="242"/>
      <c r="J24" s="242"/>
      <c r="K24" s="242"/>
      <c r="L24" s="242"/>
      <c r="M24" s="242">
        <v>4</v>
      </c>
      <c r="N24" s="242">
        <v>4</v>
      </c>
      <c r="O24" s="242">
        <v>4</v>
      </c>
      <c r="P24" s="242">
        <f t="shared" si="7"/>
        <v>4</v>
      </c>
      <c r="Q24" s="242">
        <v>4</v>
      </c>
      <c r="R24" s="242">
        <v>4</v>
      </c>
      <c r="S24" s="242">
        <v>3</v>
      </c>
      <c r="T24" s="242">
        <f t="shared" si="8"/>
        <v>3.6666666666666665</v>
      </c>
      <c r="U24" s="242">
        <v>3</v>
      </c>
      <c r="V24" s="242">
        <v>4</v>
      </c>
      <c r="W24" s="242">
        <v>3</v>
      </c>
      <c r="X24" s="242">
        <f t="shared" si="9"/>
        <v>3.3333333333333335</v>
      </c>
      <c r="Y24" s="242">
        <v>4</v>
      </c>
      <c r="Z24" s="242">
        <v>4</v>
      </c>
      <c r="AA24" s="242">
        <v>4</v>
      </c>
      <c r="AB24" s="242">
        <f t="shared" si="10"/>
        <v>4</v>
      </c>
      <c r="AC24" s="242">
        <v>4</v>
      </c>
      <c r="AD24" s="242">
        <v>4</v>
      </c>
      <c r="AE24" s="242">
        <v>4</v>
      </c>
      <c r="AF24" s="242">
        <f t="shared" si="11"/>
        <v>4</v>
      </c>
    </row>
    <row r="25" spans="1:32" outlineLevel="1">
      <c r="A25" s="189" t="s">
        <v>3392</v>
      </c>
      <c r="B25" s="189" t="s">
        <v>3462</v>
      </c>
      <c r="C25" s="189" t="s">
        <v>3463</v>
      </c>
      <c r="D25" s="240" t="s">
        <v>3404</v>
      </c>
      <c r="E25" s="241">
        <f t="shared" ref="E25:E35" si="13">IF(H25&gt;0,AVERAGE(L25,P25,T25,X25,AB25,AF25),0)</f>
        <v>2.8</v>
      </c>
      <c r="F25" s="243">
        <f>180000*30980/1826</f>
        <v>3053888.2803943045</v>
      </c>
      <c r="G25" s="242">
        <f>F25*4</f>
        <v>12215553.121577218</v>
      </c>
      <c r="H25" s="242">
        <v>4</v>
      </c>
      <c r="I25" s="242"/>
      <c r="J25" s="242"/>
      <c r="K25" s="242"/>
      <c r="L25" s="242"/>
      <c r="M25" s="242">
        <v>3</v>
      </c>
      <c r="N25" s="242">
        <v>3</v>
      </c>
      <c r="O25" s="242">
        <v>2</v>
      </c>
      <c r="P25" s="242">
        <f t="shared" si="7"/>
        <v>2.6666666666666665</v>
      </c>
      <c r="Q25" s="242">
        <v>3</v>
      </c>
      <c r="R25" s="242">
        <v>3</v>
      </c>
      <c r="S25" s="242">
        <v>2</v>
      </c>
      <c r="T25" s="242">
        <f t="shared" si="8"/>
        <v>2.6666666666666665</v>
      </c>
      <c r="U25" s="242">
        <v>3</v>
      </c>
      <c r="V25" s="242">
        <v>3</v>
      </c>
      <c r="W25" s="242">
        <v>3</v>
      </c>
      <c r="X25" s="242">
        <f t="shared" si="9"/>
        <v>3</v>
      </c>
      <c r="Y25" s="242">
        <v>3</v>
      </c>
      <c r="Z25" s="242">
        <v>3</v>
      </c>
      <c r="AA25" s="242">
        <v>3</v>
      </c>
      <c r="AB25" s="242">
        <f t="shared" si="10"/>
        <v>3</v>
      </c>
      <c r="AC25" s="242">
        <v>3</v>
      </c>
      <c r="AD25" s="242">
        <v>3</v>
      </c>
      <c r="AE25" s="242">
        <v>2</v>
      </c>
      <c r="AF25" s="242">
        <f t="shared" si="11"/>
        <v>2.6666666666666665</v>
      </c>
    </row>
    <row r="26" spans="1:32" outlineLevel="1">
      <c r="A26" s="189" t="s">
        <v>3435</v>
      </c>
      <c r="B26" s="189" t="s">
        <v>3464</v>
      </c>
      <c r="C26" s="189" t="s">
        <v>3465</v>
      </c>
      <c r="D26" s="240" t="s">
        <v>3404</v>
      </c>
      <c r="E26" s="241">
        <f t="shared" si="13"/>
        <v>2.8666666666666667</v>
      </c>
      <c r="F26" s="243">
        <v>0</v>
      </c>
      <c r="G26" s="242">
        <f t="shared" si="12"/>
        <v>0</v>
      </c>
      <c r="H26" s="242">
        <v>4</v>
      </c>
      <c r="I26" s="242"/>
      <c r="J26" s="242"/>
      <c r="K26" s="242"/>
      <c r="L26" s="242"/>
      <c r="M26" s="242">
        <v>3</v>
      </c>
      <c r="N26" s="242">
        <v>3</v>
      </c>
      <c r="O26" s="242">
        <v>2</v>
      </c>
      <c r="P26" s="242">
        <f t="shared" si="7"/>
        <v>2.6666666666666665</v>
      </c>
      <c r="Q26" s="242">
        <v>4</v>
      </c>
      <c r="R26" s="242">
        <v>4</v>
      </c>
      <c r="S26" s="242">
        <v>2</v>
      </c>
      <c r="T26" s="242">
        <f t="shared" si="8"/>
        <v>3.3333333333333335</v>
      </c>
      <c r="U26" s="242">
        <v>3</v>
      </c>
      <c r="V26" s="242">
        <v>2</v>
      </c>
      <c r="W26" s="242">
        <v>2</v>
      </c>
      <c r="X26" s="242">
        <f>IFERROR(SUM(U26:W26)/3,0)</f>
        <v>2.3333333333333335</v>
      </c>
      <c r="Y26" s="242">
        <v>3</v>
      </c>
      <c r="Z26" s="242">
        <v>3</v>
      </c>
      <c r="AA26" s="242">
        <v>3</v>
      </c>
      <c r="AB26" s="242">
        <f t="shared" si="10"/>
        <v>3</v>
      </c>
      <c r="AC26" s="242">
        <v>3</v>
      </c>
      <c r="AD26" s="242">
        <v>3</v>
      </c>
      <c r="AE26" s="242">
        <v>3</v>
      </c>
      <c r="AF26" s="242">
        <f t="shared" si="11"/>
        <v>3</v>
      </c>
    </row>
    <row r="27" spans="1:32" outlineLevel="1">
      <c r="A27" s="189" t="s">
        <v>3466</v>
      </c>
      <c r="B27" s="189" t="s">
        <v>3467</v>
      </c>
      <c r="C27" s="189" t="s">
        <v>3468</v>
      </c>
      <c r="D27" s="240" t="s">
        <v>3404</v>
      </c>
      <c r="E27" s="241">
        <f t="shared" si="13"/>
        <v>2.8000000000000003</v>
      </c>
      <c r="F27" s="242">
        <v>0</v>
      </c>
      <c r="G27" s="242">
        <f t="shared" si="12"/>
        <v>0</v>
      </c>
      <c r="H27" s="242">
        <v>4</v>
      </c>
      <c r="I27" s="242"/>
      <c r="J27" s="242"/>
      <c r="K27" s="242"/>
      <c r="L27" s="242"/>
      <c r="M27" s="242">
        <v>2</v>
      </c>
      <c r="N27" s="242">
        <v>4</v>
      </c>
      <c r="O27" s="242">
        <v>4</v>
      </c>
      <c r="P27" s="242">
        <f t="shared" si="7"/>
        <v>3.3333333333333335</v>
      </c>
      <c r="Q27" s="242">
        <v>2</v>
      </c>
      <c r="R27" s="242">
        <v>2</v>
      </c>
      <c r="S27" s="242">
        <v>2</v>
      </c>
      <c r="T27" s="242">
        <f t="shared" si="8"/>
        <v>2</v>
      </c>
      <c r="U27" s="242">
        <v>2</v>
      </c>
      <c r="V27" s="242">
        <v>2</v>
      </c>
      <c r="W27" s="242">
        <v>2</v>
      </c>
      <c r="X27" s="242">
        <f t="shared" si="9"/>
        <v>2</v>
      </c>
      <c r="Y27" s="242">
        <v>2</v>
      </c>
      <c r="Z27" s="242">
        <v>4</v>
      </c>
      <c r="AA27" s="242">
        <v>4</v>
      </c>
      <c r="AB27" s="242">
        <f t="shared" si="10"/>
        <v>3.3333333333333335</v>
      </c>
      <c r="AC27" s="242">
        <v>3</v>
      </c>
      <c r="AD27" s="242">
        <v>3</v>
      </c>
      <c r="AE27" s="242">
        <v>4</v>
      </c>
      <c r="AF27" s="242">
        <f t="shared" si="11"/>
        <v>3.3333333333333335</v>
      </c>
    </row>
    <row r="28" spans="1:32" outlineLevel="1">
      <c r="A28" s="189" t="s">
        <v>3469</v>
      </c>
      <c r="B28" s="189" t="s">
        <v>3470</v>
      </c>
      <c r="C28" s="189" t="s">
        <v>3471</v>
      </c>
      <c r="D28" s="240" t="s">
        <v>3404</v>
      </c>
      <c r="E28" s="241">
        <f t="shared" si="13"/>
        <v>0</v>
      </c>
      <c r="F28" s="242">
        <v>0</v>
      </c>
      <c r="G28" s="242">
        <f t="shared" si="12"/>
        <v>0</v>
      </c>
      <c r="H28" s="242">
        <v>0</v>
      </c>
      <c r="I28" s="242"/>
      <c r="J28" s="242"/>
      <c r="K28" s="242"/>
      <c r="L28" s="242"/>
      <c r="M28" s="242">
        <v>4</v>
      </c>
      <c r="N28" s="242">
        <v>4</v>
      </c>
      <c r="O28" s="242">
        <v>3</v>
      </c>
      <c r="P28" s="242">
        <f t="shared" si="7"/>
        <v>3.6666666666666665</v>
      </c>
      <c r="Q28" s="242">
        <v>4</v>
      </c>
      <c r="R28" s="242">
        <v>4</v>
      </c>
      <c r="S28" s="242">
        <v>4</v>
      </c>
      <c r="T28" s="242">
        <f t="shared" si="8"/>
        <v>4</v>
      </c>
      <c r="U28" s="242">
        <v>3</v>
      </c>
      <c r="V28" s="242">
        <v>4</v>
      </c>
      <c r="W28" s="242">
        <v>3</v>
      </c>
      <c r="X28" s="242">
        <f t="shared" si="9"/>
        <v>3.3333333333333335</v>
      </c>
      <c r="Y28" s="242">
        <v>4</v>
      </c>
      <c r="Z28" s="242">
        <v>4</v>
      </c>
      <c r="AA28" s="242">
        <v>3</v>
      </c>
      <c r="AB28" s="242">
        <f t="shared" si="10"/>
        <v>3.6666666666666665</v>
      </c>
      <c r="AC28" s="242">
        <v>4</v>
      </c>
      <c r="AD28" s="242">
        <v>3</v>
      </c>
      <c r="AE28" s="242">
        <v>4</v>
      </c>
      <c r="AF28" s="242">
        <f t="shared" si="11"/>
        <v>3.6666666666666665</v>
      </c>
    </row>
    <row r="29" spans="1:32" outlineLevel="1">
      <c r="A29" s="188" t="s">
        <v>3418</v>
      </c>
      <c r="B29" s="188" t="s">
        <v>3472</v>
      </c>
      <c r="C29" s="188" t="s">
        <v>3473</v>
      </c>
      <c r="D29" s="240" t="s">
        <v>3405</v>
      </c>
      <c r="E29" s="241">
        <f t="shared" si="13"/>
        <v>0</v>
      </c>
      <c r="F29" s="243">
        <v>0</v>
      </c>
      <c r="G29" s="242">
        <f t="shared" si="12"/>
        <v>0</v>
      </c>
      <c r="H29" s="242">
        <v>0</v>
      </c>
      <c r="I29" s="242"/>
      <c r="J29" s="242"/>
      <c r="K29" s="242"/>
      <c r="L29" s="242"/>
      <c r="M29" s="242">
        <v>2</v>
      </c>
      <c r="N29" s="242">
        <v>2</v>
      </c>
      <c r="O29" s="242">
        <v>2</v>
      </c>
      <c r="P29" s="242">
        <f t="shared" si="7"/>
        <v>2</v>
      </c>
      <c r="Q29" s="242">
        <v>3</v>
      </c>
      <c r="R29" s="242">
        <v>1</v>
      </c>
      <c r="S29" s="242">
        <v>1</v>
      </c>
      <c r="T29" s="242">
        <f t="shared" si="8"/>
        <v>1.6666666666666667</v>
      </c>
      <c r="U29" s="242">
        <v>3</v>
      </c>
      <c r="V29" s="242">
        <v>2</v>
      </c>
      <c r="W29" s="242">
        <v>2</v>
      </c>
      <c r="X29" s="242">
        <f t="shared" si="9"/>
        <v>2.3333333333333335</v>
      </c>
      <c r="Y29" s="242">
        <v>3</v>
      </c>
      <c r="Z29" s="242">
        <v>2</v>
      </c>
      <c r="AA29" s="242">
        <v>2</v>
      </c>
      <c r="AB29" s="242">
        <f t="shared" si="10"/>
        <v>2.3333333333333335</v>
      </c>
      <c r="AC29" s="242">
        <v>3</v>
      </c>
      <c r="AD29" s="242">
        <v>2</v>
      </c>
      <c r="AE29" s="242">
        <v>2</v>
      </c>
      <c r="AF29" s="242">
        <f t="shared" si="11"/>
        <v>2.3333333333333335</v>
      </c>
    </row>
    <row r="30" spans="1:32" outlineLevel="1">
      <c r="A30" s="189" t="s">
        <v>3447</v>
      </c>
      <c r="B30" s="189" t="s">
        <v>3474</v>
      </c>
      <c r="C30" s="189" t="s">
        <v>3475</v>
      </c>
      <c r="D30" s="240" t="s">
        <v>3405</v>
      </c>
      <c r="E30" s="241">
        <f t="shared" si="13"/>
        <v>4</v>
      </c>
      <c r="F30" s="242">
        <v>725354</v>
      </c>
      <c r="G30" s="242">
        <f t="shared" si="12"/>
        <v>2901416</v>
      </c>
      <c r="H30" s="242">
        <v>4</v>
      </c>
      <c r="I30" s="242"/>
      <c r="J30" s="242"/>
      <c r="K30" s="242"/>
      <c r="L30" s="242"/>
      <c r="M30" s="242">
        <v>4</v>
      </c>
      <c r="N30" s="242">
        <v>4</v>
      </c>
      <c r="O30" s="242">
        <v>4</v>
      </c>
      <c r="P30" s="242">
        <f t="shared" si="7"/>
        <v>4</v>
      </c>
      <c r="Q30" s="242">
        <v>4</v>
      </c>
      <c r="R30" s="242">
        <v>4</v>
      </c>
      <c r="S30" s="242">
        <v>4</v>
      </c>
      <c r="T30" s="242">
        <f t="shared" si="8"/>
        <v>4</v>
      </c>
      <c r="U30" s="242">
        <v>4</v>
      </c>
      <c r="V30" s="242">
        <v>4</v>
      </c>
      <c r="W30" s="242">
        <v>4</v>
      </c>
      <c r="X30" s="242">
        <f t="shared" si="9"/>
        <v>4</v>
      </c>
      <c r="Y30" s="242">
        <v>4</v>
      </c>
      <c r="Z30" s="242">
        <v>4</v>
      </c>
      <c r="AA30" s="242">
        <v>4</v>
      </c>
      <c r="AB30" s="242">
        <f t="shared" si="10"/>
        <v>4</v>
      </c>
      <c r="AC30" s="242">
        <v>4</v>
      </c>
      <c r="AD30" s="242">
        <v>4</v>
      </c>
      <c r="AE30" s="242">
        <v>4</v>
      </c>
      <c r="AF30" s="242">
        <f t="shared" si="11"/>
        <v>4</v>
      </c>
    </row>
    <row r="31" spans="1:32" outlineLevel="1">
      <c r="A31" s="189" t="s">
        <v>3421</v>
      </c>
      <c r="B31" s="189" t="s">
        <v>3476</v>
      </c>
      <c r="C31" s="189" t="s">
        <v>3477</v>
      </c>
      <c r="D31" s="240" t="s">
        <v>3405</v>
      </c>
      <c r="E31" s="241">
        <f t="shared" si="13"/>
        <v>2.8</v>
      </c>
      <c r="F31" s="246">
        <v>6089000</v>
      </c>
      <c r="G31" s="242">
        <f t="shared" si="12"/>
        <v>24356000</v>
      </c>
      <c r="H31" s="247">
        <v>4</v>
      </c>
      <c r="I31" s="242"/>
      <c r="J31" s="242"/>
      <c r="K31" s="242"/>
      <c r="L31" s="242"/>
      <c r="M31" s="242">
        <v>3</v>
      </c>
      <c r="N31" s="242">
        <v>3</v>
      </c>
      <c r="O31" s="242">
        <v>3</v>
      </c>
      <c r="P31" s="242">
        <f t="shared" si="7"/>
        <v>3</v>
      </c>
      <c r="Q31" s="242">
        <v>4</v>
      </c>
      <c r="R31" s="242">
        <v>1</v>
      </c>
      <c r="S31" s="242">
        <v>1</v>
      </c>
      <c r="T31" s="242">
        <f t="shared" si="8"/>
        <v>2</v>
      </c>
      <c r="U31" s="242">
        <v>3</v>
      </c>
      <c r="V31" s="242">
        <v>3</v>
      </c>
      <c r="W31" s="242">
        <v>3</v>
      </c>
      <c r="X31" s="242">
        <f t="shared" si="9"/>
        <v>3</v>
      </c>
      <c r="Y31" s="242">
        <v>3</v>
      </c>
      <c r="Z31" s="242">
        <v>3</v>
      </c>
      <c r="AA31" s="242">
        <v>3</v>
      </c>
      <c r="AB31" s="242">
        <f t="shared" si="10"/>
        <v>3</v>
      </c>
      <c r="AC31" s="242">
        <v>4</v>
      </c>
      <c r="AD31" s="242">
        <v>2</v>
      </c>
      <c r="AE31" s="242">
        <v>3</v>
      </c>
      <c r="AF31" s="242">
        <f t="shared" si="11"/>
        <v>3</v>
      </c>
    </row>
    <row r="32" spans="1:32" outlineLevel="1">
      <c r="A32" s="189" t="s">
        <v>3478</v>
      </c>
      <c r="B32" s="189" t="s">
        <v>3479</v>
      </c>
      <c r="C32" s="189" t="s">
        <v>3480</v>
      </c>
      <c r="D32" s="240" t="s">
        <v>3403</v>
      </c>
      <c r="E32" s="241">
        <f t="shared" si="13"/>
        <v>2.1333333333333333</v>
      </c>
      <c r="F32" s="243">
        <f>(8*3-4*1.5)*30000</f>
        <v>540000</v>
      </c>
      <c r="G32" s="242">
        <f>F32*5</f>
        <v>2700000</v>
      </c>
      <c r="H32" s="242">
        <v>4</v>
      </c>
      <c r="I32" s="242"/>
      <c r="J32" s="242"/>
      <c r="K32" s="242"/>
      <c r="L32" s="242"/>
      <c r="M32" s="242">
        <v>2</v>
      </c>
      <c r="N32" s="242">
        <v>2</v>
      </c>
      <c r="O32" s="242">
        <v>2</v>
      </c>
      <c r="P32" s="242">
        <f t="shared" si="7"/>
        <v>2</v>
      </c>
      <c r="Q32" s="242">
        <v>2</v>
      </c>
      <c r="R32" s="242">
        <v>3</v>
      </c>
      <c r="S32" s="242">
        <v>3</v>
      </c>
      <c r="T32" s="242">
        <f t="shared" si="8"/>
        <v>2.6666666666666665</v>
      </c>
      <c r="U32" s="242">
        <v>2</v>
      </c>
      <c r="V32" s="242">
        <v>2</v>
      </c>
      <c r="W32" s="242">
        <v>2</v>
      </c>
      <c r="X32" s="242">
        <f t="shared" si="9"/>
        <v>2</v>
      </c>
      <c r="Y32" s="242">
        <v>2</v>
      </c>
      <c r="Z32" s="242">
        <v>2</v>
      </c>
      <c r="AA32" s="242">
        <v>2</v>
      </c>
      <c r="AB32" s="242">
        <f t="shared" si="10"/>
        <v>2</v>
      </c>
      <c r="AC32" s="242">
        <v>2</v>
      </c>
      <c r="AD32" s="242">
        <v>2</v>
      </c>
      <c r="AE32" s="242">
        <v>2</v>
      </c>
      <c r="AF32" s="242">
        <f t="shared" si="11"/>
        <v>2</v>
      </c>
    </row>
    <row r="33" spans="1:40" outlineLevel="1">
      <c r="A33" s="189" t="s">
        <v>3481</v>
      </c>
      <c r="B33" s="189" t="s">
        <v>3482</v>
      </c>
      <c r="C33" s="189" t="s">
        <v>3483</v>
      </c>
      <c r="D33" s="240" t="s">
        <v>3406</v>
      </c>
      <c r="E33" s="241">
        <f t="shared" si="13"/>
        <v>2.0666666666666669</v>
      </c>
      <c r="F33" s="243">
        <v>900000</v>
      </c>
      <c r="G33" s="242">
        <f t="shared" si="12"/>
        <v>3600000</v>
      </c>
      <c r="H33" s="242">
        <v>4</v>
      </c>
      <c r="I33" s="242"/>
      <c r="J33" s="242"/>
      <c r="K33" s="242"/>
      <c r="L33" s="242"/>
      <c r="M33" s="242">
        <v>1</v>
      </c>
      <c r="N33" s="242">
        <v>2</v>
      </c>
      <c r="O33" s="242">
        <v>2</v>
      </c>
      <c r="P33" s="242">
        <f t="shared" si="7"/>
        <v>1.6666666666666667</v>
      </c>
      <c r="Q33" s="242">
        <v>1</v>
      </c>
      <c r="R33" s="242">
        <v>4</v>
      </c>
      <c r="S33" s="242">
        <v>4</v>
      </c>
      <c r="T33" s="242">
        <f t="shared" si="8"/>
        <v>3</v>
      </c>
      <c r="U33" s="242">
        <v>1</v>
      </c>
      <c r="V33" s="242">
        <v>2</v>
      </c>
      <c r="W33" s="242">
        <v>2</v>
      </c>
      <c r="X33" s="242">
        <f t="shared" si="9"/>
        <v>1.6666666666666667</v>
      </c>
      <c r="Y33" s="242">
        <v>1</v>
      </c>
      <c r="Z33" s="242">
        <v>2</v>
      </c>
      <c r="AA33" s="242">
        <v>3</v>
      </c>
      <c r="AB33" s="242">
        <f t="shared" si="10"/>
        <v>2</v>
      </c>
      <c r="AC33" s="242">
        <v>1</v>
      </c>
      <c r="AD33" s="242">
        <v>3</v>
      </c>
      <c r="AE33" s="242">
        <v>2</v>
      </c>
      <c r="AF33" s="242">
        <f t="shared" si="11"/>
        <v>2</v>
      </c>
    </row>
    <row r="34" spans="1:40" outlineLevel="1">
      <c r="A34" s="188" t="s">
        <v>3484</v>
      </c>
      <c r="B34" s="188" t="s">
        <v>3485</v>
      </c>
      <c r="C34" s="188" t="s">
        <v>3486</v>
      </c>
      <c r="D34" s="240" t="s">
        <v>3406</v>
      </c>
      <c r="E34" s="241">
        <f t="shared" si="13"/>
        <v>0</v>
      </c>
      <c r="F34" s="242">
        <v>0</v>
      </c>
      <c r="G34" s="242">
        <f t="shared" si="12"/>
        <v>0</v>
      </c>
      <c r="H34" s="242">
        <v>0</v>
      </c>
      <c r="I34" s="242"/>
      <c r="J34" s="242"/>
      <c r="K34" s="242"/>
      <c r="L34" s="242"/>
      <c r="M34" s="242"/>
      <c r="N34" s="242"/>
      <c r="O34" s="242"/>
      <c r="P34" s="242">
        <f t="shared" si="7"/>
        <v>0</v>
      </c>
      <c r="Q34" s="242">
        <v>0</v>
      </c>
      <c r="R34" s="242">
        <v>0</v>
      </c>
      <c r="S34" s="242">
        <v>0</v>
      </c>
      <c r="T34" s="242">
        <f t="shared" si="8"/>
        <v>0</v>
      </c>
      <c r="U34" s="242"/>
      <c r="V34" s="242"/>
      <c r="W34" s="242"/>
      <c r="X34" s="242">
        <f t="shared" si="9"/>
        <v>0</v>
      </c>
      <c r="Y34" s="242"/>
      <c r="Z34" s="242"/>
      <c r="AA34" s="242"/>
      <c r="AB34" s="242">
        <f t="shared" si="10"/>
        <v>0</v>
      </c>
      <c r="AC34" s="242"/>
      <c r="AD34" s="242"/>
      <c r="AE34" s="242"/>
      <c r="AF34" s="242">
        <f t="shared" si="11"/>
        <v>0</v>
      </c>
    </row>
    <row r="35" spans="1:40" outlineLevel="1">
      <c r="A35" s="189" t="s">
        <v>3487</v>
      </c>
      <c r="B35" s="189" t="s">
        <v>3488</v>
      </c>
      <c r="C35" s="189" t="s">
        <v>3489</v>
      </c>
      <c r="D35" s="240" t="s">
        <v>3403</v>
      </c>
      <c r="E35" s="241">
        <f t="shared" si="13"/>
        <v>0</v>
      </c>
      <c r="F35" s="242">
        <v>0</v>
      </c>
      <c r="G35" s="242">
        <f t="shared" si="12"/>
        <v>0</v>
      </c>
      <c r="H35" s="242">
        <v>0</v>
      </c>
      <c r="I35" s="242"/>
      <c r="J35" s="242"/>
      <c r="K35" s="242"/>
      <c r="L35" s="242"/>
      <c r="M35" s="242">
        <v>1</v>
      </c>
      <c r="N35" s="242">
        <v>2</v>
      </c>
      <c r="O35" s="242">
        <v>2</v>
      </c>
      <c r="P35" s="242">
        <f t="shared" si="7"/>
        <v>1.6666666666666667</v>
      </c>
      <c r="Q35" s="242">
        <v>3</v>
      </c>
      <c r="R35" s="242">
        <v>1</v>
      </c>
      <c r="S35" s="242">
        <v>1</v>
      </c>
      <c r="T35" s="242">
        <f t="shared" si="8"/>
        <v>1.6666666666666667</v>
      </c>
      <c r="U35" s="242">
        <v>3</v>
      </c>
      <c r="V35" s="242">
        <v>2</v>
      </c>
      <c r="W35" s="242">
        <v>2</v>
      </c>
      <c r="X35" s="242">
        <f>IFERROR(SUM(U35:W35)/3,0)</f>
        <v>2.3333333333333335</v>
      </c>
      <c r="Y35" s="242">
        <v>3</v>
      </c>
      <c r="Z35" s="242">
        <v>2</v>
      </c>
      <c r="AA35" s="242">
        <v>2</v>
      </c>
      <c r="AB35" s="242">
        <f>IFERROR(SUM(Y35:AA35)/3,0)</f>
        <v>2.3333333333333335</v>
      </c>
      <c r="AC35" s="242">
        <v>3</v>
      </c>
      <c r="AD35" s="242">
        <v>2</v>
      </c>
      <c r="AE35" s="242">
        <v>2</v>
      </c>
      <c r="AF35" s="242">
        <f t="shared" si="11"/>
        <v>2.3333333333333335</v>
      </c>
    </row>
    <row r="36" spans="1:40">
      <c r="A36" s="231" t="s">
        <v>3455</v>
      </c>
      <c r="B36" s="231"/>
      <c r="C36" s="231"/>
      <c r="D36" s="231"/>
      <c r="E36" s="231"/>
      <c r="F36" s="248">
        <f>SUM(F22:F35)</f>
        <v>12615184.280394305</v>
      </c>
      <c r="G36" s="248">
        <f>SUM(G22:G35)</f>
        <v>51000737.121577218</v>
      </c>
    </row>
    <row r="38" spans="1:40">
      <c r="A38" s="228" t="s">
        <v>3490</v>
      </c>
    </row>
    <row r="39" spans="1:40" s="228" customFormat="1" outlineLevel="1">
      <c r="A39" s="231" t="s">
        <v>3399</v>
      </c>
      <c r="B39" s="231"/>
      <c r="C39" s="231"/>
      <c r="D39" s="231"/>
      <c r="E39" s="231"/>
      <c r="F39" s="232" t="s">
        <v>3400</v>
      </c>
      <c r="G39" s="233"/>
      <c r="H39" s="234"/>
      <c r="I39" s="235" t="s">
        <v>3401</v>
      </c>
      <c r="J39" s="235"/>
      <c r="K39" s="235"/>
      <c r="L39" s="235"/>
      <c r="M39" s="235" t="s">
        <v>3402</v>
      </c>
      <c r="N39" s="235"/>
      <c r="O39" s="235"/>
      <c r="P39" s="235"/>
      <c r="Q39" s="235" t="s">
        <v>3403</v>
      </c>
      <c r="R39" s="235"/>
      <c r="S39" s="235"/>
      <c r="T39" s="235"/>
      <c r="U39" s="235" t="s">
        <v>3404</v>
      </c>
      <c r="V39" s="235"/>
      <c r="W39" s="235"/>
      <c r="X39" s="235"/>
      <c r="Y39" s="235" t="s">
        <v>3405</v>
      </c>
      <c r="Z39" s="235"/>
      <c r="AA39" s="235"/>
      <c r="AB39" s="235"/>
      <c r="AC39" s="235" t="s">
        <v>3406</v>
      </c>
      <c r="AD39" s="235"/>
      <c r="AE39" s="235"/>
      <c r="AF39" s="235"/>
      <c r="AG39" s="235" t="s">
        <v>3491</v>
      </c>
      <c r="AH39" s="235"/>
      <c r="AI39" s="235"/>
      <c r="AJ39" s="235"/>
      <c r="AK39" s="235" t="s">
        <v>3492</v>
      </c>
      <c r="AL39" s="235"/>
      <c r="AM39" s="235"/>
      <c r="AN39" s="235"/>
    </row>
    <row r="40" spans="1:40" s="239" customFormat="1" ht="60.75" outlineLevel="1">
      <c r="A40" s="236" t="s">
        <v>0</v>
      </c>
      <c r="B40" s="236" t="s">
        <v>7</v>
      </c>
      <c r="C40" s="236" t="s">
        <v>2</v>
      </c>
      <c r="D40" s="236" t="s">
        <v>3407</v>
      </c>
      <c r="E40" s="237" t="s">
        <v>3408</v>
      </c>
      <c r="F40" s="238" t="s">
        <v>3409</v>
      </c>
      <c r="G40" s="238" t="s">
        <v>3493</v>
      </c>
      <c r="H40" s="238" t="s">
        <v>3411</v>
      </c>
      <c r="I40" s="238" t="s">
        <v>3412</v>
      </c>
      <c r="J40" s="238" t="s">
        <v>1334</v>
      </c>
      <c r="K40" s="238" t="s">
        <v>3413</v>
      </c>
      <c r="L40" s="238" t="s">
        <v>3414</v>
      </c>
      <c r="M40" s="238" t="s">
        <v>3412</v>
      </c>
      <c r="N40" s="238" t="s">
        <v>1334</v>
      </c>
      <c r="O40" s="238" t="s">
        <v>3413</v>
      </c>
      <c r="P40" s="238" t="s">
        <v>3414</v>
      </c>
      <c r="Q40" s="238" t="s">
        <v>3412</v>
      </c>
      <c r="R40" s="238" t="s">
        <v>1334</v>
      </c>
      <c r="S40" s="238" t="s">
        <v>3413</v>
      </c>
      <c r="T40" s="238" t="s">
        <v>3414</v>
      </c>
      <c r="U40" s="238" t="s">
        <v>3412</v>
      </c>
      <c r="V40" s="238" t="s">
        <v>1334</v>
      </c>
      <c r="W40" s="238" t="s">
        <v>3413</v>
      </c>
      <c r="X40" s="238" t="s">
        <v>3414</v>
      </c>
      <c r="Y40" s="238" t="s">
        <v>3412</v>
      </c>
      <c r="Z40" s="238" t="s">
        <v>1334</v>
      </c>
      <c r="AA40" s="238" t="s">
        <v>3413</v>
      </c>
      <c r="AB40" s="238" t="s">
        <v>3414</v>
      </c>
      <c r="AC40" s="238" t="s">
        <v>3412</v>
      </c>
      <c r="AD40" s="238" t="s">
        <v>1334</v>
      </c>
      <c r="AE40" s="238" t="s">
        <v>3413</v>
      </c>
      <c r="AF40" s="238" t="s">
        <v>3414</v>
      </c>
      <c r="AG40" s="238" t="s">
        <v>3412</v>
      </c>
      <c r="AH40" s="238" t="s">
        <v>1334</v>
      </c>
      <c r="AI40" s="238" t="s">
        <v>3413</v>
      </c>
      <c r="AJ40" s="238" t="s">
        <v>3414</v>
      </c>
      <c r="AK40" s="238" t="s">
        <v>3412</v>
      </c>
      <c r="AL40" s="238" t="s">
        <v>1334</v>
      </c>
      <c r="AM40" s="238" t="s">
        <v>3413</v>
      </c>
      <c r="AN40" s="238" t="s">
        <v>3414</v>
      </c>
    </row>
    <row r="41" spans="1:40" outlineLevel="1">
      <c r="A41" s="189" t="s">
        <v>3457</v>
      </c>
      <c r="B41" s="189" t="s">
        <v>3494</v>
      </c>
      <c r="C41" s="189" t="s">
        <v>3495</v>
      </c>
      <c r="D41" s="240" t="s">
        <v>3402</v>
      </c>
      <c r="E41" s="241">
        <f t="shared" ref="E41:E53" si="14">IF(H41&gt;0,AVERAGE(L41,P41,T41,X41,AB41,AF41),0)</f>
        <v>3.9333333333333336</v>
      </c>
      <c r="F41" s="243">
        <v>383166</v>
      </c>
      <c r="G41" s="243">
        <f t="shared" ref="G41:G52" si="15">F41*3</f>
        <v>1149498</v>
      </c>
      <c r="H41" s="242">
        <v>4</v>
      </c>
      <c r="I41" s="242"/>
      <c r="J41" s="242"/>
      <c r="K41" s="242"/>
      <c r="L41" s="242"/>
      <c r="M41" s="242">
        <v>4</v>
      </c>
      <c r="N41" s="242">
        <v>4</v>
      </c>
      <c r="O41" s="242">
        <v>4</v>
      </c>
      <c r="P41" s="242">
        <f t="shared" ref="P41:P53" si="16">IFERROR(SUM(M41:O41)/3,0)</f>
        <v>4</v>
      </c>
      <c r="Q41" s="242">
        <v>4</v>
      </c>
      <c r="R41" s="242">
        <v>4</v>
      </c>
      <c r="S41" s="242">
        <v>4</v>
      </c>
      <c r="T41" s="242">
        <f t="shared" ref="T41:T53" si="17">IFERROR(SUM(Q41:S41)/3,0)</f>
        <v>4</v>
      </c>
      <c r="U41" s="242">
        <v>4</v>
      </c>
      <c r="V41" s="242">
        <v>4</v>
      </c>
      <c r="W41" s="242">
        <v>4</v>
      </c>
      <c r="X41" s="242">
        <f t="shared" ref="X41:X43" si="18">IFERROR(SUM(U41:W41)/3,0)</f>
        <v>4</v>
      </c>
      <c r="Y41" s="242">
        <v>4</v>
      </c>
      <c r="Z41" s="242">
        <v>4</v>
      </c>
      <c r="AA41" s="242">
        <v>4</v>
      </c>
      <c r="AB41" s="242">
        <f t="shared" ref="AB41:AB53" si="19">IFERROR(SUM(Y41:AA41)/3,0)</f>
        <v>4</v>
      </c>
      <c r="AC41" s="242">
        <v>4</v>
      </c>
      <c r="AD41" s="242">
        <v>3</v>
      </c>
      <c r="AE41" s="242">
        <v>4</v>
      </c>
      <c r="AF41" s="242">
        <f t="shared" ref="AF41:AF53" si="20">IFERROR(SUM(AC41:AE41)/3,0)</f>
        <v>3.6666666666666665</v>
      </c>
      <c r="AG41" s="242"/>
      <c r="AH41" s="242"/>
      <c r="AI41" s="242"/>
      <c r="AJ41" s="242">
        <f t="shared" ref="AJ41:AJ53" si="21">IFERROR(SUM(AG41:AI41)/3,0)</f>
        <v>0</v>
      </c>
      <c r="AK41" s="242"/>
      <c r="AL41" s="242"/>
      <c r="AM41" s="242"/>
      <c r="AN41" s="242">
        <f t="shared" ref="AN41:AN53" si="22">IFERROR(SUM(AK41:AM41)/3,0)</f>
        <v>0</v>
      </c>
    </row>
    <row r="42" spans="1:40" outlineLevel="1">
      <c r="A42" s="189" t="s">
        <v>2817</v>
      </c>
      <c r="B42" s="189" t="s">
        <v>3496</v>
      </c>
      <c r="C42" s="189" t="s">
        <v>3497</v>
      </c>
      <c r="D42" s="240" t="s">
        <v>3402</v>
      </c>
      <c r="E42" s="241">
        <f t="shared" si="14"/>
        <v>3.8</v>
      </c>
      <c r="F42" s="243">
        <v>504000</v>
      </c>
      <c r="G42" s="243">
        <f t="shared" si="15"/>
        <v>1512000</v>
      </c>
      <c r="H42" s="244">
        <v>4</v>
      </c>
      <c r="I42" s="242"/>
      <c r="J42" s="242"/>
      <c r="K42" s="242"/>
      <c r="L42" s="242"/>
      <c r="M42" s="242">
        <v>4</v>
      </c>
      <c r="N42" s="242">
        <v>4</v>
      </c>
      <c r="O42" s="242">
        <v>4</v>
      </c>
      <c r="P42" s="242">
        <f>IFERROR(SUM(M42:O42)/3,0)</f>
        <v>4</v>
      </c>
      <c r="Q42" s="242">
        <v>4</v>
      </c>
      <c r="R42" s="242">
        <v>4</v>
      </c>
      <c r="S42" s="242">
        <v>2</v>
      </c>
      <c r="T42" s="242">
        <f t="shared" si="17"/>
        <v>3.3333333333333335</v>
      </c>
      <c r="U42" s="242">
        <v>4</v>
      </c>
      <c r="V42" s="242">
        <v>4</v>
      </c>
      <c r="W42" s="242">
        <v>4</v>
      </c>
      <c r="X42" s="242">
        <f t="shared" si="18"/>
        <v>4</v>
      </c>
      <c r="Y42" s="242">
        <v>4</v>
      </c>
      <c r="Z42" s="242">
        <v>4</v>
      </c>
      <c r="AA42" s="242">
        <v>4</v>
      </c>
      <c r="AB42" s="242">
        <f t="shared" si="19"/>
        <v>4</v>
      </c>
      <c r="AC42" s="242">
        <v>4</v>
      </c>
      <c r="AD42" s="242">
        <v>4</v>
      </c>
      <c r="AE42" s="242">
        <v>3</v>
      </c>
      <c r="AF42" s="242">
        <f t="shared" si="20"/>
        <v>3.6666666666666665</v>
      </c>
      <c r="AG42" s="242"/>
      <c r="AH42" s="242"/>
      <c r="AI42" s="242"/>
      <c r="AJ42" s="242">
        <f t="shared" si="21"/>
        <v>0</v>
      </c>
      <c r="AK42" s="242"/>
      <c r="AL42" s="242"/>
      <c r="AM42" s="242"/>
      <c r="AN42" s="242">
        <f t="shared" si="22"/>
        <v>0</v>
      </c>
    </row>
    <row r="43" spans="1:40" outlineLevel="1">
      <c r="A43" s="189" t="s">
        <v>3435</v>
      </c>
      <c r="B43" s="189" t="s">
        <v>3498</v>
      </c>
      <c r="C43" s="189" t="s">
        <v>3499</v>
      </c>
      <c r="D43" s="240" t="s">
        <v>3404</v>
      </c>
      <c r="E43" s="241">
        <f t="shared" si="14"/>
        <v>3.2</v>
      </c>
      <c r="F43" s="243">
        <v>6783000</v>
      </c>
      <c r="G43" s="243">
        <f t="shared" si="15"/>
        <v>20349000</v>
      </c>
      <c r="H43" s="242">
        <v>4</v>
      </c>
      <c r="I43" s="242"/>
      <c r="J43" s="242"/>
      <c r="K43" s="242"/>
      <c r="L43" s="242"/>
      <c r="M43" s="242">
        <v>4</v>
      </c>
      <c r="N43" s="242">
        <v>3</v>
      </c>
      <c r="O43" s="242">
        <v>3</v>
      </c>
      <c r="P43" s="242">
        <f t="shared" si="16"/>
        <v>3.3333333333333335</v>
      </c>
      <c r="Q43" s="242">
        <v>4</v>
      </c>
      <c r="R43" s="242">
        <v>3</v>
      </c>
      <c r="S43" s="242">
        <v>2</v>
      </c>
      <c r="T43" s="242">
        <f t="shared" si="17"/>
        <v>3</v>
      </c>
      <c r="U43" s="242">
        <v>3</v>
      </c>
      <c r="V43" s="242">
        <v>4</v>
      </c>
      <c r="W43" s="242">
        <v>3</v>
      </c>
      <c r="X43" s="242">
        <f t="shared" si="18"/>
        <v>3.3333333333333335</v>
      </c>
      <c r="Y43" s="242">
        <v>3</v>
      </c>
      <c r="Z43" s="242">
        <v>4</v>
      </c>
      <c r="AA43" s="242">
        <v>2</v>
      </c>
      <c r="AB43" s="242">
        <f t="shared" si="19"/>
        <v>3</v>
      </c>
      <c r="AC43" s="242">
        <v>4</v>
      </c>
      <c r="AD43" s="242">
        <v>3</v>
      </c>
      <c r="AE43" s="242">
        <v>3</v>
      </c>
      <c r="AF43" s="242">
        <f t="shared" si="20"/>
        <v>3.3333333333333335</v>
      </c>
      <c r="AG43" s="242"/>
      <c r="AH43" s="242"/>
      <c r="AI43" s="242"/>
      <c r="AJ43" s="242">
        <f t="shared" si="21"/>
        <v>0</v>
      </c>
      <c r="AK43" s="242"/>
      <c r="AL43" s="242"/>
      <c r="AM43" s="242"/>
      <c r="AN43" s="242">
        <f t="shared" si="22"/>
        <v>0</v>
      </c>
    </row>
    <row r="44" spans="1:40" outlineLevel="1">
      <c r="A44" s="189" t="s">
        <v>3438</v>
      </c>
      <c r="B44" s="189" t="s">
        <v>3500</v>
      </c>
      <c r="C44" s="189" t="s">
        <v>3501</v>
      </c>
      <c r="D44" s="240" t="s">
        <v>3404</v>
      </c>
      <c r="E44" s="241">
        <f t="shared" si="14"/>
        <v>3.0666666666666669</v>
      </c>
      <c r="F44" s="246">
        <f>132625*10</f>
        <v>1326250</v>
      </c>
      <c r="G44" s="243">
        <f t="shared" si="15"/>
        <v>3978750</v>
      </c>
      <c r="H44" s="242">
        <v>4</v>
      </c>
      <c r="I44" s="242"/>
      <c r="J44" s="242"/>
      <c r="K44" s="242"/>
      <c r="L44" s="242"/>
      <c r="M44" s="242">
        <v>3</v>
      </c>
      <c r="N44" s="242">
        <v>3</v>
      </c>
      <c r="O44" s="242">
        <v>3</v>
      </c>
      <c r="P44" s="242">
        <f>IFERROR(SUM(M45:O45)/3,0)</f>
        <v>2.6666666666666665</v>
      </c>
      <c r="Q44" s="242">
        <v>3</v>
      </c>
      <c r="R44" s="242">
        <v>2</v>
      </c>
      <c r="S44" s="242">
        <v>4</v>
      </c>
      <c r="T44" s="242">
        <f t="shared" si="17"/>
        <v>3</v>
      </c>
      <c r="U44" s="242">
        <v>3</v>
      </c>
      <c r="V44" s="242">
        <v>4</v>
      </c>
      <c r="W44" s="242">
        <v>3</v>
      </c>
      <c r="X44" s="242">
        <f>IFERROR(SUM(U44:W44)/3,0)</f>
        <v>3.3333333333333335</v>
      </c>
      <c r="Y44" s="242">
        <v>4</v>
      </c>
      <c r="Z44" s="242">
        <v>3</v>
      </c>
      <c r="AA44" s="242">
        <v>2</v>
      </c>
      <c r="AB44" s="242">
        <f t="shared" si="19"/>
        <v>3</v>
      </c>
      <c r="AC44" s="242">
        <v>4</v>
      </c>
      <c r="AD44" s="242">
        <v>2</v>
      </c>
      <c r="AE44" s="242">
        <v>4</v>
      </c>
      <c r="AF44" s="242">
        <f t="shared" si="20"/>
        <v>3.3333333333333335</v>
      </c>
      <c r="AG44" s="242"/>
      <c r="AH44" s="242"/>
      <c r="AI44" s="242"/>
      <c r="AJ44" s="242">
        <f t="shared" si="21"/>
        <v>0</v>
      </c>
      <c r="AK44" s="242"/>
      <c r="AL44" s="242"/>
      <c r="AM44" s="242"/>
      <c r="AN44" s="242">
        <f t="shared" si="22"/>
        <v>0</v>
      </c>
    </row>
    <row r="45" spans="1:40" outlineLevel="1">
      <c r="A45" s="189" t="s">
        <v>2584</v>
      </c>
      <c r="B45" s="189" t="s">
        <v>3502</v>
      </c>
      <c r="C45" s="189" t="s">
        <v>3503</v>
      </c>
      <c r="D45" s="240" t="s">
        <v>3404</v>
      </c>
      <c r="E45" s="241">
        <f t="shared" si="14"/>
        <v>2.6</v>
      </c>
      <c r="F45" s="243">
        <v>960000</v>
      </c>
      <c r="G45" s="243">
        <f t="shared" si="15"/>
        <v>2880000</v>
      </c>
      <c r="H45" s="242">
        <v>4</v>
      </c>
      <c r="I45" s="242"/>
      <c r="J45" s="242"/>
      <c r="K45" s="242"/>
      <c r="L45" s="242"/>
      <c r="M45" s="242">
        <v>3</v>
      </c>
      <c r="N45" s="242">
        <v>3</v>
      </c>
      <c r="O45" s="242">
        <v>2</v>
      </c>
      <c r="P45" s="242">
        <f>IFERROR(SUM(#REF!)/3,0)</f>
        <v>0</v>
      </c>
      <c r="Q45" s="242">
        <v>4</v>
      </c>
      <c r="R45" s="242">
        <v>3</v>
      </c>
      <c r="S45" s="242">
        <v>2</v>
      </c>
      <c r="T45" s="242">
        <f t="shared" si="17"/>
        <v>3</v>
      </c>
      <c r="U45" s="242">
        <v>3</v>
      </c>
      <c r="V45" s="242">
        <v>3</v>
      </c>
      <c r="W45" s="242">
        <v>3</v>
      </c>
      <c r="X45" s="242">
        <f t="shared" ref="X45:X53" si="23">IFERROR(SUM(U45:W45)/3,0)</f>
        <v>3</v>
      </c>
      <c r="Y45" s="242">
        <v>3</v>
      </c>
      <c r="Z45" s="242">
        <v>4</v>
      </c>
      <c r="AA45" s="242">
        <v>4</v>
      </c>
      <c r="AB45" s="242">
        <f t="shared" si="19"/>
        <v>3.6666666666666665</v>
      </c>
      <c r="AC45" s="242">
        <v>4</v>
      </c>
      <c r="AD45" s="242">
        <v>3</v>
      </c>
      <c r="AE45" s="242">
        <v>3</v>
      </c>
      <c r="AF45" s="242">
        <f t="shared" si="20"/>
        <v>3.3333333333333335</v>
      </c>
      <c r="AG45" s="242"/>
      <c r="AH45" s="242"/>
      <c r="AI45" s="242"/>
      <c r="AJ45" s="242">
        <f t="shared" si="21"/>
        <v>0</v>
      </c>
      <c r="AK45" s="242"/>
      <c r="AL45" s="242"/>
      <c r="AM45" s="242"/>
      <c r="AN45" s="242">
        <f t="shared" si="22"/>
        <v>0</v>
      </c>
    </row>
    <row r="46" spans="1:40" outlineLevel="1">
      <c r="A46" s="188" t="s">
        <v>3441</v>
      </c>
      <c r="B46" s="188" t="s">
        <v>3504</v>
      </c>
      <c r="C46" s="188" t="s">
        <v>3505</v>
      </c>
      <c r="D46" s="240" t="s">
        <v>3404</v>
      </c>
      <c r="E46" s="241">
        <f t="shared" si="14"/>
        <v>0</v>
      </c>
      <c r="F46" s="249">
        <v>0</v>
      </c>
      <c r="G46" s="243">
        <f t="shared" si="15"/>
        <v>0</v>
      </c>
      <c r="H46" s="242">
        <v>0</v>
      </c>
      <c r="I46" s="242"/>
      <c r="J46" s="242"/>
      <c r="K46" s="242"/>
      <c r="L46" s="242"/>
      <c r="M46" s="242">
        <v>0</v>
      </c>
      <c r="N46" s="242">
        <v>0</v>
      </c>
      <c r="O46" s="242">
        <v>0</v>
      </c>
      <c r="P46" s="242">
        <f t="shared" si="16"/>
        <v>0</v>
      </c>
      <c r="Q46" s="242">
        <v>0</v>
      </c>
      <c r="R46" s="242">
        <v>0</v>
      </c>
      <c r="S46" s="242">
        <v>0</v>
      </c>
      <c r="T46" s="242">
        <f t="shared" si="17"/>
        <v>0</v>
      </c>
      <c r="U46" s="242">
        <v>0</v>
      </c>
      <c r="V46" s="242">
        <v>0</v>
      </c>
      <c r="W46" s="242">
        <v>0</v>
      </c>
      <c r="X46" s="242">
        <f t="shared" si="23"/>
        <v>0</v>
      </c>
      <c r="Y46" s="242">
        <v>0</v>
      </c>
      <c r="Z46" s="242">
        <v>0</v>
      </c>
      <c r="AA46" s="242">
        <v>0</v>
      </c>
      <c r="AB46" s="242">
        <f t="shared" si="19"/>
        <v>0</v>
      </c>
      <c r="AC46" s="242">
        <v>0</v>
      </c>
      <c r="AD46" s="242">
        <v>0</v>
      </c>
      <c r="AE46" s="242">
        <v>0</v>
      </c>
      <c r="AF46" s="242">
        <f t="shared" si="20"/>
        <v>0</v>
      </c>
      <c r="AG46" s="242"/>
      <c r="AH46" s="242"/>
      <c r="AI46" s="242"/>
      <c r="AJ46" s="242">
        <f t="shared" si="21"/>
        <v>0</v>
      </c>
      <c r="AK46" s="242"/>
      <c r="AL46" s="242"/>
      <c r="AM46" s="242"/>
      <c r="AN46" s="242">
        <f t="shared" si="22"/>
        <v>0</v>
      </c>
    </row>
    <row r="47" spans="1:40" outlineLevel="1">
      <c r="A47" s="189" t="s">
        <v>3418</v>
      </c>
      <c r="B47" s="189" t="s">
        <v>3506</v>
      </c>
      <c r="C47" s="189" t="s">
        <v>3507</v>
      </c>
      <c r="D47" s="240" t="s">
        <v>3405</v>
      </c>
      <c r="E47" s="241">
        <f t="shared" si="14"/>
        <v>2.8666666666666667</v>
      </c>
      <c r="F47" s="243">
        <v>205348750</v>
      </c>
      <c r="G47" s="243">
        <f>F47*3</f>
        <v>616046250</v>
      </c>
      <c r="H47" s="242">
        <v>4</v>
      </c>
      <c r="I47" s="242"/>
      <c r="J47" s="242"/>
      <c r="K47" s="242"/>
      <c r="L47" s="242"/>
      <c r="M47" s="242">
        <v>3</v>
      </c>
      <c r="N47" s="242">
        <v>2</v>
      </c>
      <c r="O47" s="242">
        <v>2</v>
      </c>
      <c r="P47" s="242">
        <f t="shared" si="16"/>
        <v>2.3333333333333335</v>
      </c>
      <c r="Q47" s="242">
        <v>4</v>
      </c>
      <c r="R47" s="242">
        <v>2</v>
      </c>
      <c r="S47" s="242">
        <v>2</v>
      </c>
      <c r="T47" s="242">
        <f t="shared" si="17"/>
        <v>2.6666666666666665</v>
      </c>
      <c r="U47" s="242">
        <v>4</v>
      </c>
      <c r="V47" s="242">
        <v>3</v>
      </c>
      <c r="W47" s="242">
        <v>2</v>
      </c>
      <c r="X47" s="242">
        <f t="shared" si="23"/>
        <v>3</v>
      </c>
      <c r="Y47" s="242">
        <v>4</v>
      </c>
      <c r="Z47" s="242">
        <v>3</v>
      </c>
      <c r="AA47" s="242">
        <v>2</v>
      </c>
      <c r="AB47" s="242">
        <f t="shared" si="19"/>
        <v>3</v>
      </c>
      <c r="AC47" s="242">
        <v>4</v>
      </c>
      <c r="AD47" s="242">
        <v>3</v>
      </c>
      <c r="AE47" s="242">
        <v>3</v>
      </c>
      <c r="AF47" s="242">
        <f t="shared" si="20"/>
        <v>3.3333333333333335</v>
      </c>
      <c r="AG47" s="242"/>
      <c r="AH47" s="242"/>
      <c r="AI47" s="242"/>
      <c r="AJ47" s="242">
        <f t="shared" si="21"/>
        <v>0</v>
      </c>
      <c r="AK47" s="242"/>
      <c r="AL47" s="242"/>
      <c r="AM47" s="242"/>
      <c r="AN47" s="242">
        <f t="shared" si="22"/>
        <v>0</v>
      </c>
    </row>
    <row r="48" spans="1:40" outlineLevel="1">
      <c r="A48" s="188" t="s">
        <v>3447</v>
      </c>
      <c r="B48" s="188" t="s">
        <v>3508</v>
      </c>
      <c r="C48" s="188" t="s">
        <v>3509</v>
      </c>
      <c r="D48" s="240" t="s">
        <v>3405</v>
      </c>
      <c r="E48" s="241">
        <f t="shared" si="14"/>
        <v>0</v>
      </c>
      <c r="F48" s="249">
        <v>0</v>
      </c>
      <c r="G48" s="243">
        <f t="shared" si="15"/>
        <v>0</v>
      </c>
      <c r="H48" s="242">
        <v>0</v>
      </c>
      <c r="I48" s="242"/>
      <c r="J48" s="242"/>
      <c r="K48" s="242"/>
      <c r="L48" s="242"/>
      <c r="M48" s="242" t="s">
        <v>3510</v>
      </c>
      <c r="N48" s="242">
        <v>0</v>
      </c>
      <c r="O48" s="242">
        <v>0</v>
      </c>
      <c r="P48" s="242">
        <f t="shared" si="16"/>
        <v>0</v>
      </c>
      <c r="Q48" s="242">
        <v>0</v>
      </c>
      <c r="R48" s="242">
        <v>0</v>
      </c>
      <c r="S48" s="242">
        <v>0</v>
      </c>
      <c r="T48" s="242">
        <f t="shared" si="17"/>
        <v>0</v>
      </c>
      <c r="U48" s="242">
        <v>0</v>
      </c>
      <c r="V48" s="242">
        <v>0</v>
      </c>
      <c r="W48" s="242">
        <v>0</v>
      </c>
      <c r="X48" s="242">
        <f t="shared" si="23"/>
        <v>0</v>
      </c>
      <c r="Y48" s="242">
        <v>0</v>
      </c>
      <c r="Z48" s="242">
        <v>0</v>
      </c>
      <c r="AA48" s="242">
        <v>0</v>
      </c>
      <c r="AB48" s="242">
        <f t="shared" si="19"/>
        <v>0</v>
      </c>
      <c r="AC48" s="242">
        <v>0</v>
      </c>
      <c r="AD48" s="242">
        <v>0</v>
      </c>
      <c r="AE48" s="242">
        <v>0</v>
      </c>
      <c r="AF48" s="242">
        <f t="shared" si="20"/>
        <v>0</v>
      </c>
      <c r="AG48" s="242"/>
      <c r="AH48" s="242"/>
      <c r="AI48" s="242"/>
      <c r="AJ48" s="242">
        <f t="shared" si="21"/>
        <v>0</v>
      </c>
      <c r="AK48" s="242"/>
      <c r="AL48" s="242"/>
      <c r="AM48" s="242"/>
      <c r="AN48" s="242">
        <f t="shared" si="22"/>
        <v>0</v>
      </c>
    </row>
    <row r="49" spans="1:40" outlineLevel="1">
      <c r="A49" s="189" t="s">
        <v>3421</v>
      </c>
      <c r="B49" s="189" t="s">
        <v>3511</v>
      </c>
      <c r="C49" s="189" t="s">
        <v>3512</v>
      </c>
      <c r="D49" s="240" t="s">
        <v>3405</v>
      </c>
      <c r="E49" s="241">
        <f t="shared" si="14"/>
        <v>3.1333333333333337</v>
      </c>
      <c r="F49" s="243">
        <f>(1+8/60+33/3600)*30000</f>
        <v>34275</v>
      </c>
      <c r="G49" s="243">
        <f t="shared" si="15"/>
        <v>102825</v>
      </c>
      <c r="H49" s="247">
        <v>4</v>
      </c>
      <c r="I49" s="242"/>
      <c r="J49" s="242"/>
      <c r="K49" s="242"/>
      <c r="L49" s="242"/>
      <c r="M49" s="242">
        <v>3</v>
      </c>
      <c r="N49" s="242">
        <v>2</v>
      </c>
      <c r="O49" s="242">
        <v>3</v>
      </c>
      <c r="P49" s="242">
        <f t="shared" si="16"/>
        <v>2.6666666666666665</v>
      </c>
      <c r="Q49" s="242">
        <v>4</v>
      </c>
      <c r="R49" s="242">
        <v>4</v>
      </c>
      <c r="S49" s="242">
        <v>2</v>
      </c>
      <c r="T49" s="242">
        <f t="shared" si="17"/>
        <v>3.3333333333333335</v>
      </c>
      <c r="U49" s="242">
        <v>4</v>
      </c>
      <c r="V49" s="242">
        <v>3</v>
      </c>
      <c r="W49" s="242">
        <v>3</v>
      </c>
      <c r="X49" s="242">
        <f t="shared" si="23"/>
        <v>3.3333333333333335</v>
      </c>
      <c r="Y49" s="242">
        <v>4</v>
      </c>
      <c r="Z49" s="242">
        <v>3</v>
      </c>
      <c r="AA49" s="242">
        <v>3</v>
      </c>
      <c r="AB49" s="242">
        <f t="shared" si="19"/>
        <v>3.3333333333333335</v>
      </c>
      <c r="AC49" s="242">
        <v>4</v>
      </c>
      <c r="AD49" s="242">
        <v>3</v>
      </c>
      <c r="AE49" s="242">
        <v>2</v>
      </c>
      <c r="AF49" s="242">
        <f t="shared" si="20"/>
        <v>3</v>
      </c>
      <c r="AG49" s="242"/>
      <c r="AH49" s="242"/>
      <c r="AI49" s="242"/>
      <c r="AJ49" s="242">
        <f t="shared" si="21"/>
        <v>0</v>
      </c>
      <c r="AK49" s="242"/>
      <c r="AL49" s="242"/>
      <c r="AM49" s="242"/>
      <c r="AN49" s="242">
        <f t="shared" si="22"/>
        <v>0</v>
      </c>
    </row>
    <row r="50" spans="1:40" outlineLevel="1">
      <c r="A50" s="486" t="s">
        <v>3513</v>
      </c>
      <c r="B50" s="486" t="s">
        <v>3514</v>
      </c>
      <c r="C50" s="189" t="s">
        <v>3515</v>
      </c>
      <c r="D50" s="240" t="s">
        <v>3403</v>
      </c>
      <c r="E50" s="241">
        <f t="shared" si="14"/>
        <v>4</v>
      </c>
      <c r="F50" s="243">
        <v>2422193</v>
      </c>
      <c r="G50" s="243">
        <f t="shared" si="15"/>
        <v>7266579</v>
      </c>
      <c r="H50" s="242">
        <v>4</v>
      </c>
      <c r="I50" s="242"/>
      <c r="J50" s="242"/>
      <c r="K50" s="242"/>
      <c r="L50" s="242"/>
      <c r="M50" s="242">
        <v>4</v>
      </c>
      <c r="N50" s="242">
        <v>4</v>
      </c>
      <c r="O50" s="242">
        <v>4</v>
      </c>
      <c r="P50" s="242">
        <f t="shared" si="16"/>
        <v>4</v>
      </c>
      <c r="Q50" s="242">
        <v>4</v>
      </c>
      <c r="R50" s="242">
        <v>4</v>
      </c>
      <c r="S50" s="242">
        <v>4</v>
      </c>
      <c r="T50" s="242">
        <f t="shared" si="17"/>
        <v>4</v>
      </c>
      <c r="U50" s="242">
        <v>4</v>
      </c>
      <c r="V50" s="242">
        <v>4</v>
      </c>
      <c r="W50" s="242">
        <v>4</v>
      </c>
      <c r="X50" s="242">
        <f t="shared" si="23"/>
        <v>4</v>
      </c>
      <c r="Y50" s="242">
        <v>4</v>
      </c>
      <c r="Z50" s="242">
        <v>4</v>
      </c>
      <c r="AA50" s="242">
        <v>4</v>
      </c>
      <c r="AB50" s="242">
        <f t="shared" si="19"/>
        <v>4</v>
      </c>
      <c r="AC50" s="242">
        <v>4</v>
      </c>
      <c r="AD50" s="242">
        <v>4</v>
      </c>
      <c r="AE50" s="242">
        <v>4</v>
      </c>
      <c r="AF50" s="242">
        <f t="shared" si="20"/>
        <v>4</v>
      </c>
      <c r="AG50" s="242"/>
      <c r="AH50" s="242"/>
      <c r="AI50" s="242"/>
      <c r="AJ50" s="242">
        <f t="shared" si="21"/>
        <v>0</v>
      </c>
      <c r="AK50" s="242"/>
      <c r="AL50" s="242"/>
      <c r="AM50" s="242"/>
      <c r="AN50" s="242">
        <f t="shared" si="22"/>
        <v>0</v>
      </c>
    </row>
    <row r="51" spans="1:40" outlineLevel="1">
      <c r="A51" s="487"/>
      <c r="B51" s="487"/>
      <c r="C51" s="189" t="s">
        <v>3516</v>
      </c>
      <c r="D51" s="240"/>
      <c r="E51" s="241"/>
      <c r="F51" s="243">
        <v>16654643</v>
      </c>
      <c r="G51" s="243">
        <f>F51*3</f>
        <v>49963929</v>
      </c>
      <c r="H51" s="242"/>
      <c r="I51" s="242"/>
      <c r="J51" s="242"/>
      <c r="K51" s="242"/>
      <c r="L51" s="242"/>
      <c r="M51" s="242"/>
      <c r="N51" s="242"/>
      <c r="O51" s="242"/>
      <c r="P51" s="242"/>
      <c r="Q51" s="242"/>
      <c r="R51" s="242"/>
      <c r="S51" s="242"/>
      <c r="T51" s="242"/>
      <c r="U51" s="242"/>
      <c r="V51" s="242"/>
      <c r="W51" s="242"/>
      <c r="X51" s="242"/>
      <c r="Y51" s="242"/>
      <c r="Z51" s="242"/>
      <c r="AA51" s="242"/>
      <c r="AB51" s="242"/>
      <c r="AC51" s="242"/>
      <c r="AD51" s="242"/>
      <c r="AE51" s="242"/>
      <c r="AF51" s="242"/>
      <c r="AG51" s="242"/>
      <c r="AH51" s="242"/>
      <c r="AI51" s="242"/>
      <c r="AJ51" s="242"/>
      <c r="AK51" s="242"/>
      <c r="AL51" s="242"/>
      <c r="AM51" s="242"/>
      <c r="AN51" s="242"/>
    </row>
    <row r="52" spans="1:40" outlineLevel="1">
      <c r="A52" s="189" t="s">
        <v>3517</v>
      </c>
      <c r="B52" s="189" t="s">
        <v>3518</v>
      </c>
      <c r="C52" s="189" t="s">
        <v>3519</v>
      </c>
      <c r="D52" s="240" t="s">
        <v>3406</v>
      </c>
      <c r="E52" s="241">
        <f t="shared" si="14"/>
        <v>3.8666666666666663</v>
      </c>
      <c r="F52" s="243">
        <v>5580000</v>
      </c>
      <c r="G52" s="243">
        <f t="shared" si="15"/>
        <v>16740000</v>
      </c>
      <c r="H52" s="242">
        <v>4</v>
      </c>
      <c r="I52" s="242"/>
      <c r="J52" s="242"/>
      <c r="K52" s="242"/>
      <c r="L52" s="242"/>
      <c r="M52" s="242">
        <v>4</v>
      </c>
      <c r="N52" s="242">
        <v>4</v>
      </c>
      <c r="O52" s="242">
        <v>4</v>
      </c>
      <c r="P52" s="242">
        <f t="shared" si="16"/>
        <v>4</v>
      </c>
      <c r="Q52" s="242">
        <v>4</v>
      </c>
      <c r="R52" s="242">
        <v>4</v>
      </c>
      <c r="S52" s="242">
        <v>4</v>
      </c>
      <c r="T52" s="242">
        <f t="shared" si="17"/>
        <v>4</v>
      </c>
      <c r="U52" s="242">
        <v>4</v>
      </c>
      <c r="V52" s="242">
        <v>4</v>
      </c>
      <c r="W52" s="242">
        <v>4</v>
      </c>
      <c r="X52" s="242">
        <f t="shared" si="23"/>
        <v>4</v>
      </c>
      <c r="Y52" s="242">
        <v>4</v>
      </c>
      <c r="Z52" s="242">
        <v>4</v>
      </c>
      <c r="AA52" s="242">
        <v>3</v>
      </c>
      <c r="AB52" s="242">
        <f t="shared" si="19"/>
        <v>3.6666666666666665</v>
      </c>
      <c r="AC52" s="242">
        <v>4</v>
      </c>
      <c r="AD52" s="242">
        <v>4</v>
      </c>
      <c r="AE52" s="242">
        <v>3</v>
      </c>
      <c r="AF52" s="242">
        <f t="shared" si="20"/>
        <v>3.6666666666666665</v>
      </c>
      <c r="AG52" s="242"/>
      <c r="AH52" s="242"/>
      <c r="AI52" s="242"/>
      <c r="AJ52" s="242">
        <f t="shared" si="21"/>
        <v>0</v>
      </c>
      <c r="AK52" s="242"/>
      <c r="AL52" s="242"/>
      <c r="AM52" s="242"/>
      <c r="AN52" s="242">
        <f t="shared" si="22"/>
        <v>0</v>
      </c>
    </row>
    <row r="53" spans="1:40" outlineLevel="1">
      <c r="A53" s="189" t="s">
        <v>3520</v>
      </c>
      <c r="B53" s="189" t="s">
        <v>3521</v>
      </c>
      <c r="C53" s="189" t="s">
        <v>3522</v>
      </c>
      <c r="D53" s="240" t="s">
        <v>3406</v>
      </c>
      <c r="E53" s="241">
        <f t="shared" si="14"/>
        <v>3.2666666666666671</v>
      </c>
      <c r="F53" s="243">
        <v>422816</v>
      </c>
      <c r="G53" s="243">
        <f>F53*3</f>
        <v>1268448</v>
      </c>
      <c r="H53" s="242">
        <v>4</v>
      </c>
      <c r="I53" s="242"/>
      <c r="J53" s="242"/>
      <c r="K53" s="242"/>
      <c r="L53" s="242"/>
      <c r="M53" s="242">
        <v>3</v>
      </c>
      <c r="N53" s="242">
        <v>4</v>
      </c>
      <c r="O53" s="242">
        <v>3</v>
      </c>
      <c r="P53" s="242">
        <f t="shared" si="16"/>
        <v>3.3333333333333335</v>
      </c>
      <c r="Q53" s="242">
        <v>4</v>
      </c>
      <c r="R53" s="242">
        <v>4</v>
      </c>
      <c r="S53" s="242">
        <v>2</v>
      </c>
      <c r="T53" s="242">
        <f t="shared" si="17"/>
        <v>3.3333333333333335</v>
      </c>
      <c r="U53" s="242">
        <v>3</v>
      </c>
      <c r="V53" s="242">
        <v>3</v>
      </c>
      <c r="W53" s="242">
        <v>3</v>
      </c>
      <c r="X53" s="242">
        <f t="shared" si="23"/>
        <v>3</v>
      </c>
      <c r="Y53" s="242">
        <v>4</v>
      </c>
      <c r="Z53" s="242">
        <v>3</v>
      </c>
      <c r="AA53" s="242">
        <v>3</v>
      </c>
      <c r="AB53" s="242">
        <f t="shared" si="19"/>
        <v>3.3333333333333335</v>
      </c>
      <c r="AC53" s="242">
        <v>4</v>
      </c>
      <c r="AD53" s="242">
        <v>3</v>
      </c>
      <c r="AE53" s="242">
        <v>3</v>
      </c>
      <c r="AF53" s="242">
        <f t="shared" si="20"/>
        <v>3.3333333333333335</v>
      </c>
      <c r="AG53" s="242"/>
      <c r="AH53" s="242"/>
      <c r="AI53" s="242"/>
      <c r="AJ53" s="242">
        <f t="shared" si="21"/>
        <v>0</v>
      </c>
      <c r="AK53" s="242"/>
      <c r="AL53" s="242"/>
      <c r="AM53" s="242"/>
      <c r="AN53" s="242">
        <f t="shared" si="22"/>
        <v>0</v>
      </c>
    </row>
    <row r="54" spans="1:40" outlineLevel="1">
      <c r="A54" s="231" t="s">
        <v>3455</v>
      </c>
      <c r="B54" s="231"/>
      <c r="C54" s="231"/>
      <c r="D54" s="231"/>
      <c r="E54" s="231"/>
      <c r="F54" s="248">
        <f>SUM(F41:F53)</f>
        <v>240419093</v>
      </c>
      <c r="G54" s="248">
        <f>SUM(G41:G53)</f>
        <v>721257279</v>
      </c>
    </row>
    <row r="56" spans="1:40">
      <c r="F56" s="246">
        <v>107338250</v>
      </c>
    </row>
    <row r="58" spans="1:40">
      <c r="A58" s="228" t="s">
        <v>3523</v>
      </c>
    </row>
    <row r="59" spans="1:40" s="228" customFormat="1" outlineLevel="1">
      <c r="A59" s="231" t="s">
        <v>3399</v>
      </c>
      <c r="B59" s="231"/>
      <c r="C59" s="231"/>
      <c r="D59" s="231"/>
      <c r="E59" s="231"/>
      <c r="F59" s="232" t="s">
        <v>3400</v>
      </c>
      <c r="G59" s="233"/>
      <c r="H59" s="234"/>
      <c r="I59" s="235" t="s">
        <v>3401</v>
      </c>
      <c r="J59" s="235"/>
      <c r="K59" s="235"/>
      <c r="L59" s="235"/>
      <c r="M59" s="235" t="s">
        <v>3402</v>
      </c>
      <c r="N59" s="235"/>
      <c r="O59" s="235"/>
      <c r="P59" s="235"/>
      <c r="Q59" s="235" t="s">
        <v>3403</v>
      </c>
      <c r="R59" s="235"/>
      <c r="S59" s="235"/>
      <c r="T59" s="235"/>
      <c r="U59" s="235" t="s">
        <v>3404</v>
      </c>
      <c r="V59" s="235"/>
      <c r="W59" s="235"/>
      <c r="X59" s="235"/>
      <c r="Y59" s="235" t="s">
        <v>3405</v>
      </c>
      <c r="Z59" s="235"/>
      <c r="AA59" s="235"/>
      <c r="AB59" s="235"/>
      <c r="AC59" s="235" t="s">
        <v>3406</v>
      </c>
      <c r="AD59" s="235"/>
      <c r="AE59" s="235"/>
      <c r="AF59" s="235"/>
      <c r="AG59" s="235" t="s">
        <v>3491</v>
      </c>
      <c r="AH59" s="235"/>
      <c r="AI59" s="235"/>
      <c r="AJ59" s="235"/>
      <c r="AK59" s="235" t="s">
        <v>3492</v>
      </c>
      <c r="AL59" s="235"/>
      <c r="AM59" s="235"/>
      <c r="AN59" s="235"/>
    </row>
    <row r="60" spans="1:40" s="239" customFormat="1" ht="60.75" outlineLevel="1">
      <c r="A60" s="236" t="s">
        <v>0</v>
      </c>
      <c r="B60" s="236" t="s">
        <v>7</v>
      </c>
      <c r="C60" s="236" t="s">
        <v>2</v>
      </c>
      <c r="D60" s="236" t="s">
        <v>3407</v>
      </c>
      <c r="E60" s="237" t="s">
        <v>3408</v>
      </c>
      <c r="F60" s="238" t="s">
        <v>3409</v>
      </c>
      <c r="G60" s="238" t="s">
        <v>3493</v>
      </c>
      <c r="H60" s="238" t="s">
        <v>3411</v>
      </c>
      <c r="I60" s="238" t="s">
        <v>3412</v>
      </c>
      <c r="J60" s="238" t="s">
        <v>1334</v>
      </c>
      <c r="K60" s="238" t="s">
        <v>3413</v>
      </c>
      <c r="L60" s="238" t="s">
        <v>3414</v>
      </c>
      <c r="M60" s="238" t="s">
        <v>3412</v>
      </c>
      <c r="N60" s="238" t="s">
        <v>1334</v>
      </c>
      <c r="O60" s="238" t="s">
        <v>3413</v>
      </c>
      <c r="P60" s="238" t="s">
        <v>3414</v>
      </c>
      <c r="Q60" s="238" t="s">
        <v>3412</v>
      </c>
      <c r="R60" s="238" t="s">
        <v>1334</v>
      </c>
      <c r="S60" s="238" t="s">
        <v>3413</v>
      </c>
      <c r="T60" s="238" t="s">
        <v>3414</v>
      </c>
      <c r="U60" s="238" t="s">
        <v>3412</v>
      </c>
      <c r="V60" s="238" t="s">
        <v>1334</v>
      </c>
      <c r="W60" s="238" t="s">
        <v>3413</v>
      </c>
      <c r="X60" s="238" t="s">
        <v>3414</v>
      </c>
      <c r="Y60" s="238" t="s">
        <v>3412</v>
      </c>
      <c r="Z60" s="238" t="s">
        <v>1334</v>
      </c>
      <c r="AA60" s="238" t="s">
        <v>3413</v>
      </c>
      <c r="AB60" s="238" t="s">
        <v>3414</v>
      </c>
      <c r="AC60" s="238" t="s">
        <v>3412</v>
      </c>
      <c r="AD60" s="238" t="s">
        <v>1334</v>
      </c>
      <c r="AE60" s="238" t="s">
        <v>3413</v>
      </c>
      <c r="AF60" s="238" t="s">
        <v>3414</v>
      </c>
      <c r="AG60" s="238" t="s">
        <v>3412</v>
      </c>
      <c r="AH60" s="238" t="s">
        <v>1334</v>
      </c>
      <c r="AI60" s="238" t="s">
        <v>3413</v>
      </c>
      <c r="AJ60" s="238" t="s">
        <v>3414</v>
      </c>
      <c r="AK60" s="238" t="s">
        <v>3412</v>
      </c>
      <c r="AL60" s="238" t="s">
        <v>1334</v>
      </c>
      <c r="AM60" s="238" t="s">
        <v>3413</v>
      </c>
      <c r="AN60" s="238" t="s">
        <v>3414</v>
      </c>
    </row>
    <row r="61" spans="1:40" outlineLevel="1">
      <c r="A61" s="188" t="s">
        <v>3457</v>
      </c>
      <c r="B61" s="188" t="s">
        <v>3524</v>
      </c>
      <c r="C61" s="188" t="s">
        <v>3525</v>
      </c>
      <c r="D61" s="240" t="s">
        <v>3402</v>
      </c>
      <c r="E61" s="241">
        <f t="shared" ref="E61:E73" si="24">IF(H61&gt;0,AVERAGE(L61,P61,T61,X61,AB61,AF61,AJ61,AN61),0)</f>
        <v>0</v>
      </c>
      <c r="F61" s="243">
        <v>0</v>
      </c>
      <c r="G61" s="243">
        <f>F61*2</f>
        <v>0</v>
      </c>
      <c r="H61" s="242">
        <v>0</v>
      </c>
      <c r="I61" s="242"/>
      <c r="J61" s="242"/>
      <c r="K61" s="242"/>
      <c r="L61" s="242"/>
      <c r="M61" s="242">
        <v>4</v>
      </c>
      <c r="N61" s="242">
        <v>4</v>
      </c>
      <c r="O61" s="242">
        <v>4</v>
      </c>
      <c r="P61" s="242">
        <f t="shared" ref="P61" si="25">IFERROR(SUM(M61:O61)/3,0)</f>
        <v>4</v>
      </c>
      <c r="Q61" s="242">
        <v>4</v>
      </c>
      <c r="R61" s="242">
        <v>4</v>
      </c>
      <c r="S61" s="242">
        <v>4</v>
      </c>
      <c r="T61" s="242">
        <f t="shared" ref="T61:T73" si="26">IFERROR(SUM(Q61:S61)/3,0)</f>
        <v>4</v>
      </c>
      <c r="U61" s="242">
        <v>4</v>
      </c>
      <c r="V61" s="242">
        <v>4</v>
      </c>
      <c r="W61" s="242">
        <v>4</v>
      </c>
      <c r="X61" s="242">
        <f t="shared" ref="X61:X63" si="27">IFERROR(SUM(U61:W61)/3,0)</f>
        <v>4</v>
      </c>
      <c r="Y61" s="242">
        <v>4</v>
      </c>
      <c r="Z61" s="242">
        <v>4</v>
      </c>
      <c r="AA61" s="242">
        <v>4</v>
      </c>
      <c r="AB61" s="242">
        <f t="shared" ref="AB61:AB73" si="28">IFERROR(SUM(Y61:AA61)/3,0)</f>
        <v>4</v>
      </c>
      <c r="AC61" s="242">
        <v>4</v>
      </c>
      <c r="AD61" s="242">
        <v>4</v>
      </c>
      <c r="AE61" s="242">
        <v>4</v>
      </c>
      <c r="AF61" s="242">
        <f t="shared" ref="AF61:AF73" si="29">IFERROR(SUM(AC61:AE61)/3,0)</f>
        <v>4</v>
      </c>
      <c r="AG61" s="242">
        <v>4</v>
      </c>
      <c r="AH61" s="242">
        <v>4</v>
      </c>
      <c r="AI61" s="242">
        <v>4</v>
      </c>
      <c r="AJ61" s="242">
        <f t="shared" ref="AJ61:AJ73" si="30">IFERROR(SUM(AG61:AI61)/3,0)</f>
        <v>4</v>
      </c>
      <c r="AK61" s="242">
        <v>4</v>
      </c>
      <c r="AL61" s="242">
        <v>4</v>
      </c>
      <c r="AM61" s="242">
        <v>4</v>
      </c>
      <c r="AN61" s="242">
        <f t="shared" ref="AN61:AN73" si="31">IFERROR(SUM(AK61:AM61)/3,0)</f>
        <v>4</v>
      </c>
    </row>
    <row r="62" spans="1:40" outlineLevel="1">
      <c r="A62" s="189" t="s">
        <v>2817</v>
      </c>
      <c r="B62" s="189" t="s">
        <v>3526</v>
      </c>
      <c r="C62" s="189" t="s">
        <v>3527</v>
      </c>
      <c r="D62" s="240" t="s">
        <v>3402</v>
      </c>
      <c r="E62" s="241">
        <f t="shared" si="24"/>
        <v>3.8095238095238093</v>
      </c>
      <c r="F62" s="243">
        <v>306250</v>
      </c>
      <c r="G62" s="243">
        <f t="shared" ref="G62:G73" si="32">F62*2</f>
        <v>612500</v>
      </c>
      <c r="H62" s="244">
        <v>4</v>
      </c>
      <c r="I62" s="242"/>
      <c r="J62" s="242"/>
      <c r="K62" s="242"/>
      <c r="L62" s="242"/>
      <c r="M62" s="242">
        <v>4</v>
      </c>
      <c r="N62" s="242">
        <v>4</v>
      </c>
      <c r="O62" s="242">
        <v>2</v>
      </c>
      <c r="P62" s="242">
        <f>IFERROR(SUM(M62:O62)/3,0)</f>
        <v>3.3333333333333335</v>
      </c>
      <c r="Q62" s="242">
        <v>4</v>
      </c>
      <c r="R62" s="242">
        <v>4</v>
      </c>
      <c r="S62" s="242">
        <v>3</v>
      </c>
      <c r="T62" s="242">
        <f t="shared" si="26"/>
        <v>3.6666666666666665</v>
      </c>
      <c r="U62" s="242">
        <v>4</v>
      </c>
      <c r="V62" s="242">
        <v>4</v>
      </c>
      <c r="W62" s="242">
        <v>3</v>
      </c>
      <c r="X62" s="242">
        <f t="shared" si="27"/>
        <v>3.6666666666666665</v>
      </c>
      <c r="Y62" s="242">
        <v>4</v>
      </c>
      <c r="Z62" s="242">
        <v>4</v>
      </c>
      <c r="AA62" s="242">
        <v>4</v>
      </c>
      <c r="AB62" s="242">
        <f t="shared" si="28"/>
        <v>4</v>
      </c>
      <c r="AC62" s="242">
        <v>4</v>
      </c>
      <c r="AD62" s="242">
        <v>4</v>
      </c>
      <c r="AE62" s="242">
        <v>4</v>
      </c>
      <c r="AF62" s="242">
        <f t="shared" si="29"/>
        <v>4</v>
      </c>
      <c r="AG62" s="242">
        <v>4</v>
      </c>
      <c r="AH62" s="242">
        <v>4</v>
      </c>
      <c r="AI62" s="242">
        <v>4</v>
      </c>
      <c r="AJ62" s="242">
        <f t="shared" si="30"/>
        <v>4</v>
      </c>
      <c r="AK62" s="242">
        <v>4</v>
      </c>
      <c r="AL62" s="242">
        <v>4</v>
      </c>
      <c r="AM62" s="242">
        <v>4</v>
      </c>
      <c r="AN62" s="242">
        <f t="shared" si="31"/>
        <v>4</v>
      </c>
    </row>
    <row r="63" spans="1:40" outlineLevel="1">
      <c r="A63" s="189" t="s">
        <v>3528</v>
      </c>
      <c r="B63" s="189" t="s">
        <v>3529</v>
      </c>
      <c r="C63" s="189" t="s">
        <v>3530</v>
      </c>
      <c r="D63" s="240" t="s">
        <v>3403</v>
      </c>
      <c r="E63" s="241">
        <f t="shared" si="24"/>
        <v>2.3809523809523809</v>
      </c>
      <c r="F63" s="243">
        <f>6058800/12</f>
        <v>504900</v>
      </c>
      <c r="G63" s="243">
        <f t="shared" si="32"/>
        <v>1009800</v>
      </c>
      <c r="H63" s="242">
        <v>4</v>
      </c>
      <c r="I63" s="242"/>
      <c r="J63" s="242"/>
      <c r="K63" s="242"/>
      <c r="L63" s="242"/>
      <c r="M63" s="242">
        <v>3</v>
      </c>
      <c r="N63" s="242">
        <v>2</v>
      </c>
      <c r="O63" s="242">
        <v>2</v>
      </c>
      <c r="P63" s="242">
        <f t="shared" ref="P63" si="33">IFERROR(SUM(M63:O63)/3,0)</f>
        <v>2.3333333333333335</v>
      </c>
      <c r="Q63" s="242">
        <v>3</v>
      </c>
      <c r="R63" s="242">
        <v>1</v>
      </c>
      <c r="S63" s="242">
        <v>1</v>
      </c>
      <c r="T63" s="242">
        <f t="shared" si="26"/>
        <v>1.6666666666666667</v>
      </c>
      <c r="U63" s="242">
        <v>3</v>
      </c>
      <c r="V63" s="242">
        <v>2</v>
      </c>
      <c r="W63" s="242">
        <v>2</v>
      </c>
      <c r="X63" s="242">
        <f t="shared" si="27"/>
        <v>2.3333333333333335</v>
      </c>
      <c r="Y63" s="242">
        <v>3</v>
      </c>
      <c r="Z63" s="242">
        <v>3</v>
      </c>
      <c r="AA63" s="242">
        <v>2</v>
      </c>
      <c r="AB63" s="242">
        <f t="shared" si="28"/>
        <v>2.6666666666666665</v>
      </c>
      <c r="AC63" s="242">
        <v>3</v>
      </c>
      <c r="AD63" s="242">
        <v>2</v>
      </c>
      <c r="AE63" s="242">
        <v>2</v>
      </c>
      <c r="AF63" s="242">
        <f t="shared" si="29"/>
        <v>2.3333333333333335</v>
      </c>
      <c r="AG63" s="242">
        <v>4</v>
      </c>
      <c r="AH63" s="242">
        <v>3</v>
      </c>
      <c r="AI63" s="242">
        <v>2</v>
      </c>
      <c r="AJ63" s="242">
        <f t="shared" si="30"/>
        <v>3</v>
      </c>
      <c r="AK63" s="242">
        <v>3</v>
      </c>
      <c r="AL63" s="242">
        <v>2</v>
      </c>
      <c r="AM63" s="242">
        <v>2</v>
      </c>
      <c r="AN63" s="242">
        <f t="shared" si="31"/>
        <v>2.3333333333333335</v>
      </c>
    </row>
    <row r="64" spans="1:40" outlineLevel="1">
      <c r="A64" s="189" t="s">
        <v>3531</v>
      </c>
      <c r="B64" s="189" t="s">
        <v>3532</v>
      </c>
      <c r="C64" s="189" t="s">
        <v>3533</v>
      </c>
      <c r="D64" s="240" t="s">
        <v>3403</v>
      </c>
      <c r="E64" s="241">
        <f t="shared" si="24"/>
        <v>2.9047619047619051</v>
      </c>
      <c r="F64" s="243">
        <v>6401671</v>
      </c>
      <c r="G64" s="243">
        <f t="shared" si="32"/>
        <v>12803342</v>
      </c>
      <c r="H64" s="242">
        <v>4</v>
      </c>
      <c r="I64" s="242"/>
      <c r="J64" s="242"/>
      <c r="K64" s="242"/>
      <c r="L64" s="242"/>
      <c r="M64" s="242">
        <v>3</v>
      </c>
      <c r="N64" s="242">
        <v>3</v>
      </c>
      <c r="O64" s="242">
        <v>3</v>
      </c>
      <c r="P64" s="242">
        <f>IFERROR(SUM(M65:O65)/3,0)</f>
        <v>2</v>
      </c>
      <c r="Q64" s="242">
        <v>3</v>
      </c>
      <c r="R64" s="242">
        <v>3</v>
      </c>
      <c r="S64" s="242">
        <v>3</v>
      </c>
      <c r="T64" s="242">
        <f t="shared" si="26"/>
        <v>3</v>
      </c>
      <c r="U64" s="242">
        <v>3</v>
      </c>
      <c r="V64" s="242">
        <v>4</v>
      </c>
      <c r="W64" s="242">
        <v>3</v>
      </c>
      <c r="X64" s="242">
        <f>IFERROR(SUM(U64:W64)/3,0)</f>
        <v>3.3333333333333335</v>
      </c>
      <c r="Y64" s="242">
        <v>3</v>
      </c>
      <c r="Z64" s="242">
        <v>3</v>
      </c>
      <c r="AA64" s="242">
        <v>3</v>
      </c>
      <c r="AB64" s="242">
        <f t="shared" si="28"/>
        <v>3</v>
      </c>
      <c r="AC64" s="242">
        <v>3</v>
      </c>
      <c r="AD64" s="242">
        <v>3</v>
      </c>
      <c r="AE64" s="242">
        <v>3</v>
      </c>
      <c r="AF64" s="242">
        <f t="shared" si="29"/>
        <v>3</v>
      </c>
      <c r="AG64" s="242">
        <v>3</v>
      </c>
      <c r="AH64" s="242">
        <v>4</v>
      </c>
      <c r="AI64" s="242">
        <v>2</v>
      </c>
      <c r="AJ64" s="242">
        <f t="shared" si="30"/>
        <v>3</v>
      </c>
      <c r="AK64" s="242">
        <v>3</v>
      </c>
      <c r="AL64" s="242">
        <v>3</v>
      </c>
      <c r="AM64" s="242">
        <v>3</v>
      </c>
      <c r="AN64" s="242">
        <f t="shared" si="31"/>
        <v>3</v>
      </c>
    </row>
    <row r="65" spans="1:40" outlineLevel="1">
      <c r="A65" s="189" t="s">
        <v>3534</v>
      </c>
      <c r="B65" s="189" t="s">
        <v>3535</v>
      </c>
      <c r="C65" s="189" t="s">
        <v>3536</v>
      </c>
      <c r="D65" s="240" t="s">
        <v>3403</v>
      </c>
      <c r="E65" s="241">
        <f t="shared" si="24"/>
        <v>1.9047619047619044</v>
      </c>
      <c r="F65" s="243">
        <v>276041</v>
      </c>
      <c r="G65" s="243">
        <f t="shared" si="32"/>
        <v>552082</v>
      </c>
      <c r="H65" s="242">
        <v>4</v>
      </c>
      <c r="I65" s="242"/>
      <c r="J65" s="242"/>
      <c r="K65" s="242"/>
      <c r="L65" s="242"/>
      <c r="M65" s="242">
        <v>4</v>
      </c>
      <c r="N65" s="242">
        <v>1</v>
      </c>
      <c r="O65" s="242">
        <v>1</v>
      </c>
      <c r="P65" s="242">
        <f>IFERROR(SUM(M66:O66)/3,0)</f>
        <v>3.6666666666666665</v>
      </c>
      <c r="Q65" s="242">
        <v>3</v>
      </c>
      <c r="R65" s="242">
        <v>1</v>
      </c>
      <c r="S65" s="242">
        <v>1</v>
      </c>
      <c r="T65" s="242">
        <f t="shared" si="26"/>
        <v>1.6666666666666667</v>
      </c>
      <c r="U65" s="242">
        <v>2</v>
      </c>
      <c r="V65" s="242">
        <v>1</v>
      </c>
      <c r="W65" s="242">
        <v>1</v>
      </c>
      <c r="X65" s="242">
        <f t="shared" ref="X65:X73" si="34">IFERROR(SUM(U65:W65)/3,0)</f>
        <v>1.3333333333333333</v>
      </c>
      <c r="Y65" s="242">
        <v>3</v>
      </c>
      <c r="Z65" s="242">
        <v>1</v>
      </c>
      <c r="AA65" s="242">
        <v>1</v>
      </c>
      <c r="AB65" s="242">
        <f t="shared" si="28"/>
        <v>1.6666666666666667</v>
      </c>
      <c r="AC65" s="242">
        <v>3</v>
      </c>
      <c r="AD65" s="242">
        <v>1</v>
      </c>
      <c r="AE65" s="242">
        <v>1</v>
      </c>
      <c r="AF65" s="242">
        <f t="shared" si="29"/>
        <v>1.6666666666666667</v>
      </c>
      <c r="AG65" s="242">
        <v>2</v>
      </c>
      <c r="AH65" s="242">
        <v>1</v>
      </c>
      <c r="AI65" s="242">
        <v>2</v>
      </c>
      <c r="AJ65" s="242">
        <f t="shared" si="30"/>
        <v>1.6666666666666667</v>
      </c>
      <c r="AK65" s="242">
        <v>3</v>
      </c>
      <c r="AL65" s="242">
        <v>1</v>
      </c>
      <c r="AM65" s="242">
        <v>1</v>
      </c>
      <c r="AN65" s="242">
        <f t="shared" si="31"/>
        <v>1.6666666666666667</v>
      </c>
    </row>
    <row r="66" spans="1:40" outlineLevel="1">
      <c r="A66" s="189" t="s">
        <v>3537</v>
      </c>
      <c r="B66" s="189" t="s">
        <v>3538</v>
      </c>
      <c r="C66" s="189" t="s">
        <v>3539</v>
      </c>
      <c r="D66" s="240" t="s">
        <v>3403</v>
      </c>
      <c r="E66" s="241">
        <f t="shared" si="24"/>
        <v>3.0952380952380949</v>
      </c>
      <c r="F66" s="243">
        <v>0</v>
      </c>
      <c r="G66" s="243">
        <f t="shared" si="32"/>
        <v>0</v>
      </c>
      <c r="H66" s="242">
        <v>4</v>
      </c>
      <c r="I66" s="242"/>
      <c r="J66" s="242"/>
      <c r="K66" s="242"/>
      <c r="L66" s="242"/>
      <c r="M66" s="242">
        <v>4</v>
      </c>
      <c r="N66" s="242">
        <v>4</v>
      </c>
      <c r="O66" s="242">
        <v>3</v>
      </c>
      <c r="P66" s="242">
        <f t="shared" ref="P66:P73" si="35">IFERROR(SUM(M66:O66)/3,0)</f>
        <v>3.6666666666666665</v>
      </c>
      <c r="Q66" s="242">
        <v>3</v>
      </c>
      <c r="R66" s="242">
        <v>4</v>
      </c>
      <c r="S66" s="242">
        <v>3</v>
      </c>
      <c r="T66" s="242">
        <f t="shared" si="26"/>
        <v>3.3333333333333335</v>
      </c>
      <c r="U66" s="242">
        <v>3</v>
      </c>
      <c r="V66" s="242">
        <v>3</v>
      </c>
      <c r="W66" s="242">
        <v>3</v>
      </c>
      <c r="X66" s="242">
        <f t="shared" si="34"/>
        <v>3</v>
      </c>
      <c r="Y66" s="242">
        <v>3</v>
      </c>
      <c r="Z66" s="242">
        <v>3</v>
      </c>
      <c r="AA66" s="242">
        <v>3</v>
      </c>
      <c r="AB66" s="242">
        <f t="shared" si="28"/>
        <v>3</v>
      </c>
      <c r="AC66" s="242">
        <v>3</v>
      </c>
      <c r="AD66" s="242">
        <v>3</v>
      </c>
      <c r="AE66" s="242">
        <v>3</v>
      </c>
      <c r="AF66" s="242">
        <f t="shared" si="29"/>
        <v>3</v>
      </c>
      <c r="AG66" s="242">
        <v>3</v>
      </c>
      <c r="AH66" s="242">
        <v>2</v>
      </c>
      <c r="AI66" s="242">
        <v>2</v>
      </c>
      <c r="AJ66" s="242">
        <f t="shared" si="30"/>
        <v>2.3333333333333335</v>
      </c>
      <c r="AK66" s="242">
        <v>3</v>
      </c>
      <c r="AL66" s="242">
        <v>4</v>
      </c>
      <c r="AM66" s="242">
        <v>3</v>
      </c>
      <c r="AN66" s="242">
        <f t="shared" si="31"/>
        <v>3.3333333333333335</v>
      </c>
    </row>
    <row r="67" spans="1:40" outlineLevel="1">
      <c r="A67" s="189" t="s">
        <v>3432</v>
      </c>
      <c r="B67" s="189" t="s">
        <v>3540</v>
      </c>
      <c r="C67" s="189" t="s">
        <v>3541</v>
      </c>
      <c r="D67" s="240" t="s">
        <v>3403</v>
      </c>
      <c r="E67" s="241">
        <f t="shared" si="24"/>
        <v>3.9047619047619047</v>
      </c>
      <c r="F67" s="243">
        <v>1620000</v>
      </c>
      <c r="G67" s="243">
        <f t="shared" si="32"/>
        <v>3240000</v>
      </c>
      <c r="H67" s="242">
        <v>4</v>
      </c>
      <c r="I67" s="242"/>
      <c r="J67" s="242"/>
      <c r="K67" s="242"/>
      <c r="L67" s="242"/>
      <c r="M67" s="242">
        <v>4</v>
      </c>
      <c r="N67" s="242">
        <v>4</v>
      </c>
      <c r="O67" s="242">
        <v>3</v>
      </c>
      <c r="P67" s="242">
        <f t="shared" si="35"/>
        <v>3.6666666666666665</v>
      </c>
      <c r="Q67" s="242">
        <v>4</v>
      </c>
      <c r="R67" s="242">
        <v>4</v>
      </c>
      <c r="S67" s="242">
        <v>4</v>
      </c>
      <c r="T67" s="242">
        <f t="shared" si="26"/>
        <v>4</v>
      </c>
      <c r="U67" s="242">
        <v>3</v>
      </c>
      <c r="V67" s="242">
        <v>4</v>
      </c>
      <c r="W67" s="242">
        <v>4</v>
      </c>
      <c r="X67" s="242">
        <f t="shared" si="34"/>
        <v>3.6666666666666665</v>
      </c>
      <c r="Y67" s="242">
        <v>4</v>
      </c>
      <c r="Z67" s="242">
        <v>4</v>
      </c>
      <c r="AA67" s="242">
        <v>4</v>
      </c>
      <c r="AB67" s="242">
        <f t="shared" si="28"/>
        <v>4</v>
      </c>
      <c r="AC67" s="242">
        <v>4</v>
      </c>
      <c r="AD67" s="242">
        <v>4</v>
      </c>
      <c r="AE67" s="242">
        <v>4</v>
      </c>
      <c r="AF67" s="242">
        <f t="shared" si="29"/>
        <v>4</v>
      </c>
      <c r="AG67" s="242">
        <v>4</v>
      </c>
      <c r="AH67" s="242">
        <v>4</v>
      </c>
      <c r="AI67" s="242">
        <v>4</v>
      </c>
      <c r="AJ67" s="242">
        <f t="shared" si="30"/>
        <v>4</v>
      </c>
      <c r="AK67" s="242">
        <v>4</v>
      </c>
      <c r="AL67" s="242">
        <v>4</v>
      </c>
      <c r="AM67" s="242">
        <v>4</v>
      </c>
      <c r="AN67" s="242">
        <f t="shared" si="31"/>
        <v>4</v>
      </c>
    </row>
    <row r="68" spans="1:40" outlineLevel="1">
      <c r="A68" s="189" t="s">
        <v>3418</v>
      </c>
      <c r="B68" s="189" t="s">
        <v>3542</v>
      </c>
      <c r="C68" s="189" t="s">
        <v>3543</v>
      </c>
      <c r="D68" s="240" t="s">
        <v>3405</v>
      </c>
      <c r="E68" s="241">
        <f t="shared" si="24"/>
        <v>2.4285714285714284</v>
      </c>
      <c r="F68" s="246">
        <v>2354107</v>
      </c>
      <c r="G68" s="243">
        <f t="shared" si="32"/>
        <v>4708214</v>
      </c>
      <c r="H68" s="242">
        <v>4</v>
      </c>
      <c r="I68" s="242"/>
      <c r="J68" s="242"/>
      <c r="K68" s="242"/>
      <c r="L68" s="242"/>
      <c r="M68" s="242">
        <v>3</v>
      </c>
      <c r="N68" s="242">
        <v>2</v>
      </c>
      <c r="O68" s="242">
        <v>2</v>
      </c>
      <c r="P68" s="242">
        <f t="shared" si="35"/>
        <v>2.3333333333333335</v>
      </c>
      <c r="Q68" s="242">
        <v>3</v>
      </c>
      <c r="R68" s="242">
        <v>3</v>
      </c>
      <c r="S68" s="242">
        <v>2</v>
      </c>
      <c r="T68" s="242">
        <f t="shared" si="26"/>
        <v>2.6666666666666665</v>
      </c>
      <c r="U68" s="242">
        <v>3</v>
      </c>
      <c r="V68" s="242">
        <v>2</v>
      </c>
      <c r="W68" s="242">
        <v>2</v>
      </c>
      <c r="X68" s="242">
        <f t="shared" si="34"/>
        <v>2.3333333333333335</v>
      </c>
      <c r="Y68" s="242">
        <v>3</v>
      </c>
      <c r="Z68" s="242">
        <v>3</v>
      </c>
      <c r="AA68" s="242">
        <v>2</v>
      </c>
      <c r="AB68" s="242">
        <f t="shared" si="28"/>
        <v>2.6666666666666665</v>
      </c>
      <c r="AC68" s="242">
        <v>3</v>
      </c>
      <c r="AD68" s="242">
        <v>2</v>
      </c>
      <c r="AE68" s="242">
        <v>2</v>
      </c>
      <c r="AF68" s="242">
        <f t="shared" si="29"/>
        <v>2.3333333333333335</v>
      </c>
      <c r="AG68" s="242">
        <v>3</v>
      </c>
      <c r="AH68" s="242">
        <v>2</v>
      </c>
      <c r="AI68" s="242">
        <v>2</v>
      </c>
      <c r="AJ68" s="242">
        <f t="shared" si="30"/>
        <v>2.3333333333333335</v>
      </c>
      <c r="AK68" s="242">
        <v>3</v>
      </c>
      <c r="AL68" s="242">
        <v>2</v>
      </c>
      <c r="AM68" s="242">
        <v>2</v>
      </c>
      <c r="AN68" s="242">
        <f t="shared" si="31"/>
        <v>2.3333333333333335</v>
      </c>
    </row>
    <row r="69" spans="1:40" outlineLevel="1">
      <c r="A69" s="189" t="s">
        <v>3447</v>
      </c>
      <c r="B69" s="189" t="s">
        <v>3544</v>
      </c>
      <c r="C69" s="189" t="s">
        <v>3545</v>
      </c>
      <c r="D69" s="240" t="s">
        <v>3405</v>
      </c>
      <c r="E69" s="241">
        <f t="shared" si="24"/>
        <v>4</v>
      </c>
      <c r="F69" s="243">
        <v>10586521</v>
      </c>
      <c r="G69" s="243">
        <f t="shared" si="32"/>
        <v>21173042</v>
      </c>
      <c r="H69" s="242">
        <v>4</v>
      </c>
      <c r="I69" s="242"/>
      <c r="J69" s="242"/>
      <c r="K69" s="242"/>
      <c r="L69" s="242"/>
      <c r="M69" s="242">
        <v>4</v>
      </c>
      <c r="N69" s="242">
        <v>4</v>
      </c>
      <c r="O69" s="242">
        <v>4</v>
      </c>
      <c r="P69" s="242">
        <f t="shared" si="35"/>
        <v>4</v>
      </c>
      <c r="Q69" s="242">
        <v>4</v>
      </c>
      <c r="R69" s="242">
        <v>4</v>
      </c>
      <c r="S69" s="242">
        <v>4</v>
      </c>
      <c r="T69" s="242">
        <f t="shared" si="26"/>
        <v>4</v>
      </c>
      <c r="U69" s="242">
        <v>4</v>
      </c>
      <c r="V69" s="242">
        <v>4</v>
      </c>
      <c r="W69" s="242">
        <v>4</v>
      </c>
      <c r="X69" s="242">
        <f t="shared" si="34"/>
        <v>4</v>
      </c>
      <c r="Y69" s="242">
        <v>4</v>
      </c>
      <c r="Z69" s="242">
        <v>4</v>
      </c>
      <c r="AA69" s="242">
        <v>4</v>
      </c>
      <c r="AB69" s="242">
        <f t="shared" si="28"/>
        <v>4</v>
      </c>
      <c r="AC69" s="242">
        <v>4</v>
      </c>
      <c r="AD69" s="242">
        <v>4</v>
      </c>
      <c r="AE69" s="242">
        <v>4</v>
      </c>
      <c r="AF69" s="242">
        <f t="shared" si="29"/>
        <v>4</v>
      </c>
      <c r="AG69" s="242">
        <v>4</v>
      </c>
      <c r="AH69" s="242">
        <v>4</v>
      </c>
      <c r="AI69" s="242">
        <v>4</v>
      </c>
      <c r="AJ69" s="242">
        <f t="shared" si="30"/>
        <v>4</v>
      </c>
      <c r="AK69" s="242">
        <v>4</v>
      </c>
      <c r="AL69" s="242">
        <v>4</v>
      </c>
      <c r="AM69" s="242">
        <v>4</v>
      </c>
      <c r="AN69" s="242">
        <f t="shared" si="31"/>
        <v>4</v>
      </c>
    </row>
    <row r="70" spans="1:40" outlineLevel="1">
      <c r="A70" s="189" t="s">
        <v>3421</v>
      </c>
      <c r="B70" s="189" t="s">
        <v>3544</v>
      </c>
      <c r="C70" s="189" t="s">
        <v>3546</v>
      </c>
      <c r="D70" s="240" t="s">
        <v>3405</v>
      </c>
      <c r="E70" s="241">
        <f t="shared" si="24"/>
        <v>4</v>
      </c>
      <c r="F70" s="243">
        <v>339600</v>
      </c>
      <c r="G70" s="243">
        <f t="shared" si="32"/>
        <v>679200</v>
      </c>
      <c r="H70" s="247">
        <v>4</v>
      </c>
      <c r="I70" s="242"/>
      <c r="J70" s="242"/>
      <c r="K70" s="242"/>
      <c r="L70" s="242"/>
      <c r="M70" s="242">
        <v>4</v>
      </c>
      <c r="N70" s="242">
        <v>4</v>
      </c>
      <c r="O70" s="242">
        <v>4</v>
      </c>
      <c r="P70" s="242">
        <f t="shared" si="35"/>
        <v>4</v>
      </c>
      <c r="Q70" s="242">
        <v>4</v>
      </c>
      <c r="R70" s="242">
        <v>4</v>
      </c>
      <c r="S70" s="242">
        <v>4</v>
      </c>
      <c r="T70" s="242">
        <f t="shared" si="26"/>
        <v>4</v>
      </c>
      <c r="U70" s="242">
        <v>4</v>
      </c>
      <c r="V70" s="242">
        <v>4</v>
      </c>
      <c r="W70" s="242">
        <v>4</v>
      </c>
      <c r="X70" s="242">
        <f t="shared" si="34"/>
        <v>4</v>
      </c>
      <c r="Y70" s="242">
        <v>4</v>
      </c>
      <c r="Z70" s="242">
        <v>4</v>
      </c>
      <c r="AA70" s="242">
        <v>4</v>
      </c>
      <c r="AB70" s="242">
        <f t="shared" si="28"/>
        <v>4</v>
      </c>
      <c r="AC70" s="242">
        <v>4</v>
      </c>
      <c r="AD70" s="242">
        <v>4</v>
      </c>
      <c r="AE70" s="242">
        <v>4</v>
      </c>
      <c r="AF70" s="242">
        <f t="shared" si="29"/>
        <v>4</v>
      </c>
      <c r="AG70" s="242">
        <v>4</v>
      </c>
      <c r="AH70" s="242">
        <v>4</v>
      </c>
      <c r="AI70" s="242">
        <v>4</v>
      </c>
      <c r="AJ70" s="242">
        <f t="shared" si="30"/>
        <v>4</v>
      </c>
      <c r="AK70" s="242">
        <v>4</v>
      </c>
      <c r="AL70" s="242">
        <v>4</v>
      </c>
      <c r="AM70" s="242">
        <v>4</v>
      </c>
      <c r="AN70" s="242">
        <f t="shared" si="31"/>
        <v>4</v>
      </c>
    </row>
    <row r="71" spans="1:40" outlineLevel="1">
      <c r="A71" s="189" t="s">
        <v>1422</v>
      </c>
      <c r="B71" s="189" t="s">
        <v>3547</v>
      </c>
      <c r="C71" s="189" t="s">
        <v>3548</v>
      </c>
      <c r="D71" s="240" t="s">
        <v>3405</v>
      </c>
      <c r="E71" s="241">
        <f t="shared" si="24"/>
        <v>1.6190476190476191</v>
      </c>
      <c r="F71" s="250">
        <f>694650*2</f>
        <v>1389300</v>
      </c>
      <c r="G71" s="243">
        <f t="shared" si="32"/>
        <v>2778600</v>
      </c>
      <c r="H71" s="242">
        <v>4</v>
      </c>
      <c r="I71" s="242"/>
      <c r="J71" s="242"/>
      <c r="K71" s="242"/>
      <c r="L71" s="242"/>
      <c r="M71" s="242">
        <v>3</v>
      </c>
      <c r="N71" s="242">
        <v>1</v>
      </c>
      <c r="O71" s="242">
        <v>1</v>
      </c>
      <c r="P71" s="242">
        <f t="shared" si="35"/>
        <v>1.6666666666666667</v>
      </c>
      <c r="Q71" s="242">
        <v>3</v>
      </c>
      <c r="R71" s="242">
        <v>1</v>
      </c>
      <c r="S71" s="242">
        <v>1</v>
      </c>
      <c r="T71" s="242">
        <f t="shared" si="26"/>
        <v>1.6666666666666667</v>
      </c>
      <c r="U71" s="242">
        <v>3</v>
      </c>
      <c r="V71" s="242">
        <v>1</v>
      </c>
      <c r="W71" s="242">
        <v>1</v>
      </c>
      <c r="X71" s="242">
        <f t="shared" si="34"/>
        <v>1.6666666666666667</v>
      </c>
      <c r="Y71" s="242">
        <v>3</v>
      </c>
      <c r="Z71" s="242">
        <v>1</v>
      </c>
      <c r="AA71" s="242">
        <v>1</v>
      </c>
      <c r="AB71" s="242">
        <f t="shared" si="28"/>
        <v>1.6666666666666667</v>
      </c>
      <c r="AC71" s="242">
        <v>2</v>
      </c>
      <c r="AD71" s="242">
        <v>1</v>
      </c>
      <c r="AE71" s="242">
        <v>2</v>
      </c>
      <c r="AF71" s="242">
        <f t="shared" si="29"/>
        <v>1.6666666666666667</v>
      </c>
      <c r="AG71" s="242">
        <v>2</v>
      </c>
      <c r="AH71" s="242">
        <v>2</v>
      </c>
      <c r="AI71" s="242">
        <v>1</v>
      </c>
      <c r="AJ71" s="242">
        <f t="shared" si="30"/>
        <v>1.6666666666666667</v>
      </c>
      <c r="AK71" s="242">
        <v>2</v>
      </c>
      <c r="AL71" s="242">
        <v>1</v>
      </c>
      <c r="AM71" s="242">
        <v>1</v>
      </c>
      <c r="AN71" s="242">
        <f t="shared" si="31"/>
        <v>1.3333333333333333</v>
      </c>
    </row>
    <row r="72" spans="1:40" outlineLevel="1">
      <c r="A72" s="189" t="s">
        <v>3549</v>
      </c>
      <c r="B72" s="189" t="s">
        <v>3550</v>
      </c>
      <c r="C72" s="189" t="s">
        <v>3551</v>
      </c>
      <c r="D72" s="240" t="s">
        <v>3406</v>
      </c>
      <c r="E72" s="241">
        <f t="shared" si="24"/>
        <v>2.3809523809523809</v>
      </c>
      <c r="F72" s="243">
        <v>240000</v>
      </c>
      <c r="G72" s="243">
        <f t="shared" si="32"/>
        <v>480000</v>
      </c>
      <c r="H72" s="242">
        <v>4</v>
      </c>
      <c r="I72" s="242"/>
      <c r="J72" s="242"/>
      <c r="K72" s="242"/>
      <c r="L72" s="242"/>
      <c r="M72" s="242">
        <v>3</v>
      </c>
      <c r="N72" s="242">
        <v>1</v>
      </c>
      <c r="O72" s="242">
        <v>1</v>
      </c>
      <c r="P72" s="242">
        <f t="shared" si="35"/>
        <v>1.6666666666666667</v>
      </c>
      <c r="Q72" s="242">
        <v>3</v>
      </c>
      <c r="R72" s="242">
        <v>2</v>
      </c>
      <c r="S72" s="242">
        <v>1</v>
      </c>
      <c r="T72" s="242">
        <f t="shared" si="26"/>
        <v>2</v>
      </c>
      <c r="U72" s="242">
        <v>4</v>
      </c>
      <c r="V72" s="242">
        <v>4</v>
      </c>
      <c r="W72" s="242">
        <v>3</v>
      </c>
      <c r="X72" s="242">
        <f t="shared" si="34"/>
        <v>3.6666666666666665</v>
      </c>
      <c r="Y72" s="242">
        <v>3</v>
      </c>
      <c r="Z72" s="242">
        <v>2</v>
      </c>
      <c r="AA72" s="242">
        <v>2</v>
      </c>
      <c r="AB72" s="242">
        <f t="shared" si="28"/>
        <v>2.3333333333333335</v>
      </c>
      <c r="AC72" s="242">
        <v>2</v>
      </c>
      <c r="AD72" s="242">
        <v>2</v>
      </c>
      <c r="AE72" s="242">
        <v>2</v>
      </c>
      <c r="AF72" s="242">
        <f t="shared" si="29"/>
        <v>2</v>
      </c>
      <c r="AG72" s="242">
        <v>3</v>
      </c>
      <c r="AH72" s="242">
        <v>4</v>
      </c>
      <c r="AI72" s="242">
        <v>3</v>
      </c>
      <c r="AJ72" s="242">
        <f t="shared" si="30"/>
        <v>3.3333333333333335</v>
      </c>
      <c r="AK72" s="242">
        <v>1</v>
      </c>
      <c r="AL72" s="242">
        <v>2</v>
      </c>
      <c r="AM72" s="242">
        <v>2</v>
      </c>
      <c r="AN72" s="242">
        <f t="shared" si="31"/>
        <v>1.6666666666666667</v>
      </c>
    </row>
    <row r="73" spans="1:40" outlineLevel="1">
      <c r="A73" s="189" t="s">
        <v>3552</v>
      </c>
      <c r="B73" s="189" t="s">
        <v>3553</v>
      </c>
      <c r="C73" s="189" t="s">
        <v>3554</v>
      </c>
      <c r="D73" s="240" t="s">
        <v>3406</v>
      </c>
      <c r="E73" s="241">
        <f t="shared" si="24"/>
        <v>3.7142857142857149</v>
      </c>
      <c r="F73" s="243">
        <v>500000</v>
      </c>
      <c r="G73" s="243">
        <f t="shared" si="32"/>
        <v>1000000</v>
      </c>
      <c r="H73" s="242">
        <v>4</v>
      </c>
      <c r="I73" s="242"/>
      <c r="J73" s="242"/>
      <c r="K73" s="242"/>
      <c r="L73" s="242"/>
      <c r="M73" s="242">
        <v>4</v>
      </c>
      <c r="N73" s="242">
        <v>4</v>
      </c>
      <c r="O73" s="242">
        <v>2</v>
      </c>
      <c r="P73" s="242">
        <f t="shared" si="35"/>
        <v>3.3333333333333335</v>
      </c>
      <c r="Q73" s="242">
        <v>4</v>
      </c>
      <c r="R73" s="242">
        <v>4</v>
      </c>
      <c r="S73" s="242">
        <v>4</v>
      </c>
      <c r="T73" s="242">
        <f t="shared" si="26"/>
        <v>4</v>
      </c>
      <c r="U73" s="242">
        <v>4</v>
      </c>
      <c r="V73" s="242">
        <v>4</v>
      </c>
      <c r="W73" s="242">
        <v>4</v>
      </c>
      <c r="X73" s="242">
        <f t="shared" si="34"/>
        <v>4</v>
      </c>
      <c r="Y73" s="242">
        <v>4</v>
      </c>
      <c r="Z73" s="242">
        <v>4</v>
      </c>
      <c r="AA73" s="242">
        <v>3</v>
      </c>
      <c r="AB73" s="242">
        <f t="shared" si="28"/>
        <v>3.6666666666666665</v>
      </c>
      <c r="AC73" s="242">
        <v>4</v>
      </c>
      <c r="AD73" s="242">
        <v>4</v>
      </c>
      <c r="AE73" s="242">
        <v>3</v>
      </c>
      <c r="AF73" s="242">
        <f t="shared" si="29"/>
        <v>3.6666666666666665</v>
      </c>
      <c r="AG73" s="242">
        <v>4</v>
      </c>
      <c r="AH73" s="242">
        <v>4</v>
      </c>
      <c r="AI73" s="242">
        <v>3</v>
      </c>
      <c r="AJ73" s="242">
        <f t="shared" si="30"/>
        <v>3.6666666666666665</v>
      </c>
      <c r="AK73" s="242">
        <v>4</v>
      </c>
      <c r="AL73" s="242">
        <v>4</v>
      </c>
      <c r="AM73" s="242">
        <v>3</v>
      </c>
      <c r="AN73" s="242">
        <f t="shared" si="31"/>
        <v>3.6666666666666665</v>
      </c>
    </row>
    <row r="74" spans="1:40" outlineLevel="1">
      <c r="A74" s="231" t="s">
        <v>3455</v>
      </c>
      <c r="B74" s="231"/>
      <c r="C74" s="231"/>
      <c r="D74" s="231"/>
      <c r="E74" s="231"/>
      <c r="F74" s="248">
        <f>SUM(F61:F73)</f>
        <v>24518390</v>
      </c>
      <c r="G74" s="248">
        <f>SUM(G61:G73)</f>
        <v>49036780</v>
      </c>
    </row>
    <row r="77" spans="1:40">
      <c r="G77" s="229" t="e" vm="3">
        <f>'[4]Summary Semester 2'!D6</f>
        <v>#VALUE!</v>
      </c>
    </row>
  </sheetData>
  <mergeCells count="42">
    <mergeCell ref="U59:X59"/>
    <mergeCell ref="Y59:AB59"/>
    <mergeCell ref="AC59:AF59"/>
    <mergeCell ref="AG59:AJ59"/>
    <mergeCell ref="AK59:AN59"/>
    <mergeCell ref="A74:E74"/>
    <mergeCell ref="AG39:AJ39"/>
    <mergeCell ref="AK39:AN39"/>
    <mergeCell ref="A50:A51"/>
    <mergeCell ref="B50:B51"/>
    <mergeCell ref="A54:E54"/>
    <mergeCell ref="A59:E59"/>
    <mergeCell ref="F59:H59"/>
    <mergeCell ref="I59:L59"/>
    <mergeCell ref="M59:P59"/>
    <mergeCell ref="Q59:T59"/>
    <mergeCell ref="AC21:AF21"/>
    <mergeCell ref="A36:E36"/>
    <mergeCell ref="A39:E39"/>
    <mergeCell ref="F39:H39"/>
    <mergeCell ref="I39:L39"/>
    <mergeCell ref="M39:P39"/>
    <mergeCell ref="Q39:T39"/>
    <mergeCell ref="U39:X39"/>
    <mergeCell ref="Y39:AB39"/>
    <mergeCell ref="AC39:AF39"/>
    <mergeCell ref="Y2:AB2"/>
    <mergeCell ref="AC2:AF2"/>
    <mergeCell ref="A18:E18"/>
    <mergeCell ref="A21:E21"/>
    <mergeCell ref="F21:H21"/>
    <mergeCell ref="I21:L21"/>
    <mergeCell ref="M21:P21"/>
    <mergeCell ref="Q21:T21"/>
    <mergeCell ref="U21:X21"/>
    <mergeCell ref="Y21:AB21"/>
    <mergeCell ref="A2:E2"/>
    <mergeCell ref="F2:H2"/>
    <mergeCell ref="I2:L2"/>
    <mergeCell ref="M2:P2"/>
    <mergeCell ref="Q2:T2"/>
    <mergeCell ref="U2:X2"/>
  </mergeCells>
  <pageMargins left="0.7" right="0.7" top="0.75" bottom="0.75" header="0.3" footer="0.3"/>
  <pageSetup orientation="portrait" horizontalDpi="300" verticalDpi="30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F4BE-CC50-45D7-B293-F977AFEE8122}">
  <dimension ref="A1:S127"/>
  <sheetViews>
    <sheetView zoomScale="52" workbookViewId="0">
      <pane xSplit="1" ySplit="1" topLeftCell="E101" activePane="bottomRight" state="frozen"/>
      <selection pane="bottomRight"/>
      <selection pane="bottomLeft" activeCell="A2" sqref="A2"/>
      <selection pane="topRight" activeCell="B1" sqref="B1"/>
    </sheetView>
  </sheetViews>
  <sheetFormatPr defaultColWidth="8.5703125" defaultRowHeight="15"/>
  <cols>
    <col min="1" max="1" width="18.42578125" bestFit="1" customWidth="1"/>
    <col min="2" max="2" width="18.42578125" customWidth="1"/>
    <col min="3" max="3" width="3.42578125" customWidth="1"/>
    <col min="4" max="4" width="28.28515625" customWidth="1"/>
    <col min="5" max="5" width="52" customWidth="1"/>
    <col min="6" max="6" width="79.28515625" customWidth="1"/>
    <col min="7" max="7" width="30.7109375" hidden="1" customWidth="1"/>
    <col min="8" max="9" width="15.5703125" style="210" customWidth="1"/>
    <col min="10" max="10" width="15.5703125" style="210" hidden="1" customWidth="1"/>
    <col min="11" max="11" width="14.42578125" customWidth="1"/>
    <col min="12" max="12" width="13.42578125" bestFit="1" customWidth="1"/>
    <col min="13" max="13" width="18.5703125" bestFit="1" customWidth="1"/>
    <col min="14" max="14" width="23.5703125" bestFit="1" customWidth="1"/>
    <col min="15" max="15" width="9.140625"/>
    <col min="16" max="16" width="13.5703125" bestFit="1" customWidth="1"/>
    <col min="17" max="17" width="9.28515625" bestFit="1" customWidth="1"/>
    <col min="18" max="18" width="17.28515625" bestFit="1" customWidth="1"/>
  </cols>
  <sheetData>
    <row r="1" spans="1:19">
      <c r="A1" s="50" t="s">
        <v>14</v>
      </c>
      <c r="B1" s="50" t="s">
        <v>3555</v>
      </c>
      <c r="C1" s="50" t="s">
        <v>1330</v>
      </c>
      <c r="D1" s="50" t="s">
        <v>0</v>
      </c>
      <c r="E1" s="50" t="s">
        <v>7</v>
      </c>
      <c r="F1" s="50" t="s">
        <v>2</v>
      </c>
      <c r="G1" s="50" t="s">
        <v>3556</v>
      </c>
      <c r="H1" s="173" t="s">
        <v>3409</v>
      </c>
      <c r="I1" s="173" t="s">
        <v>3557</v>
      </c>
      <c r="J1" s="173" t="s">
        <v>3558</v>
      </c>
      <c r="K1" s="50" t="s">
        <v>3559</v>
      </c>
      <c r="L1" s="50" t="s">
        <v>3560</v>
      </c>
      <c r="M1" s="174" t="s">
        <v>3561</v>
      </c>
      <c r="N1" s="175" t="s">
        <v>3562</v>
      </c>
      <c r="O1" s="175" t="s">
        <v>3563</v>
      </c>
      <c r="P1" t="s">
        <v>3564</v>
      </c>
      <c r="Q1" s="176">
        <v>44196</v>
      </c>
      <c r="R1" s="177" t="e">
        <f>SUM(P1:P128)</f>
        <v>#N/A</v>
      </c>
      <c r="S1" t="s">
        <v>3565</v>
      </c>
    </row>
    <row r="2" spans="1:19">
      <c r="A2" s="178" t="s">
        <v>3398</v>
      </c>
      <c r="B2" s="178">
        <f>VALUE(RIGHT(A2,2))</f>
        <v>1</v>
      </c>
      <c r="C2" s="179">
        <v>1</v>
      </c>
      <c r="D2" s="180" t="s">
        <v>2841</v>
      </c>
      <c r="E2" s="117" t="s">
        <v>3566</v>
      </c>
      <c r="F2" s="117" t="s">
        <v>3567</v>
      </c>
      <c r="G2" s="117" t="s">
        <v>3568</v>
      </c>
      <c r="H2" s="181">
        <v>216900</v>
      </c>
      <c r="I2" s="181">
        <v>2602800</v>
      </c>
      <c r="J2" s="181" t="e">
        <f>INDEX([3]Summary!G:G,MATCH(A2,[3]Summary!A:A,0))*H2</f>
        <v>#N/A</v>
      </c>
      <c r="K2" s="117" t="s">
        <v>2841</v>
      </c>
      <c r="L2" s="117" t="s">
        <v>3569</v>
      </c>
      <c r="M2" s="182" t="e">
        <f>INDEX([3]Summary!B:B,MATCH(A2,[3]Summary!A:A,0))</f>
        <v>#N/A</v>
      </c>
      <c r="N2" s="176">
        <v>43891</v>
      </c>
      <c r="P2" s="183" t="e">
        <f>IF(N2=$Q$1,I2,H2*(N2-M2)/30)</f>
        <v>#N/A</v>
      </c>
      <c r="Q2" t="s">
        <v>3570</v>
      </c>
    </row>
    <row r="3" spans="1:19">
      <c r="A3" s="184" t="s">
        <v>3398</v>
      </c>
      <c r="B3" s="178">
        <f t="shared" ref="B3:B66" si="0">VALUE(RIGHT(A3,2))</f>
        <v>1</v>
      </c>
      <c r="C3" s="185">
        <v>2</v>
      </c>
      <c r="D3" s="114" t="s">
        <v>3571</v>
      </c>
      <c r="E3" s="114" t="s">
        <v>3572</v>
      </c>
      <c r="F3" s="114" t="s">
        <v>3573</v>
      </c>
      <c r="G3" s="114" t="s">
        <v>3574</v>
      </c>
      <c r="H3" s="186">
        <v>57820</v>
      </c>
      <c r="I3" s="186">
        <v>693840</v>
      </c>
      <c r="J3" s="186" t="e">
        <f>INDEX([3]Summary!G:G,MATCH(A3,[3]Summary!A:A,0))*H3</f>
        <v>#N/A</v>
      </c>
      <c r="K3" s="114" t="s">
        <v>2817</v>
      </c>
      <c r="L3" s="114" t="s">
        <v>3575</v>
      </c>
      <c r="M3" s="182" t="e">
        <f>INDEX([3]Summary!B:B,MATCH(A3,[3]Summary!A:A,0))</f>
        <v>#N/A</v>
      </c>
      <c r="N3" s="176">
        <v>44196</v>
      </c>
      <c r="P3" s="183">
        <f>IF(N3=$Q$1,I3,H3*(N3-M3)/30)</f>
        <v>693840</v>
      </c>
    </row>
    <row r="4" spans="1:19">
      <c r="A4" s="184" t="s">
        <v>3398</v>
      </c>
      <c r="B4" s="178">
        <f t="shared" si="0"/>
        <v>1</v>
      </c>
      <c r="C4" s="185">
        <v>3</v>
      </c>
      <c r="D4" s="114" t="s">
        <v>3576</v>
      </c>
      <c r="E4" s="114" t="s">
        <v>3577</v>
      </c>
      <c r="F4" s="114" t="s">
        <v>3578</v>
      </c>
      <c r="G4" s="114" t="s">
        <v>3579</v>
      </c>
      <c r="H4" s="186">
        <v>720000</v>
      </c>
      <c r="I4" s="186">
        <v>8640000</v>
      </c>
      <c r="J4" s="186" t="e">
        <f>INDEX([3]Summary!G:G,MATCH(A4,[3]Summary!A:A,0))*H4</f>
        <v>#N/A</v>
      </c>
      <c r="K4" s="114" t="s">
        <v>2914</v>
      </c>
      <c r="L4" s="114" t="s">
        <v>3575</v>
      </c>
      <c r="M4" s="182" t="e">
        <f>INDEX([3]Summary!B:B,MATCH(A4,[3]Summary!A:A,0))</f>
        <v>#N/A</v>
      </c>
      <c r="N4" s="176">
        <v>44196</v>
      </c>
      <c r="P4" s="183">
        <f>IFERROR(IF(N4=$Q$1,I4,H4*(N4-M4)/30),I4)</f>
        <v>8640000</v>
      </c>
    </row>
    <row r="5" spans="1:19">
      <c r="A5" s="184" t="s">
        <v>3398</v>
      </c>
      <c r="B5" s="178">
        <f t="shared" si="0"/>
        <v>1</v>
      </c>
      <c r="C5" s="185">
        <v>4</v>
      </c>
      <c r="D5" s="114" t="s">
        <v>3580</v>
      </c>
      <c r="E5" s="114" t="s">
        <v>3581</v>
      </c>
      <c r="F5" s="114" t="s">
        <v>3582</v>
      </c>
      <c r="G5" s="114" t="s">
        <v>3583</v>
      </c>
      <c r="H5" s="186">
        <v>1487500</v>
      </c>
      <c r="I5" s="186">
        <v>17850000</v>
      </c>
      <c r="J5" s="186" t="e">
        <f>INDEX([3]Summary!G:G,MATCH(A5,[3]Summary!A:A,0))*H5</f>
        <v>#N/A</v>
      </c>
      <c r="K5" s="114" t="s">
        <v>2914</v>
      </c>
      <c r="L5" s="114" t="s">
        <v>3575</v>
      </c>
      <c r="M5" s="182" t="e">
        <f>INDEX([3]Summary!B:B,MATCH(A5,[3]Summary!A:A,0))</f>
        <v>#N/A</v>
      </c>
      <c r="N5" s="176">
        <v>44043</v>
      </c>
      <c r="P5" s="183">
        <f>IFERROR(IF(N5=$Q$1,I5,H5*(N5-M5)/30),I5)</f>
        <v>17850000</v>
      </c>
    </row>
    <row r="6" spans="1:19">
      <c r="A6" s="184" t="s">
        <v>3398</v>
      </c>
      <c r="B6" s="178">
        <f t="shared" si="0"/>
        <v>1</v>
      </c>
      <c r="C6" s="185">
        <v>5</v>
      </c>
      <c r="D6" s="187" t="s">
        <v>3584</v>
      </c>
      <c r="E6" s="187" t="s">
        <v>3585</v>
      </c>
      <c r="F6" s="114" t="s">
        <v>3586</v>
      </c>
      <c r="G6" s="114" t="s">
        <v>3587</v>
      </c>
      <c r="H6" s="186">
        <v>0</v>
      </c>
      <c r="I6" s="186">
        <v>0</v>
      </c>
      <c r="J6" s="186" t="e">
        <f>INDEX([3]Summary!G:G,MATCH(A6,[3]Summary!A:A,0))*H6</f>
        <v>#N/A</v>
      </c>
      <c r="K6" s="114" t="s">
        <v>2914</v>
      </c>
      <c r="L6" s="188" t="s">
        <v>3588</v>
      </c>
      <c r="M6" s="182" t="e">
        <f>INDEX([3]Summary!B:B,MATCH(A6,[3]Summary!A:A,0))</f>
        <v>#N/A</v>
      </c>
      <c r="P6" s="183" t="e">
        <f t="shared" ref="P6:P12" si="1">IF(N6=$Q$1,I6,H6*(N6-M6)/30)</f>
        <v>#N/A</v>
      </c>
    </row>
    <row r="7" spans="1:19">
      <c r="A7" s="184" t="s">
        <v>3398</v>
      </c>
      <c r="B7" s="178">
        <f t="shared" si="0"/>
        <v>1</v>
      </c>
      <c r="C7" s="185">
        <v>6</v>
      </c>
      <c r="D7" s="114" t="s">
        <v>3447</v>
      </c>
      <c r="E7" s="114" t="s">
        <v>3589</v>
      </c>
      <c r="F7" s="114" t="s">
        <v>3590</v>
      </c>
      <c r="G7" s="114" t="s">
        <v>3591</v>
      </c>
      <c r="H7" s="186">
        <v>944213.5</v>
      </c>
      <c r="I7" s="186">
        <v>11330562</v>
      </c>
      <c r="J7" s="186" t="e">
        <f>INDEX([3]Summary!G:G,MATCH(A7,[3]Summary!A:A,0))*H7</f>
        <v>#N/A</v>
      </c>
      <c r="K7" s="189" t="s">
        <v>2854</v>
      </c>
      <c r="L7" s="114" t="s">
        <v>3575</v>
      </c>
      <c r="M7" s="182" t="e">
        <f>INDEX([3]Summary!B:B,MATCH(A7,[3]Summary!A:A,0))</f>
        <v>#N/A</v>
      </c>
      <c r="N7" s="182">
        <v>44196</v>
      </c>
      <c r="P7" s="183">
        <f t="shared" si="1"/>
        <v>11330562</v>
      </c>
    </row>
    <row r="8" spans="1:19">
      <c r="A8" s="184" t="s">
        <v>3398</v>
      </c>
      <c r="B8" s="178">
        <f t="shared" si="0"/>
        <v>1</v>
      </c>
      <c r="C8" s="185">
        <v>7</v>
      </c>
      <c r="D8" s="190" t="s">
        <v>3421</v>
      </c>
      <c r="E8" s="114" t="s">
        <v>3592</v>
      </c>
      <c r="F8" s="114" t="s">
        <v>3593</v>
      </c>
      <c r="G8" s="114" t="s">
        <v>3594</v>
      </c>
      <c r="H8" s="186">
        <v>69350909</v>
      </c>
      <c r="I8" s="186">
        <v>832210908</v>
      </c>
      <c r="J8" s="186" t="e">
        <f>INDEX([3]Summary!G:G,MATCH(A8,[3]Summary!A:A,0))*H8</f>
        <v>#N/A</v>
      </c>
      <c r="K8" s="189" t="s">
        <v>2854</v>
      </c>
      <c r="L8" s="114" t="s">
        <v>3595</v>
      </c>
      <c r="M8" s="182" t="e">
        <f>INDEX([3]Summary!B:B,MATCH(A8,[3]Summary!A:A,0))</f>
        <v>#N/A</v>
      </c>
      <c r="N8" s="182">
        <v>43990</v>
      </c>
      <c r="P8" s="183" t="e">
        <f t="shared" si="1"/>
        <v>#N/A</v>
      </c>
    </row>
    <row r="9" spans="1:19">
      <c r="A9" s="184" t="s">
        <v>3398</v>
      </c>
      <c r="B9" s="178">
        <f t="shared" si="0"/>
        <v>1</v>
      </c>
      <c r="C9" s="185">
        <v>8</v>
      </c>
      <c r="D9" s="190" t="s">
        <v>3596</v>
      </c>
      <c r="E9" s="191" t="s">
        <v>3597</v>
      </c>
      <c r="F9" s="114" t="s">
        <v>3598</v>
      </c>
      <c r="G9" s="114" t="s">
        <v>3599</v>
      </c>
      <c r="H9" s="186">
        <v>160400</v>
      </c>
      <c r="I9" s="186">
        <v>1924800</v>
      </c>
      <c r="J9" s="186" t="e">
        <f>INDEX([3]Summary!G:G,MATCH(A9,[3]Summary!A:A,0))*H9</f>
        <v>#N/A</v>
      </c>
      <c r="K9" s="189" t="s">
        <v>2854</v>
      </c>
      <c r="L9" s="114" t="s">
        <v>3600</v>
      </c>
      <c r="M9" s="182" t="e">
        <f>INDEX([3]Summary!B:B,MATCH(A9,[3]Summary!A:A,0))</f>
        <v>#N/A</v>
      </c>
      <c r="N9" s="182">
        <v>44043</v>
      </c>
      <c r="O9" t="s">
        <v>3601</v>
      </c>
      <c r="P9" s="183" t="e">
        <f t="shared" si="1"/>
        <v>#N/A</v>
      </c>
    </row>
    <row r="10" spans="1:19">
      <c r="A10" s="184" t="s">
        <v>3398</v>
      </c>
      <c r="B10" s="178">
        <f t="shared" si="0"/>
        <v>1</v>
      </c>
      <c r="C10" s="185">
        <v>9</v>
      </c>
      <c r="D10" s="190" t="s">
        <v>3602</v>
      </c>
      <c r="E10" s="114" t="s">
        <v>3603</v>
      </c>
      <c r="F10" s="114" t="s">
        <v>3604</v>
      </c>
      <c r="G10" s="114" t="s">
        <v>3605</v>
      </c>
      <c r="H10" s="192">
        <v>6603073.583333333</v>
      </c>
      <c r="I10" s="186">
        <v>39618441.5</v>
      </c>
      <c r="J10" s="186" t="e">
        <f>INDEX([3]Summary!G:G,MATCH(A10,[3]Summary!A:A,0))*H10</f>
        <v>#N/A</v>
      </c>
      <c r="K10" s="114" t="s">
        <v>2773</v>
      </c>
      <c r="L10" s="114" t="s">
        <v>3606</v>
      </c>
      <c r="M10" s="182" t="e">
        <f>INDEX([3]Summary!B:B,MATCH(A10,[3]Summary!A:A,0))</f>
        <v>#N/A</v>
      </c>
      <c r="N10" s="182">
        <v>44196</v>
      </c>
      <c r="P10" s="183">
        <f t="shared" si="1"/>
        <v>39618441.5</v>
      </c>
    </row>
    <row r="11" spans="1:19">
      <c r="A11" s="184" t="s">
        <v>3398</v>
      </c>
      <c r="B11" s="178">
        <f t="shared" si="0"/>
        <v>1</v>
      </c>
      <c r="C11" s="185">
        <v>10</v>
      </c>
      <c r="D11" s="114" t="s">
        <v>3607</v>
      </c>
      <c r="E11" s="114" t="s">
        <v>3608</v>
      </c>
      <c r="F11" s="114" t="s">
        <v>3609</v>
      </c>
      <c r="G11" s="114" t="s">
        <v>3610</v>
      </c>
      <c r="H11" s="186">
        <v>1305000</v>
      </c>
      <c r="I11" s="186">
        <v>15660000</v>
      </c>
      <c r="J11" s="186" t="e">
        <f>INDEX([3]Summary!G:G,MATCH(A11,[3]Summary!A:A,0))*H11</f>
        <v>#N/A</v>
      </c>
      <c r="K11" s="114" t="s">
        <v>2773</v>
      </c>
      <c r="L11" s="114" t="s">
        <v>3575</v>
      </c>
      <c r="M11" s="182" t="e">
        <f>INDEX([3]Summary!B:B,MATCH(A11,[3]Summary!A:A,0))</f>
        <v>#N/A</v>
      </c>
      <c r="N11" s="182">
        <v>44196</v>
      </c>
      <c r="P11" s="183">
        <f t="shared" si="1"/>
        <v>15660000</v>
      </c>
    </row>
    <row r="12" spans="1:19">
      <c r="A12" s="184" t="s">
        <v>3398</v>
      </c>
      <c r="B12" s="178">
        <f t="shared" si="0"/>
        <v>1</v>
      </c>
      <c r="C12" s="185">
        <v>11</v>
      </c>
      <c r="D12" s="190" t="s">
        <v>3392</v>
      </c>
      <c r="E12" s="114" t="s">
        <v>3611</v>
      </c>
      <c r="F12" s="114" t="s">
        <v>3612</v>
      </c>
      <c r="G12" s="114" t="s">
        <v>3613</v>
      </c>
      <c r="H12" s="186">
        <v>640000</v>
      </c>
      <c r="I12" s="186">
        <v>7680000</v>
      </c>
      <c r="J12" s="186" t="e">
        <f>INDEX([3]Summary!G:G,MATCH(A12,[3]Summary!A:A,0))*H12</f>
        <v>#N/A</v>
      </c>
      <c r="K12" s="114" t="s">
        <v>2914</v>
      </c>
      <c r="L12" s="114" t="s">
        <v>3614</v>
      </c>
      <c r="M12" s="182" t="e">
        <f>INDEX([3]Summary!B:B,MATCH(A12,[3]Summary!A:A,0))</f>
        <v>#N/A</v>
      </c>
      <c r="N12" s="176">
        <v>44196</v>
      </c>
      <c r="P12" s="183">
        <f t="shared" si="1"/>
        <v>7680000</v>
      </c>
    </row>
    <row r="13" spans="1:19">
      <c r="A13" s="184" t="s">
        <v>3456</v>
      </c>
      <c r="B13" s="178">
        <f t="shared" si="0"/>
        <v>2</v>
      </c>
      <c r="C13" s="185">
        <v>1</v>
      </c>
      <c r="D13" s="114" t="s">
        <v>3615</v>
      </c>
      <c r="E13" s="114" t="s">
        <v>3616</v>
      </c>
      <c r="F13" s="114" t="s">
        <v>3617</v>
      </c>
      <c r="G13" s="114" t="s">
        <v>3618</v>
      </c>
      <c r="H13" s="193">
        <v>20620</v>
      </c>
      <c r="I13" s="193">
        <v>226820</v>
      </c>
      <c r="J13" s="186" t="e">
        <f>INDEX([3]Summary!G:G,MATCH(A13,[3]Summary!A:A,0))*H13</f>
        <v>#N/A</v>
      </c>
      <c r="K13" s="114" t="s">
        <v>3619</v>
      </c>
      <c r="L13" s="114" t="s">
        <v>3575</v>
      </c>
      <c r="M13" s="182" t="e">
        <f>INDEX([3]Summary!B:B,MATCH(A13,[3]Summary!A:A,0))</f>
        <v>#N/A</v>
      </c>
      <c r="N13" s="176">
        <v>44012</v>
      </c>
      <c r="P13" s="183">
        <f>IFERROR(IF(N13=$Q$1,I13,H13*(N13-M13)/30),I13)</f>
        <v>226820</v>
      </c>
    </row>
    <row r="14" spans="1:19">
      <c r="A14" s="184" t="s">
        <v>3456</v>
      </c>
      <c r="B14" s="178">
        <f t="shared" si="0"/>
        <v>2</v>
      </c>
      <c r="C14" s="185">
        <v>2</v>
      </c>
      <c r="D14" s="190" t="s">
        <v>3620</v>
      </c>
      <c r="E14" s="114" t="s">
        <v>3621</v>
      </c>
      <c r="F14" s="114" t="s">
        <v>3622</v>
      </c>
      <c r="G14" s="114" t="s">
        <v>3623</v>
      </c>
      <c r="H14" s="194">
        <v>2970000</v>
      </c>
      <c r="I14" s="193">
        <v>29700000</v>
      </c>
      <c r="J14" s="186" t="e">
        <f>INDEX([3]Summary!G:G,MATCH(A14,[3]Summary!A:A,0))*H14</f>
        <v>#N/A</v>
      </c>
      <c r="K14" s="114" t="s">
        <v>2817</v>
      </c>
      <c r="L14" s="114" t="s">
        <v>3569</v>
      </c>
      <c r="M14" s="182" t="e">
        <f>INDEX([3]Summary!B:B,MATCH(A14,[3]Summary!A:A,0))</f>
        <v>#N/A</v>
      </c>
      <c r="N14" s="176">
        <v>44196</v>
      </c>
      <c r="P14" s="183">
        <f>IF(N14=$Q$1,I14,H14*(N14-M14)/30)</f>
        <v>29700000</v>
      </c>
    </row>
    <row r="15" spans="1:19">
      <c r="A15" s="184" t="s">
        <v>3456</v>
      </c>
      <c r="B15" s="178">
        <f t="shared" si="0"/>
        <v>2</v>
      </c>
      <c r="C15" s="185">
        <v>3</v>
      </c>
      <c r="D15" s="190" t="s">
        <v>3624</v>
      </c>
      <c r="E15" s="114" t="s">
        <v>3625</v>
      </c>
      <c r="F15" s="114" t="s">
        <v>3626</v>
      </c>
      <c r="G15" s="195" t="s">
        <v>3627</v>
      </c>
      <c r="H15" s="194">
        <v>2358061.0689187055</v>
      </c>
      <c r="I15" s="193">
        <v>42445099.240536697</v>
      </c>
      <c r="J15" s="186" t="e">
        <f>INDEX([3]Summary!G:G,MATCH(A15,[3]Summary!A:A,0))*H15</f>
        <v>#N/A</v>
      </c>
      <c r="K15" s="114" t="s">
        <v>2914</v>
      </c>
      <c r="L15" s="114" t="s">
        <v>3606</v>
      </c>
      <c r="M15" s="182" t="e">
        <f>INDEX([3]Summary!B:B,MATCH(A15,[3]Summary!A:A,0))</f>
        <v>#N/A</v>
      </c>
      <c r="N15" s="176">
        <v>44196</v>
      </c>
      <c r="P15" s="183">
        <f>IF(N15=$Q$1,I15,H15*(N15-M15)/30)</f>
        <v>42445099.240536697</v>
      </c>
    </row>
    <row r="16" spans="1:19">
      <c r="A16" s="184" t="s">
        <v>3456</v>
      </c>
      <c r="B16" s="178">
        <f t="shared" si="0"/>
        <v>2</v>
      </c>
      <c r="C16" s="185">
        <v>4</v>
      </c>
      <c r="D16" s="114" t="s">
        <v>3628</v>
      </c>
      <c r="E16" s="114" t="s">
        <v>3629</v>
      </c>
      <c r="F16" s="114" t="s">
        <v>3630</v>
      </c>
      <c r="G16" s="114" t="s">
        <v>3631</v>
      </c>
      <c r="H16" s="193">
        <v>86943</v>
      </c>
      <c r="I16" s="193">
        <v>956373</v>
      </c>
      <c r="J16" s="186" t="e">
        <f>INDEX([3]Summary!G:G,MATCH(A16,[3]Summary!A:A,0))*H16</f>
        <v>#N/A</v>
      </c>
      <c r="K16" s="114" t="s">
        <v>2914</v>
      </c>
      <c r="L16" s="114" t="s">
        <v>3575</v>
      </c>
      <c r="M16" s="182" t="e">
        <f>INDEX([3]Summary!B:B,MATCH(A16,[3]Summary!A:A,0))</f>
        <v>#N/A</v>
      </c>
      <c r="N16" s="176">
        <v>44196</v>
      </c>
      <c r="P16" s="183">
        <f>IF(N16=$Q$1,I16,H16*(N16-M16)/30)</f>
        <v>956373</v>
      </c>
    </row>
    <row r="17" spans="1:16">
      <c r="A17" s="184" t="s">
        <v>3456</v>
      </c>
      <c r="B17" s="178">
        <f t="shared" si="0"/>
        <v>2</v>
      </c>
      <c r="C17" s="185">
        <v>5</v>
      </c>
      <c r="D17" s="114" t="s">
        <v>3632</v>
      </c>
      <c r="E17" s="114" t="s">
        <v>3633</v>
      </c>
      <c r="F17" s="114" t="s">
        <v>3634</v>
      </c>
      <c r="G17" s="114" t="s">
        <v>3635</v>
      </c>
      <c r="H17" s="193">
        <v>964666.67</v>
      </c>
      <c r="I17" s="193">
        <v>10611333.370000001</v>
      </c>
      <c r="J17" s="186" t="e">
        <f>INDEX([3]Summary!G:G,MATCH(A17,[3]Summary!A:A,0))*H17</f>
        <v>#N/A</v>
      </c>
      <c r="K17" s="114" t="s">
        <v>2914</v>
      </c>
      <c r="L17" s="114" t="s">
        <v>3575</v>
      </c>
      <c r="M17" s="182" t="e">
        <f>INDEX([3]Summary!B:B,MATCH(A17,[3]Summary!A:A,0))</f>
        <v>#N/A</v>
      </c>
      <c r="N17" s="176">
        <v>44043</v>
      </c>
      <c r="P17" s="183">
        <f>IFERROR(IF(N17=$Q$1,I17,H17*(N17-M17)/30),I17)</f>
        <v>10611333.370000001</v>
      </c>
    </row>
    <row r="18" spans="1:16">
      <c r="A18" s="184" t="s">
        <v>3456</v>
      </c>
      <c r="B18" s="178">
        <f t="shared" si="0"/>
        <v>2</v>
      </c>
      <c r="C18" s="185">
        <v>6</v>
      </c>
      <c r="D18" s="190" t="s">
        <v>3636</v>
      </c>
      <c r="E18" s="114" t="s">
        <v>3637</v>
      </c>
      <c r="F18" s="114" t="s">
        <v>3638</v>
      </c>
      <c r="G18" s="114" t="s">
        <v>3639</v>
      </c>
      <c r="H18" s="193">
        <v>415750</v>
      </c>
      <c r="I18" s="193">
        <v>4573250</v>
      </c>
      <c r="J18" s="186" t="e">
        <f>INDEX([3]Summary!G:G,MATCH(A18,[3]Summary!A:A,0))*H18</f>
        <v>#N/A</v>
      </c>
      <c r="K18" s="114" t="s">
        <v>2914</v>
      </c>
      <c r="L18" s="114" t="s">
        <v>3614</v>
      </c>
      <c r="M18" s="182" t="e">
        <f>INDEX([3]Summary!B:B,MATCH(A18,[3]Summary!A:A,0))</f>
        <v>#N/A</v>
      </c>
      <c r="N18" s="176">
        <v>44196</v>
      </c>
      <c r="P18" s="183">
        <f t="shared" ref="P18:P35" si="2">IF(N18=$Q$1,I18,H18*(N18-M18)/30)</f>
        <v>4573250</v>
      </c>
    </row>
    <row r="19" spans="1:16">
      <c r="A19" s="184" t="s">
        <v>3456</v>
      </c>
      <c r="B19" s="178">
        <f t="shared" si="0"/>
        <v>2</v>
      </c>
      <c r="C19" s="185">
        <v>7</v>
      </c>
      <c r="D19" s="187" t="s">
        <v>3418</v>
      </c>
      <c r="E19" s="187" t="s">
        <v>3640</v>
      </c>
      <c r="F19" s="114" t="s">
        <v>3641</v>
      </c>
      <c r="G19" s="114" t="s">
        <v>3510</v>
      </c>
      <c r="H19" s="186">
        <v>0</v>
      </c>
      <c r="I19" s="186">
        <v>0</v>
      </c>
      <c r="J19" s="186" t="e">
        <f>INDEX([3]Summary!G:G,MATCH(A19,[3]Summary!A:A,0))*H19</f>
        <v>#N/A</v>
      </c>
      <c r="K19" s="189" t="s">
        <v>2854</v>
      </c>
      <c r="L19" s="188" t="s">
        <v>3588</v>
      </c>
      <c r="M19" s="182" t="e">
        <f>INDEX([3]Summary!B:B,MATCH(A19,[3]Summary!A:A,0))</f>
        <v>#N/A</v>
      </c>
      <c r="P19" s="183" t="e">
        <f t="shared" si="2"/>
        <v>#N/A</v>
      </c>
    </row>
    <row r="20" spans="1:16">
      <c r="A20" s="184" t="s">
        <v>3456</v>
      </c>
      <c r="B20" s="178">
        <f t="shared" si="0"/>
        <v>2</v>
      </c>
      <c r="C20" s="185">
        <v>8</v>
      </c>
      <c r="D20" s="114" t="s">
        <v>3447</v>
      </c>
      <c r="E20" s="114" t="s">
        <v>3642</v>
      </c>
      <c r="F20" s="114" t="s">
        <v>3643</v>
      </c>
      <c r="G20" s="114" t="s">
        <v>3644</v>
      </c>
      <c r="H20" s="193">
        <v>12900</v>
      </c>
      <c r="I20" s="193">
        <v>141900</v>
      </c>
      <c r="J20" s="186" t="e">
        <f>INDEX([3]Summary!G:G,MATCH(A20,[3]Summary!A:A,0))*H20</f>
        <v>#N/A</v>
      </c>
      <c r="K20" s="189" t="s">
        <v>2854</v>
      </c>
      <c r="L20" s="114" t="s">
        <v>3575</v>
      </c>
      <c r="M20" s="182" t="e">
        <f>INDEX([3]Summary!B:B,MATCH(A20,[3]Summary!A:A,0))</f>
        <v>#N/A</v>
      </c>
      <c r="N20" s="182">
        <v>44196</v>
      </c>
      <c r="P20" s="183">
        <f t="shared" si="2"/>
        <v>141900</v>
      </c>
    </row>
    <row r="21" spans="1:16">
      <c r="A21" s="184" t="s">
        <v>3456</v>
      </c>
      <c r="B21" s="178">
        <f t="shared" si="0"/>
        <v>2</v>
      </c>
      <c r="C21" s="185">
        <v>9</v>
      </c>
      <c r="D21" s="190" t="s">
        <v>3645</v>
      </c>
      <c r="E21" s="196" t="s">
        <v>3646</v>
      </c>
      <c r="F21" s="114" t="s">
        <v>3647</v>
      </c>
      <c r="G21" s="114" t="s">
        <v>3648</v>
      </c>
      <c r="H21" s="193">
        <v>3409000</v>
      </c>
      <c r="I21" s="193">
        <v>37499000</v>
      </c>
      <c r="J21" s="186" t="e">
        <f>INDEX([3]Summary!G:G,MATCH(A21,[3]Summary!A:A,0))*H21</f>
        <v>#N/A</v>
      </c>
      <c r="K21" s="189" t="s">
        <v>2854</v>
      </c>
      <c r="L21" s="114" t="s">
        <v>3600</v>
      </c>
      <c r="M21" s="182" t="e">
        <f>INDEX([3]Summary!B:B,MATCH(A21,[3]Summary!A:A,0))</f>
        <v>#N/A</v>
      </c>
      <c r="N21" s="182">
        <v>44196</v>
      </c>
      <c r="O21" t="s">
        <v>3649</v>
      </c>
      <c r="P21" s="183">
        <f t="shared" si="2"/>
        <v>37499000</v>
      </c>
    </row>
    <row r="22" spans="1:16">
      <c r="A22" s="184" t="s">
        <v>3456</v>
      </c>
      <c r="B22" s="178">
        <f t="shared" si="0"/>
        <v>2</v>
      </c>
      <c r="C22" s="185">
        <v>10</v>
      </c>
      <c r="D22" s="190" t="s">
        <v>3650</v>
      </c>
      <c r="E22" s="114" t="s">
        <v>3651</v>
      </c>
      <c r="F22" s="114" t="s">
        <v>3652</v>
      </c>
      <c r="G22" s="114" t="s">
        <v>3653</v>
      </c>
      <c r="H22" s="193">
        <v>6810000</v>
      </c>
      <c r="I22" s="193">
        <v>74910000</v>
      </c>
      <c r="J22" s="186" t="e">
        <f>INDEX([3]Summary!G:G,MATCH(A22,[3]Summary!A:A,0))*H22</f>
        <v>#N/A</v>
      </c>
      <c r="K22" s="114" t="s">
        <v>2773</v>
      </c>
      <c r="L22" s="114" t="s">
        <v>3595</v>
      </c>
      <c r="M22" s="182" t="e">
        <f>INDEX([3]Summary!B:B,MATCH(A22,[3]Summary!A:A,0))</f>
        <v>#N/A</v>
      </c>
      <c r="N22" s="182">
        <v>44196</v>
      </c>
      <c r="P22" s="183">
        <f t="shared" si="2"/>
        <v>74910000</v>
      </c>
    </row>
    <row r="23" spans="1:16">
      <c r="A23" s="184" t="s">
        <v>3456</v>
      </c>
      <c r="B23" s="178">
        <f t="shared" si="0"/>
        <v>2</v>
      </c>
      <c r="C23" s="185">
        <v>11</v>
      </c>
      <c r="D23" s="114" t="s">
        <v>3654</v>
      </c>
      <c r="E23" s="114" t="s">
        <v>3655</v>
      </c>
      <c r="F23" s="114" t="s">
        <v>3656</v>
      </c>
      <c r="G23" s="114" t="s">
        <v>3657</v>
      </c>
      <c r="H23" s="193">
        <v>477000</v>
      </c>
      <c r="I23" s="193">
        <v>5247000</v>
      </c>
      <c r="J23" s="186" t="e">
        <f>INDEX([3]Summary!G:G,MATCH(A23,[3]Summary!A:A,0))*H23</f>
        <v>#N/A</v>
      </c>
      <c r="K23" s="114" t="s">
        <v>2773</v>
      </c>
      <c r="L23" s="114" t="s">
        <v>3575</v>
      </c>
      <c r="M23" s="182" t="e">
        <f>INDEX([3]Summary!B:B,MATCH(A23,[3]Summary!A:A,0))</f>
        <v>#N/A</v>
      </c>
      <c r="N23" s="182">
        <v>43922</v>
      </c>
      <c r="P23" s="183" t="e">
        <f t="shared" si="2"/>
        <v>#N/A</v>
      </c>
    </row>
    <row r="24" spans="1:16">
      <c r="A24" s="184" t="s">
        <v>3456</v>
      </c>
      <c r="B24" s="178">
        <f t="shared" si="0"/>
        <v>2</v>
      </c>
      <c r="C24" s="185">
        <v>12</v>
      </c>
      <c r="D24" s="187" t="s">
        <v>3658</v>
      </c>
      <c r="E24" s="187" t="s">
        <v>3659</v>
      </c>
      <c r="F24" s="114" t="s">
        <v>3660</v>
      </c>
      <c r="G24" s="114" t="s">
        <v>3661</v>
      </c>
      <c r="H24" s="186">
        <v>0</v>
      </c>
      <c r="I24" s="186">
        <v>0</v>
      </c>
      <c r="J24" s="186" t="e">
        <f>INDEX([3]Summary!G:G,MATCH(A24,[3]Summary!A:A,0))*H24</f>
        <v>#N/A</v>
      </c>
      <c r="K24" s="114" t="s">
        <v>2914</v>
      </c>
      <c r="L24" s="188" t="s">
        <v>3588</v>
      </c>
      <c r="M24" s="182" t="e">
        <f>INDEX([3]Summary!B:B,MATCH(A24,[3]Summary!A:A,0))</f>
        <v>#N/A</v>
      </c>
      <c r="P24" s="183" t="e">
        <f t="shared" si="2"/>
        <v>#N/A</v>
      </c>
    </row>
    <row r="25" spans="1:16">
      <c r="A25" s="184" t="s">
        <v>3456</v>
      </c>
      <c r="B25" s="178">
        <f t="shared" si="0"/>
        <v>2</v>
      </c>
      <c r="C25" s="185">
        <v>13</v>
      </c>
      <c r="D25" s="187" t="s">
        <v>3662</v>
      </c>
      <c r="E25" s="187" t="s">
        <v>3663</v>
      </c>
      <c r="F25" s="114" t="s">
        <v>3664</v>
      </c>
      <c r="G25" s="114" t="s">
        <v>3665</v>
      </c>
      <c r="H25" s="186">
        <v>0</v>
      </c>
      <c r="I25" s="186">
        <v>0</v>
      </c>
      <c r="J25" s="186" t="e">
        <f>INDEX([3]Summary!G:G,MATCH(A25,[3]Summary!A:A,0))*H25</f>
        <v>#N/A</v>
      </c>
      <c r="K25" s="114" t="s">
        <v>2914</v>
      </c>
      <c r="L25" s="188" t="s">
        <v>3588</v>
      </c>
      <c r="M25" s="182" t="e">
        <f>INDEX([3]Summary!B:B,MATCH(A25,[3]Summary!A:A,0))</f>
        <v>#N/A</v>
      </c>
      <c r="P25" s="183" t="e">
        <f t="shared" si="2"/>
        <v>#N/A</v>
      </c>
    </row>
    <row r="26" spans="1:16">
      <c r="A26" s="184" t="s">
        <v>3490</v>
      </c>
      <c r="B26" s="178">
        <f t="shared" si="0"/>
        <v>3</v>
      </c>
      <c r="C26" s="185">
        <v>1</v>
      </c>
      <c r="D26" s="189" t="s">
        <v>3666</v>
      </c>
      <c r="E26" s="114" t="s">
        <v>3667</v>
      </c>
      <c r="F26" s="114" t="s">
        <v>3668</v>
      </c>
      <c r="G26" s="114" t="s">
        <v>3669</v>
      </c>
      <c r="H26" s="193">
        <v>17220</v>
      </c>
      <c r="I26" s="193">
        <v>189420</v>
      </c>
      <c r="J26" s="186" t="e">
        <f>INDEX([3]Summary!G:G,MATCH(A26,[3]Summary!A:A,0))*H26</f>
        <v>#N/A</v>
      </c>
      <c r="K26" s="114" t="s">
        <v>3619</v>
      </c>
      <c r="L26" s="114" t="s">
        <v>3575</v>
      </c>
      <c r="M26" s="182" t="e">
        <f>INDEX([3]Summary!B:B,MATCH(A26,[3]Summary!A:A,0))</f>
        <v>#N/A</v>
      </c>
      <c r="N26" s="176">
        <v>44196</v>
      </c>
      <c r="P26" s="183">
        <f t="shared" si="2"/>
        <v>189420</v>
      </c>
    </row>
    <row r="27" spans="1:16">
      <c r="A27" s="184" t="s">
        <v>3490</v>
      </c>
      <c r="B27" s="178">
        <f t="shared" si="0"/>
        <v>3</v>
      </c>
      <c r="C27" s="185">
        <v>2</v>
      </c>
      <c r="D27" s="197" t="s">
        <v>3670</v>
      </c>
      <c r="E27" s="114" t="s">
        <v>3671</v>
      </c>
      <c r="F27" s="114" t="s">
        <v>3672</v>
      </c>
      <c r="G27" s="114" t="s">
        <v>3673</v>
      </c>
      <c r="H27" s="193">
        <v>371800</v>
      </c>
      <c r="I27" s="193">
        <v>4089800</v>
      </c>
      <c r="J27" s="186" t="e">
        <f>INDEX([3]Summary!G:G,MATCH(A27,[3]Summary!A:A,0))*H27</f>
        <v>#N/A</v>
      </c>
      <c r="K27" s="114" t="s">
        <v>2817</v>
      </c>
      <c r="L27" s="114" t="s">
        <v>3606</v>
      </c>
      <c r="M27" s="182" t="e">
        <f>INDEX([3]Summary!B:B,MATCH(A27,[3]Summary!A:A,0))</f>
        <v>#N/A</v>
      </c>
      <c r="N27" s="176">
        <v>44196</v>
      </c>
      <c r="P27" s="183">
        <f t="shared" si="2"/>
        <v>4089800</v>
      </c>
    </row>
    <row r="28" spans="1:16">
      <c r="A28" s="184" t="s">
        <v>3490</v>
      </c>
      <c r="B28" s="178">
        <f t="shared" si="0"/>
        <v>3</v>
      </c>
      <c r="C28" s="185">
        <v>3</v>
      </c>
      <c r="D28" s="189" t="s">
        <v>3674</v>
      </c>
      <c r="E28" s="114" t="s">
        <v>3675</v>
      </c>
      <c r="F28" s="114" t="s">
        <v>3676</v>
      </c>
      <c r="G28" s="114" t="s">
        <v>3677</v>
      </c>
      <c r="H28" s="193"/>
      <c r="I28" s="193">
        <v>0</v>
      </c>
      <c r="J28" s="186" t="e">
        <f>INDEX([3]Summary!G:G,MATCH(A28,[3]Summary!A:A,0))*H28</f>
        <v>#N/A</v>
      </c>
      <c r="K28" s="114" t="s">
        <v>2914</v>
      </c>
      <c r="L28" s="114" t="s">
        <v>3575</v>
      </c>
      <c r="M28" s="182" t="e">
        <f>INDEX([3]Summary!B:B,MATCH(A28,[3]Summary!A:A,0))</f>
        <v>#N/A</v>
      </c>
      <c r="N28" s="176">
        <v>44196</v>
      </c>
      <c r="P28" s="183">
        <f t="shared" si="2"/>
        <v>0</v>
      </c>
    </row>
    <row r="29" spans="1:16">
      <c r="A29" s="184" t="s">
        <v>3490</v>
      </c>
      <c r="B29" s="178">
        <f t="shared" si="0"/>
        <v>3</v>
      </c>
      <c r="C29" s="185">
        <v>4</v>
      </c>
      <c r="D29" s="188" t="s">
        <v>3678</v>
      </c>
      <c r="E29" s="187" t="s">
        <v>3679</v>
      </c>
      <c r="F29" s="114" t="s">
        <v>3680</v>
      </c>
      <c r="G29" s="114" t="s">
        <v>3510</v>
      </c>
      <c r="H29" s="186">
        <v>0</v>
      </c>
      <c r="I29" s="186">
        <v>0</v>
      </c>
      <c r="J29" s="186" t="e">
        <f>INDEX([3]Summary!G:G,MATCH(A29,[3]Summary!A:A,0))*H29</f>
        <v>#N/A</v>
      </c>
      <c r="K29" s="114" t="s">
        <v>2914</v>
      </c>
      <c r="L29" s="188" t="s">
        <v>3588</v>
      </c>
      <c r="M29" s="182" t="e">
        <f>INDEX([3]Summary!B:B,MATCH(A29,[3]Summary!A:A,0))</f>
        <v>#N/A</v>
      </c>
      <c r="P29" s="183" t="e">
        <f t="shared" si="2"/>
        <v>#N/A</v>
      </c>
    </row>
    <row r="30" spans="1:16">
      <c r="A30" s="184" t="s">
        <v>3490</v>
      </c>
      <c r="B30" s="178">
        <f t="shared" si="0"/>
        <v>3</v>
      </c>
      <c r="C30" s="185">
        <v>5</v>
      </c>
      <c r="D30" s="197" t="s">
        <v>3681</v>
      </c>
      <c r="E30" s="114" t="s">
        <v>3682</v>
      </c>
      <c r="F30" s="114" t="s">
        <v>3683</v>
      </c>
      <c r="G30" s="114" t="s">
        <v>3684</v>
      </c>
      <c r="H30" s="193">
        <v>724280</v>
      </c>
      <c r="I30" s="193">
        <v>7967080</v>
      </c>
      <c r="J30" s="186" t="e">
        <f>INDEX([3]Summary!G:G,MATCH(A30,[3]Summary!A:A,0))*H30</f>
        <v>#N/A</v>
      </c>
      <c r="K30" s="114" t="s">
        <v>2914</v>
      </c>
      <c r="L30" s="114" t="s">
        <v>3614</v>
      </c>
      <c r="M30" s="182" t="e">
        <f>INDEX([3]Summary!B:B,MATCH(A30,[3]Summary!A:A,0))</f>
        <v>#N/A</v>
      </c>
      <c r="N30" s="176">
        <v>44196</v>
      </c>
      <c r="P30" s="183">
        <f t="shared" si="2"/>
        <v>7967080</v>
      </c>
    </row>
    <row r="31" spans="1:16">
      <c r="A31" s="184" t="s">
        <v>3490</v>
      </c>
      <c r="B31" s="178">
        <f t="shared" si="0"/>
        <v>3</v>
      </c>
      <c r="C31" s="185">
        <v>6</v>
      </c>
      <c r="D31" s="189" t="s">
        <v>3685</v>
      </c>
      <c r="E31" s="114" t="s">
        <v>3686</v>
      </c>
      <c r="F31" s="114" t="s">
        <v>3687</v>
      </c>
      <c r="G31" s="114" t="s">
        <v>3688</v>
      </c>
      <c r="H31" s="193">
        <v>41467</v>
      </c>
      <c r="I31" s="193">
        <v>456137</v>
      </c>
      <c r="J31" s="186" t="e">
        <f>INDEX([3]Summary!G:G,MATCH(A31,[3]Summary!A:A,0))*H31</f>
        <v>#N/A</v>
      </c>
      <c r="K31" s="114" t="s">
        <v>2914</v>
      </c>
      <c r="L31" s="114" t="s">
        <v>3575</v>
      </c>
      <c r="M31" s="182" t="e">
        <f>INDEX([3]Summary!B:B,MATCH(A31,[3]Summary!A:A,0))</f>
        <v>#N/A</v>
      </c>
      <c r="N31" s="176">
        <v>44196</v>
      </c>
      <c r="P31" s="183">
        <f t="shared" si="2"/>
        <v>456137</v>
      </c>
    </row>
    <row r="32" spans="1:16">
      <c r="A32" s="184" t="s">
        <v>3490</v>
      </c>
      <c r="B32" s="178">
        <f t="shared" si="0"/>
        <v>3</v>
      </c>
      <c r="C32" s="185">
        <v>7</v>
      </c>
      <c r="D32" s="188" t="s">
        <v>3689</v>
      </c>
      <c r="E32" s="187" t="s">
        <v>3690</v>
      </c>
      <c r="F32" s="114" t="s">
        <v>3691</v>
      </c>
      <c r="G32" s="114" t="s">
        <v>3510</v>
      </c>
      <c r="H32" s="186">
        <v>0</v>
      </c>
      <c r="I32" s="186">
        <v>0</v>
      </c>
      <c r="J32" s="186" t="e">
        <f>INDEX([3]Summary!G:G,MATCH(A32,[3]Summary!A:A,0))*H32</f>
        <v>#N/A</v>
      </c>
      <c r="K32" s="114" t="s">
        <v>2914</v>
      </c>
      <c r="L32" s="188" t="s">
        <v>3588</v>
      </c>
      <c r="M32" s="182" t="e">
        <f>INDEX([3]Summary!B:B,MATCH(A32,[3]Summary!A:A,0))</f>
        <v>#N/A</v>
      </c>
      <c r="P32" s="183" t="e">
        <f t="shared" si="2"/>
        <v>#N/A</v>
      </c>
    </row>
    <row r="33" spans="1:16">
      <c r="A33" s="184" t="s">
        <v>3490</v>
      </c>
      <c r="B33" s="178">
        <f t="shared" si="0"/>
        <v>3</v>
      </c>
      <c r="C33" s="185">
        <v>8</v>
      </c>
      <c r="D33" s="188" t="s">
        <v>3418</v>
      </c>
      <c r="E33" s="187" t="s">
        <v>3692</v>
      </c>
      <c r="F33" s="114" t="s">
        <v>3693</v>
      </c>
      <c r="G33" s="114" t="s">
        <v>3510</v>
      </c>
      <c r="H33" s="186">
        <v>0</v>
      </c>
      <c r="I33" s="186">
        <v>0</v>
      </c>
      <c r="J33" s="186" t="e">
        <f>INDEX([3]Summary!G:G,MATCH(A33,[3]Summary!A:A,0))*H33</f>
        <v>#N/A</v>
      </c>
      <c r="K33" s="189" t="s">
        <v>2854</v>
      </c>
      <c r="L33" s="188" t="s">
        <v>3588</v>
      </c>
      <c r="M33" s="182" t="e">
        <f>INDEX([3]Summary!B:B,MATCH(A33,[3]Summary!A:A,0))</f>
        <v>#N/A</v>
      </c>
      <c r="P33" s="183" t="e">
        <f t="shared" si="2"/>
        <v>#N/A</v>
      </c>
    </row>
    <row r="34" spans="1:16">
      <c r="A34" s="184" t="s">
        <v>3490</v>
      </c>
      <c r="B34" s="178">
        <f t="shared" si="0"/>
        <v>3</v>
      </c>
      <c r="C34" s="185">
        <v>9</v>
      </c>
      <c r="D34" s="197" t="s">
        <v>3447</v>
      </c>
      <c r="E34" s="114" t="s">
        <v>3694</v>
      </c>
      <c r="F34" s="114" t="s">
        <v>3695</v>
      </c>
      <c r="G34" s="114" t="s">
        <v>3696</v>
      </c>
      <c r="H34" s="193">
        <v>622500</v>
      </c>
      <c r="I34" s="193">
        <v>6847500</v>
      </c>
      <c r="J34" s="186" t="e">
        <f>INDEX([3]Summary!G:G,MATCH(A34,[3]Summary!A:A,0))*H34</f>
        <v>#N/A</v>
      </c>
      <c r="K34" s="189" t="s">
        <v>2854</v>
      </c>
      <c r="L34" s="189" t="s">
        <v>3569</v>
      </c>
      <c r="M34" s="182" t="e">
        <f>INDEX([3]Summary!B:B,MATCH(A34,[3]Summary!A:A,0))</f>
        <v>#N/A</v>
      </c>
      <c r="N34" s="182">
        <v>44196</v>
      </c>
      <c r="P34" s="183">
        <f t="shared" si="2"/>
        <v>6847500</v>
      </c>
    </row>
    <row r="35" spans="1:16">
      <c r="A35" s="184" t="s">
        <v>3490</v>
      </c>
      <c r="B35" s="178">
        <f t="shared" si="0"/>
        <v>3</v>
      </c>
      <c r="C35" s="185">
        <v>10</v>
      </c>
      <c r="D35" s="188" t="s">
        <v>3697</v>
      </c>
      <c r="E35" s="187" t="s">
        <v>3698</v>
      </c>
      <c r="F35" s="114" t="s">
        <v>3699</v>
      </c>
      <c r="G35" s="114" t="s">
        <v>3510</v>
      </c>
      <c r="H35" s="186">
        <v>0</v>
      </c>
      <c r="I35" s="186">
        <v>0</v>
      </c>
      <c r="J35" s="186" t="e">
        <f>INDEX([3]Summary!G:G,MATCH(A35,[3]Summary!A:A,0))*H35</f>
        <v>#N/A</v>
      </c>
      <c r="K35" s="189" t="s">
        <v>2854</v>
      </c>
      <c r="L35" s="188" t="s">
        <v>3588</v>
      </c>
      <c r="M35" s="182" t="e">
        <f>INDEX([3]Summary!B:B,MATCH(A35,[3]Summary!A:A,0))</f>
        <v>#N/A</v>
      </c>
      <c r="N35" s="182">
        <v>44196</v>
      </c>
      <c r="P35" s="183">
        <f t="shared" si="2"/>
        <v>0</v>
      </c>
    </row>
    <row r="36" spans="1:16">
      <c r="A36" s="184" t="s">
        <v>3490</v>
      </c>
      <c r="B36" s="178">
        <f t="shared" si="0"/>
        <v>3</v>
      </c>
      <c r="C36" s="185">
        <v>11</v>
      </c>
      <c r="D36" s="189" t="s">
        <v>3700</v>
      </c>
      <c r="E36" s="114" t="s">
        <v>3701</v>
      </c>
      <c r="F36" s="114" t="s">
        <v>3702</v>
      </c>
      <c r="G36" s="114" t="s">
        <v>3703</v>
      </c>
      <c r="H36" s="193">
        <v>0</v>
      </c>
      <c r="I36" s="193" t="s">
        <v>3704</v>
      </c>
      <c r="J36" s="186" t="e">
        <f>INDEX([3]Summary!G:G,MATCH(A36,[3]Summary!A:A,0))*H36</f>
        <v>#N/A</v>
      </c>
      <c r="K36" s="114" t="s">
        <v>2773</v>
      </c>
      <c r="L36" s="114" t="s">
        <v>3575</v>
      </c>
      <c r="M36" s="182" t="e">
        <f>INDEX([3]Summary!B:B,MATCH(A36,[3]Summary!A:A,0))</f>
        <v>#N/A</v>
      </c>
      <c r="N36" s="182">
        <v>44196</v>
      </c>
      <c r="P36" s="183"/>
    </row>
    <row r="37" spans="1:16">
      <c r="A37" s="184" t="s">
        <v>3490</v>
      </c>
      <c r="B37" s="178">
        <f t="shared" si="0"/>
        <v>3</v>
      </c>
      <c r="C37" s="185">
        <v>12</v>
      </c>
      <c r="D37" s="189" t="s">
        <v>3705</v>
      </c>
      <c r="E37" s="114" t="s">
        <v>3706</v>
      </c>
      <c r="F37" s="114" t="s">
        <v>3707</v>
      </c>
      <c r="G37" s="114" t="s">
        <v>3707</v>
      </c>
      <c r="H37" s="193">
        <v>234545.45454545456</v>
      </c>
      <c r="I37" s="193">
        <v>2580000</v>
      </c>
      <c r="J37" s="186" t="e">
        <f>INDEX([3]Summary!G:G,MATCH(A37,[3]Summary!A:A,0))*H37</f>
        <v>#N/A</v>
      </c>
      <c r="K37" s="114" t="s">
        <v>2773</v>
      </c>
      <c r="L37" s="114" t="s">
        <v>3575</v>
      </c>
      <c r="M37" s="182" t="e">
        <f>INDEX([3]Summary!B:B,MATCH(A37,[3]Summary!A:A,0))</f>
        <v>#N/A</v>
      </c>
      <c r="N37" s="182">
        <v>44196</v>
      </c>
      <c r="P37" s="183">
        <f t="shared" ref="P37:P47" si="3">IF(N37=$Q$1,I37,H37*(N37-M37)/30)</f>
        <v>2580000</v>
      </c>
    </row>
    <row r="38" spans="1:16">
      <c r="A38" s="184" t="s">
        <v>3490</v>
      </c>
      <c r="B38" s="178">
        <f t="shared" si="0"/>
        <v>3</v>
      </c>
      <c r="C38" s="185">
        <v>13</v>
      </c>
      <c r="D38" s="189" t="s">
        <v>3708</v>
      </c>
      <c r="E38" s="114" t="s">
        <v>3709</v>
      </c>
      <c r="F38" s="114" t="s">
        <v>3710</v>
      </c>
      <c r="G38" s="114" t="s">
        <v>3711</v>
      </c>
      <c r="H38" s="193">
        <v>240000</v>
      </c>
      <c r="I38" s="193">
        <v>2640000</v>
      </c>
      <c r="J38" s="186" t="e">
        <f>INDEX([3]Summary!G:G,MATCH(A38,[3]Summary!A:A,0))*H38</f>
        <v>#N/A</v>
      </c>
      <c r="K38" s="114" t="s">
        <v>2914</v>
      </c>
      <c r="L38" s="114" t="s">
        <v>3575</v>
      </c>
      <c r="M38" s="182" t="e">
        <f>INDEX([3]Summary!B:B,MATCH(A38,[3]Summary!A:A,0))</f>
        <v>#N/A</v>
      </c>
      <c r="N38" s="176">
        <v>44196</v>
      </c>
      <c r="P38" s="183">
        <f t="shared" si="3"/>
        <v>2640000</v>
      </c>
    </row>
    <row r="39" spans="1:16">
      <c r="A39" s="184" t="s">
        <v>3490</v>
      </c>
      <c r="B39" s="178">
        <f t="shared" si="0"/>
        <v>3</v>
      </c>
      <c r="C39" s="185">
        <v>14</v>
      </c>
      <c r="D39" s="197" t="s">
        <v>3712</v>
      </c>
      <c r="E39" s="114" t="s">
        <v>3713</v>
      </c>
      <c r="F39" s="114" t="s">
        <v>3714</v>
      </c>
      <c r="G39" s="114" t="s">
        <v>3715</v>
      </c>
      <c r="H39" s="194">
        <v>3986400</v>
      </c>
      <c r="I39" s="193">
        <v>43850400</v>
      </c>
      <c r="J39" s="186" t="e">
        <f>INDEX([3]Summary!G:G,MATCH(A39,[3]Summary!A:A,0))*H39</f>
        <v>#N/A</v>
      </c>
      <c r="K39" s="114" t="s">
        <v>2817</v>
      </c>
      <c r="L39" s="114" t="s">
        <v>3600</v>
      </c>
      <c r="M39" s="182" t="e">
        <f>INDEX([3]Summary!B:B,MATCH(A39,[3]Summary!A:A,0))</f>
        <v>#N/A</v>
      </c>
      <c r="N39" s="176">
        <v>44196</v>
      </c>
      <c r="P39" s="183">
        <f t="shared" si="3"/>
        <v>43850400</v>
      </c>
    </row>
    <row r="40" spans="1:16">
      <c r="A40" s="184" t="s">
        <v>3523</v>
      </c>
      <c r="B40" s="178">
        <f t="shared" si="0"/>
        <v>4</v>
      </c>
      <c r="C40" s="185">
        <v>1</v>
      </c>
      <c r="D40" s="197" t="s">
        <v>3716</v>
      </c>
      <c r="E40" s="114" t="s">
        <v>3717</v>
      </c>
      <c r="F40" s="114" t="s">
        <v>3718</v>
      </c>
      <c r="G40" s="114" t="s">
        <v>3719</v>
      </c>
      <c r="H40" s="194">
        <v>3606295</v>
      </c>
      <c r="I40" s="193">
        <v>36062950</v>
      </c>
      <c r="J40" s="186" t="e">
        <f>INDEX([3]Summary!G:G,MATCH(A40,[3]Summary!A:A,0))*H40</f>
        <v>#N/A</v>
      </c>
      <c r="K40" s="114" t="s">
        <v>2817</v>
      </c>
      <c r="L40" s="114" t="s">
        <v>3600</v>
      </c>
      <c r="M40" s="182" t="e">
        <f>INDEX([3]Summary!B:B,MATCH(A40,[3]Summary!A:A,0))</f>
        <v>#N/A</v>
      </c>
      <c r="N40" s="176">
        <v>44196</v>
      </c>
      <c r="P40" s="183">
        <f t="shared" si="3"/>
        <v>36062950</v>
      </c>
    </row>
    <row r="41" spans="1:16">
      <c r="A41" s="184" t="s">
        <v>3523</v>
      </c>
      <c r="B41" s="178">
        <f t="shared" si="0"/>
        <v>4</v>
      </c>
      <c r="C41" s="185">
        <v>2</v>
      </c>
      <c r="D41" s="197" t="s">
        <v>3720</v>
      </c>
      <c r="E41" s="114" t="s">
        <v>3721</v>
      </c>
      <c r="F41" s="114" t="s">
        <v>3722</v>
      </c>
      <c r="G41" s="114" t="s">
        <v>3723</v>
      </c>
      <c r="H41" s="193">
        <v>731520</v>
      </c>
      <c r="I41" s="193">
        <v>7315200</v>
      </c>
      <c r="J41" s="186" t="e">
        <f>INDEX([3]Summary!G:G,MATCH(A41,[3]Summary!A:A,0))*H41</f>
        <v>#N/A</v>
      </c>
      <c r="K41" s="114" t="s">
        <v>2914</v>
      </c>
      <c r="L41" s="114" t="s">
        <v>3606</v>
      </c>
      <c r="M41" s="182" t="e">
        <f>INDEX([3]Summary!B:B,MATCH(A41,[3]Summary!A:A,0))</f>
        <v>#N/A</v>
      </c>
      <c r="N41" s="176">
        <v>44012</v>
      </c>
      <c r="P41" s="183" t="e">
        <f t="shared" si="3"/>
        <v>#N/A</v>
      </c>
    </row>
    <row r="42" spans="1:16">
      <c r="A42" s="184" t="s">
        <v>3523</v>
      </c>
      <c r="B42" s="178">
        <f t="shared" si="0"/>
        <v>4</v>
      </c>
      <c r="C42" s="185">
        <v>3</v>
      </c>
      <c r="D42" s="188" t="s">
        <v>3724</v>
      </c>
      <c r="E42" s="187" t="s">
        <v>3725</v>
      </c>
      <c r="F42" s="114" t="s">
        <v>3726</v>
      </c>
      <c r="G42" s="114" t="s">
        <v>3510</v>
      </c>
      <c r="H42" s="186">
        <v>0</v>
      </c>
      <c r="I42" s="186">
        <v>0</v>
      </c>
      <c r="J42" s="186" t="e">
        <f>INDEX([3]Summary!G:G,MATCH(A42,[3]Summary!A:A,0))*H42</f>
        <v>#N/A</v>
      </c>
      <c r="K42" s="114" t="s">
        <v>2914</v>
      </c>
      <c r="L42" s="188" t="s">
        <v>3588</v>
      </c>
      <c r="M42" s="182" t="e">
        <f>INDEX([3]Summary!B:B,MATCH(A42,[3]Summary!A:A,0))</f>
        <v>#N/A</v>
      </c>
      <c r="P42" s="183" t="e">
        <f t="shared" si="3"/>
        <v>#N/A</v>
      </c>
    </row>
    <row r="43" spans="1:16">
      <c r="A43" s="184" t="s">
        <v>3523</v>
      </c>
      <c r="B43" s="178">
        <f t="shared" si="0"/>
        <v>4</v>
      </c>
      <c r="C43" s="185">
        <v>4</v>
      </c>
      <c r="D43" s="189" t="s">
        <v>3727</v>
      </c>
      <c r="E43" s="114" t="s">
        <v>3728</v>
      </c>
      <c r="F43" s="114" t="s">
        <v>3729</v>
      </c>
      <c r="G43" s="114" t="s">
        <v>3730</v>
      </c>
      <c r="H43" s="193">
        <v>0</v>
      </c>
      <c r="I43" s="193">
        <v>9.9999999999999995E-8</v>
      </c>
      <c r="J43" s="186" t="e">
        <f>INDEX([3]Summary!G:G,MATCH(A43,[3]Summary!A:A,0))*H43</f>
        <v>#N/A</v>
      </c>
      <c r="K43" s="114" t="s">
        <v>2914</v>
      </c>
      <c r="L43" s="114" t="s">
        <v>3575</v>
      </c>
      <c r="M43" s="182" t="e">
        <f>INDEX([3]Summary!B:B,MATCH(A43,[3]Summary!A:A,0))</f>
        <v>#N/A</v>
      </c>
      <c r="N43" s="176">
        <v>44196</v>
      </c>
      <c r="P43" s="183">
        <f t="shared" si="3"/>
        <v>9.9999999999999995E-8</v>
      </c>
    </row>
    <row r="44" spans="1:16">
      <c r="A44" s="184" t="s">
        <v>3523</v>
      </c>
      <c r="B44" s="178">
        <f t="shared" si="0"/>
        <v>4</v>
      </c>
      <c r="C44" s="185">
        <v>5</v>
      </c>
      <c r="D44" s="188" t="s">
        <v>3487</v>
      </c>
      <c r="E44" s="187" t="s">
        <v>3731</v>
      </c>
      <c r="F44" s="114" t="s">
        <v>3732</v>
      </c>
      <c r="G44" s="114" t="s">
        <v>3510</v>
      </c>
      <c r="H44" s="186">
        <v>0</v>
      </c>
      <c r="I44" s="186">
        <v>0</v>
      </c>
      <c r="J44" s="186" t="e">
        <f>INDEX([3]Summary!G:G,MATCH(A44,[3]Summary!A:A,0))*H44</f>
        <v>#N/A</v>
      </c>
      <c r="K44" s="114" t="s">
        <v>2914</v>
      </c>
      <c r="L44" s="188" t="s">
        <v>3588</v>
      </c>
      <c r="M44" s="182" t="e">
        <f>INDEX([3]Summary!B:B,MATCH(A44,[3]Summary!A:A,0))</f>
        <v>#N/A</v>
      </c>
      <c r="P44" s="183" t="e">
        <f t="shared" si="3"/>
        <v>#N/A</v>
      </c>
    </row>
    <row r="45" spans="1:16">
      <c r="A45" s="184" t="s">
        <v>3523</v>
      </c>
      <c r="B45" s="178">
        <f t="shared" si="0"/>
        <v>4</v>
      </c>
      <c r="C45" s="185">
        <v>6</v>
      </c>
      <c r="D45" s="189" t="s">
        <v>3733</v>
      </c>
      <c r="E45" s="198" t="s">
        <v>3734</v>
      </c>
      <c r="F45" s="114" t="s">
        <v>3735</v>
      </c>
      <c r="G45" s="114" t="s">
        <v>3736</v>
      </c>
      <c r="H45" s="193">
        <v>10500</v>
      </c>
      <c r="I45" s="193">
        <v>105000</v>
      </c>
      <c r="J45" s="186" t="e">
        <f>INDEX([3]Summary!G:G,MATCH(A45,[3]Summary!A:A,0))*H45</f>
        <v>#N/A</v>
      </c>
      <c r="K45" s="189" t="s">
        <v>2854</v>
      </c>
      <c r="L45" s="114" t="s">
        <v>3575</v>
      </c>
      <c r="M45" s="182" t="e">
        <f>INDEX([3]Summary!B:B,MATCH(A45,[3]Summary!A:A,0))</f>
        <v>#N/A</v>
      </c>
      <c r="N45" s="182">
        <v>44196</v>
      </c>
      <c r="P45" s="183">
        <f t="shared" si="3"/>
        <v>105000</v>
      </c>
    </row>
    <row r="46" spans="1:16">
      <c r="A46" s="184" t="s">
        <v>3523</v>
      </c>
      <c r="B46" s="178">
        <f t="shared" si="0"/>
        <v>4</v>
      </c>
      <c r="C46" s="185">
        <v>7</v>
      </c>
      <c r="D46" s="188" t="s">
        <v>3737</v>
      </c>
      <c r="E46" s="187" t="s">
        <v>3738</v>
      </c>
      <c r="F46" s="114" t="s">
        <v>3739</v>
      </c>
      <c r="G46" s="114" t="s">
        <v>3510</v>
      </c>
      <c r="H46" s="186">
        <v>0</v>
      </c>
      <c r="I46" s="186">
        <v>0</v>
      </c>
      <c r="J46" s="186" t="e">
        <f>INDEX([3]Summary!G:G,MATCH(A46,[3]Summary!A:A,0))*H46</f>
        <v>#N/A</v>
      </c>
      <c r="K46" s="114" t="s">
        <v>2773</v>
      </c>
      <c r="L46" s="188" t="s">
        <v>3588</v>
      </c>
      <c r="M46" s="182" t="e">
        <f>INDEX([3]Summary!B:B,MATCH(A46,[3]Summary!A:A,0))</f>
        <v>#N/A</v>
      </c>
      <c r="P46" s="183" t="e">
        <f t="shared" si="3"/>
        <v>#N/A</v>
      </c>
    </row>
    <row r="47" spans="1:16">
      <c r="A47" s="184" t="s">
        <v>3523</v>
      </c>
      <c r="B47" s="178">
        <f t="shared" si="0"/>
        <v>4</v>
      </c>
      <c r="C47" s="185">
        <v>8</v>
      </c>
      <c r="D47" s="197" t="s">
        <v>3740</v>
      </c>
      <c r="E47" s="114" t="s">
        <v>3741</v>
      </c>
      <c r="F47" s="114" t="s">
        <v>3742</v>
      </c>
      <c r="G47" s="114" t="s">
        <v>3743</v>
      </c>
      <c r="H47" s="193">
        <v>154933.33333333334</v>
      </c>
      <c r="I47" s="193">
        <v>1549333.3333333335</v>
      </c>
      <c r="J47" s="186" t="e">
        <f>INDEX([3]Summary!G:G,MATCH(A47,[3]Summary!A:A,0))*H47</f>
        <v>#N/A</v>
      </c>
      <c r="K47" s="114" t="s">
        <v>2773</v>
      </c>
      <c r="L47" s="114" t="s">
        <v>3569</v>
      </c>
      <c r="M47" s="182" t="e">
        <f>INDEX([3]Summary!B:B,MATCH(A47,[3]Summary!A:A,0))</f>
        <v>#N/A</v>
      </c>
      <c r="N47" s="182">
        <v>44196</v>
      </c>
      <c r="P47" s="183">
        <f t="shared" si="3"/>
        <v>1549333.3333333335</v>
      </c>
    </row>
    <row r="48" spans="1:16">
      <c r="A48" s="184" t="s">
        <v>3744</v>
      </c>
      <c r="B48" s="178">
        <f t="shared" si="0"/>
        <v>5</v>
      </c>
      <c r="C48" s="185">
        <v>1</v>
      </c>
      <c r="D48" s="197" t="s">
        <v>3745</v>
      </c>
      <c r="E48" s="189" t="s">
        <v>3746</v>
      </c>
      <c r="F48" s="189" t="s">
        <v>3747</v>
      </c>
      <c r="G48" s="189" t="s">
        <v>3748</v>
      </c>
      <c r="H48" s="193">
        <v>857333</v>
      </c>
      <c r="I48" s="193">
        <v>7715997</v>
      </c>
      <c r="J48" s="186" t="e">
        <f>INDEX([3]Summary!G:G,MATCH(A48,[3]Summary!A:A,0))*H48</f>
        <v>#N/A</v>
      </c>
      <c r="K48" s="114" t="s">
        <v>2817</v>
      </c>
      <c r="L48" s="114" t="s">
        <v>3569</v>
      </c>
      <c r="M48" s="182" t="e">
        <f>INDEX([3]Summary!B:B,MATCH(A48,[3]Summary!A:A,0))</f>
        <v>#N/A</v>
      </c>
      <c r="N48" s="176">
        <v>44196</v>
      </c>
      <c r="P48" s="183">
        <f>IFERROR(IF(N48=$Q$1,I48,H48*(N48-M48)/30),I48)</f>
        <v>7715997</v>
      </c>
    </row>
    <row r="49" spans="1:16">
      <c r="A49" s="184" t="s">
        <v>3744</v>
      </c>
      <c r="B49" s="178">
        <f t="shared" si="0"/>
        <v>5</v>
      </c>
      <c r="C49" s="185">
        <v>2</v>
      </c>
      <c r="D49" s="188" t="s">
        <v>3749</v>
      </c>
      <c r="E49" s="188" t="s">
        <v>3750</v>
      </c>
      <c r="F49" s="189" t="s">
        <v>3751</v>
      </c>
      <c r="G49" s="189"/>
      <c r="H49" s="186">
        <v>0</v>
      </c>
      <c r="I49" s="186">
        <v>0</v>
      </c>
      <c r="J49" s="186" t="e">
        <f>INDEX([3]Summary!G:G,MATCH(A49,[3]Summary!A:A,0))*H49</f>
        <v>#N/A</v>
      </c>
      <c r="K49" s="114" t="s">
        <v>2914</v>
      </c>
      <c r="L49" s="188" t="s">
        <v>3588</v>
      </c>
      <c r="M49" s="182" t="e">
        <f>INDEX([3]Summary!B:B,MATCH(A49,[3]Summary!A:A,0))</f>
        <v>#N/A</v>
      </c>
      <c r="P49" s="183" t="e">
        <f>IF(N49=$Q$1,I49,H49*(N49-M49)/30)</f>
        <v>#N/A</v>
      </c>
    </row>
    <row r="50" spans="1:16">
      <c r="A50" s="184" t="s">
        <v>3744</v>
      </c>
      <c r="B50" s="178">
        <f t="shared" si="0"/>
        <v>5</v>
      </c>
      <c r="C50" s="185">
        <v>3</v>
      </c>
      <c r="D50" s="189" t="s">
        <v>3674</v>
      </c>
      <c r="E50" s="189" t="s">
        <v>3752</v>
      </c>
      <c r="F50" s="189" t="s">
        <v>3753</v>
      </c>
      <c r="G50" s="189" t="s">
        <v>3754</v>
      </c>
      <c r="H50" s="193">
        <v>0</v>
      </c>
      <c r="I50" s="193">
        <v>1E-13</v>
      </c>
      <c r="J50" s="186" t="e">
        <f>INDEX([3]Summary!G:G,MATCH(A50,[3]Summary!A:A,0))*H50</f>
        <v>#N/A</v>
      </c>
      <c r="K50" s="114" t="s">
        <v>2914</v>
      </c>
      <c r="L50" s="114" t="s">
        <v>3575</v>
      </c>
      <c r="M50" s="182" t="e">
        <f>INDEX([3]Summary!B:B,MATCH(A50,[3]Summary!A:A,0))</f>
        <v>#N/A</v>
      </c>
      <c r="N50" s="176">
        <v>44196</v>
      </c>
      <c r="P50" s="183">
        <f>IF(N50=$Q$1,I50,H50*(N50-M50)/30)</f>
        <v>1E-13</v>
      </c>
    </row>
    <row r="51" spans="1:16">
      <c r="A51" s="184" t="s">
        <v>3744</v>
      </c>
      <c r="B51" s="178">
        <f t="shared" si="0"/>
        <v>5</v>
      </c>
      <c r="C51" s="185">
        <v>4</v>
      </c>
      <c r="D51" s="189" t="s">
        <v>3678</v>
      </c>
      <c r="E51" s="189" t="s">
        <v>3755</v>
      </c>
      <c r="F51" s="189" t="s">
        <v>3756</v>
      </c>
      <c r="G51" s="189" t="s">
        <v>3757</v>
      </c>
      <c r="H51" s="193">
        <v>636000</v>
      </c>
      <c r="I51" s="193">
        <v>5724000</v>
      </c>
      <c r="J51" s="186" t="e">
        <f>INDEX([3]Summary!G:G,MATCH(A51,[3]Summary!A:A,0))*H51</f>
        <v>#N/A</v>
      </c>
      <c r="K51" s="114" t="s">
        <v>2914</v>
      </c>
      <c r="L51" s="114" t="s">
        <v>3575</v>
      </c>
      <c r="M51" s="182" t="e">
        <f>INDEX([3]Summary!B:B,MATCH(A51,[3]Summary!A:A,0))</f>
        <v>#N/A</v>
      </c>
      <c r="N51" s="176">
        <v>43982</v>
      </c>
      <c r="P51" s="183">
        <f>IFERROR(IF(N51=$Q$1,I51,H51*(N51-M51)/30),I51)</f>
        <v>5724000</v>
      </c>
    </row>
    <row r="52" spans="1:16">
      <c r="A52" s="184" t="s">
        <v>3744</v>
      </c>
      <c r="B52" s="178">
        <f t="shared" si="0"/>
        <v>5</v>
      </c>
      <c r="C52" s="185">
        <v>5</v>
      </c>
      <c r="D52" s="189" t="s">
        <v>3758</v>
      </c>
      <c r="E52" s="189" t="s">
        <v>3759</v>
      </c>
      <c r="F52" s="189" t="s">
        <v>3760</v>
      </c>
      <c r="G52" s="189" t="s">
        <v>3760</v>
      </c>
      <c r="H52" s="193">
        <v>1517000</v>
      </c>
      <c r="I52" s="193">
        <v>13653000</v>
      </c>
      <c r="J52" s="186" t="e">
        <f>INDEX([3]Summary!G:G,MATCH(A52,[3]Summary!A:A,0))*H52</f>
        <v>#N/A</v>
      </c>
      <c r="K52" s="114" t="s">
        <v>2914</v>
      </c>
      <c r="L52" s="114" t="s">
        <v>3575</v>
      </c>
      <c r="M52" s="182" t="e">
        <f>INDEX([3]Summary!B:B,MATCH(A52,[3]Summary!A:A,0))</f>
        <v>#N/A</v>
      </c>
      <c r="N52" s="176">
        <v>44196</v>
      </c>
      <c r="P52" s="183">
        <f t="shared" ref="P52:P58" si="4">IF(N52=$Q$1,I52,H52*(N52-M52)/30)</f>
        <v>13653000</v>
      </c>
    </row>
    <row r="53" spans="1:16">
      <c r="A53" s="184" t="s">
        <v>3744</v>
      </c>
      <c r="B53" s="178">
        <f t="shared" si="0"/>
        <v>5</v>
      </c>
      <c r="C53" s="185">
        <v>6</v>
      </c>
      <c r="D53" s="189" t="s">
        <v>3761</v>
      </c>
      <c r="E53" s="199" t="s">
        <v>3762</v>
      </c>
      <c r="F53" s="189" t="s">
        <v>3763</v>
      </c>
      <c r="G53" s="189" t="s">
        <v>3764</v>
      </c>
      <c r="H53" s="193">
        <v>147000</v>
      </c>
      <c r="I53" s="193">
        <v>1323000</v>
      </c>
      <c r="J53" s="186" t="e">
        <f>INDEX([3]Summary!G:G,MATCH(A53,[3]Summary!A:A,0))*H53</f>
        <v>#N/A</v>
      </c>
      <c r="K53" s="189" t="s">
        <v>2854</v>
      </c>
      <c r="L53" s="114" t="s">
        <v>3575</v>
      </c>
      <c r="M53" s="182" t="e">
        <f>INDEX([3]Summary!B:B,MATCH(A53,[3]Summary!A:A,0))</f>
        <v>#N/A</v>
      </c>
      <c r="N53" s="182">
        <v>44196</v>
      </c>
      <c r="O53" t="s">
        <v>3765</v>
      </c>
      <c r="P53" s="183">
        <f t="shared" si="4"/>
        <v>1323000</v>
      </c>
    </row>
    <row r="54" spans="1:16">
      <c r="A54" s="184" t="s">
        <v>3744</v>
      </c>
      <c r="B54" s="178">
        <f t="shared" si="0"/>
        <v>5</v>
      </c>
      <c r="C54" s="185">
        <v>7</v>
      </c>
      <c r="D54" s="197" t="s">
        <v>3766</v>
      </c>
      <c r="E54" s="189" t="s">
        <v>3767</v>
      </c>
      <c r="F54" s="189" t="s">
        <v>3768</v>
      </c>
      <c r="G54" s="189" t="s">
        <v>3768</v>
      </c>
      <c r="H54" s="193">
        <v>3590860</v>
      </c>
      <c r="I54" s="193">
        <v>32317740</v>
      </c>
      <c r="J54" s="186" t="e">
        <f>INDEX([3]Summary!G:G,MATCH(A54,[3]Summary!A:A,0))*H54</f>
        <v>#N/A</v>
      </c>
      <c r="K54" s="114" t="s">
        <v>2914</v>
      </c>
      <c r="L54" s="114" t="s">
        <v>3606</v>
      </c>
      <c r="M54" s="182" t="e">
        <f>INDEX([3]Summary!B:B,MATCH(A54,[3]Summary!A:A,0))</f>
        <v>#N/A</v>
      </c>
      <c r="N54" s="176">
        <v>44196</v>
      </c>
      <c r="P54" s="183">
        <f t="shared" si="4"/>
        <v>32317740</v>
      </c>
    </row>
    <row r="55" spans="1:16" ht="17.25">
      <c r="A55" s="184" t="s">
        <v>3744</v>
      </c>
      <c r="B55" s="178">
        <f t="shared" si="0"/>
        <v>5</v>
      </c>
      <c r="C55" s="185">
        <v>8</v>
      </c>
      <c r="D55" s="197" t="s">
        <v>3769</v>
      </c>
      <c r="E55" s="189" t="s">
        <v>3770</v>
      </c>
      <c r="F55" s="189" t="s">
        <v>3771</v>
      </c>
      <c r="G55" s="200" t="s">
        <v>3772</v>
      </c>
      <c r="H55" s="193">
        <v>13000000</v>
      </c>
      <c r="I55" s="193">
        <v>117000000</v>
      </c>
      <c r="J55" s="186" t="e">
        <f>INDEX([3]Summary!G:G,MATCH(A55,[3]Summary!A:A,0))*H55</f>
        <v>#N/A</v>
      </c>
      <c r="K55" s="114" t="s">
        <v>2773</v>
      </c>
      <c r="L55" s="114" t="s">
        <v>3614</v>
      </c>
      <c r="M55" s="182" t="e">
        <f>INDEX([3]Summary!B:B,MATCH(A55,[3]Summary!A:A,0))</f>
        <v>#N/A</v>
      </c>
      <c r="N55" s="182">
        <v>44196</v>
      </c>
      <c r="P55" s="183">
        <f t="shared" si="4"/>
        <v>117000000</v>
      </c>
    </row>
    <row r="56" spans="1:16">
      <c r="A56" s="184" t="s">
        <v>3744</v>
      </c>
      <c r="B56" s="178">
        <f t="shared" si="0"/>
        <v>5</v>
      </c>
      <c r="C56" s="185">
        <v>9</v>
      </c>
      <c r="D56" s="197" t="s">
        <v>3716</v>
      </c>
      <c r="E56" s="114" t="s">
        <v>3773</v>
      </c>
      <c r="F56" s="114" t="s">
        <v>3774</v>
      </c>
      <c r="G56" s="114"/>
      <c r="H56" s="193">
        <v>2571800</v>
      </c>
      <c r="I56" s="193">
        <v>23146200</v>
      </c>
      <c r="J56" s="186" t="e">
        <f>INDEX([3]Summary!G:G,MATCH(A56,[3]Summary!A:A,0))*H56</f>
        <v>#N/A</v>
      </c>
      <c r="K56" s="114" t="s">
        <v>2817</v>
      </c>
      <c r="L56" s="114" t="s">
        <v>3600</v>
      </c>
      <c r="M56" s="182" t="e">
        <f>INDEX([3]Summary!B:B,MATCH(A56,[3]Summary!A:A,0))</f>
        <v>#N/A</v>
      </c>
      <c r="N56" s="176">
        <v>44196</v>
      </c>
      <c r="P56" s="183">
        <f t="shared" si="4"/>
        <v>23146200</v>
      </c>
    </row>
    <row r="57" spans="1:16">
      <c r="A57" s="184" t="s">
        <v>3744</v>
      </c>
      <c r="B57" s="178">
        <f t="shared" si="0"/>
        <v>5</v>
      </c>
      <c r="C57" s="185">
        <v>10</v>
      </c>
      <c r="D57" s="189" t="s">
        <v>3700</v>
      </c>
      <c r="E57" s="114" t="s">
        <v>3775</v>
      </c>
      <c r="F57" s="114" t="s">
        <v>3776</v>
      </c>
      <c r="G57" s="114" t="s">
        <v>3776</v>
      </c>
      <c r="H57" s="193">
        <v>7200000</v>
      </c>
      <c r="I57" s="193">
        <v>64800000</v>
      </c>
      <c r="J57" s="186" t="e">
        <f>INDEX([3]Summary!G:G,MATCH(A57,[3]Summary!A:A,0))*H57</f>
        <v>#N/A</v>
      </c>
      <c r="K57" s="114" t="s">
        <v>2773</v>
      </c>
      <c r="L57" s="114" t="s">
        <v>3575</v>
      </c>
      <c r="M57" s="182" t="e">
        <f>INDEX([3]Summary!B:B,MATCH(A57,[3]Summary!A:A,0))</f>
        <v>#N/A</v>
      </c>
      <c r="N57" s="182">
        <v>44196</v>
      </c>
      <c r="P57" s="183">
        <f t="shared" si="4"/>
        <v>64800000</v>
      </c>
    </row>
    <row r="58" spans="1:16">
      <c r="A58" s="201" t="s">
        <v>3777</v>
      </c>
      <c r="B58" s="178">
        <f t="shared" si="0"/>
        <v>6</v>
      </c>
      <c r="C58" s="185">
        <v>1</v>
      </c>
      <c r="D58" s="189" t="s">
        <v>2817</v>
      </c>
      <c r="E58" s="189" t="s">
        <v>3778</v>
      </c>
      <c r="F58" s="189" t="s">
        <v>3779</v>
      </c>
      <c r="G58" s="189" t="s">
        <v>3780</v>
      </c>
      <c r="H58" s="193">
        <v>985800</v>
      </c>
      <c r="I58" s="193">
        <v>8872200</v>
      </c>
      <c r="J58" s="186" t="e">
        <f>INDEX([3]Summary!G:G,MATCH(A58,[3]Summary!A:A,0))*H58</f>
        <v>#N/A</v>
      </c>
      <c r="K58" s="114" t="s">
        <v>2817</v>
      </c>
      <c r="L58" s="114" t="s">
        <v>3575</v>
      </c>
      <c r="M58" s="182" t="e">
        <f>INDEX([3]Summary!B:B,MATCH(A58,[3]Summary!A:A,0))</f>
        <v>#N/A</v>
      </c>
      <c r="N58" s="176">
        <v>44196</v>
      </c>
      <c r="P58" s="183">
        <f t="shared" si="4"/>
        <v>8872200</v>
      </c>
    </row>
    <row r="59" spans="1:16">
      <c r="A59" s="201" t="s">
        <v>3777</v>
      </c>
      <c r="B59" s="178">
        <f t="shared" si="0"/>
        <v>6</v>
      </c>
      <c r="C59" s="185">
        <v>2</v>
      </c>
      <c r="D59" s="197" t="s">
        <v>3781</v>
      </c>
      <c r="E59" s="189" t="s">
        <v>3782</v>
      </c>
      <c r="F59" s="189" t="s">
        <v>3783</v>
      </c>
      <c r="G59" s="202" t="s">
        <v>3784</v>
      </c>
      <c r="H59" s="193">
        <v>793600</v>
      </c>
      <c r="I59" s="193">
        <v>7142400</v>
      </c>
      <c r="J59" s="186" t="e">
        <f>INDEX([3]Summary!G:G,MATCH(A59,[3]Summary!A:A,0))*H59</f>
        <v>#N/A</v>
      </c>
      <c r="K59" s="114" t="s">
        <v>2914</v>
      </c>
      <c r="L59" s="114" t="s">
        <v>3569</v>
      </c>
      <c r="M59" s="182" t="e">
        <f>INDEX([3]Summary!B:B,MATCH(A59,[3]Summary!A:A,0))</f>
        <v>#N/A</v>
      </c>
      <c r="N59" s="176">
        <v>44012</v>
      </c>
      <c r="P59" s="183">
        <f>IFERROR(IF(N59=$Q$1,I59,H59*(N59-M59)/30),I59)</f>
        <v>7142400</v>
      </c>
    </row>
    <row r="60" spans="1:16">
      <c r="A60" s="201" t="s">
        <v>3777</v>
      </c>
      <c r="B60" s="178">
        <f t="shared" si="0"/>
        <v>6</v>
      </c>
      <c r="C60" s="185">
        <v>3</v>
      </c>
      <c r="D60" s="197" t="s">
        <v>3785</v>
      </c>
      <c r="E60" s="189" t="s">
        <v>3786</v>
      </c>
      <c r="F60" s="189" t="s">
        <v>3787</v>
      </c>
      <c r="G60" s="189" t="s">
        <v>3788</v>
      </c>
      <c r="H60" s="194">
        <v>92327374</v>
      </c>
      <c r="I60" s="193">
        <v>830946366</v>
      </c>
      <c r="J60" s="186" t="e">
        <f>INDEX([3]Summary!G:G,MATCH(A60,[3]Summary!A:A,0))*H60</f>
        <v>#N/A</v>
      </c>
      <c r="K60" s="189" t="s">
        <v>2854</v>
      </c>
      <c r="L60" s="114" t="s">
        <v>3600</v>
      </c>
      <c r="M60" s="182" t="e">
        <f>INDEX([3]Summary!B:B,MATCH(A60,[3]Summary!A:A,0))</f>
        <v>#N/A</v>
      </c>
      <c r="N60" s="182">
        <v>44196</v>
      </c>
      <c r="P60" s="183">
        <f>IF(N60=$Q$1,I60,H60*(N60-M60)/30)</f>
        <v>830946366</v>
      </c>
    </row>
    <row r="61" spans="1:16">
      <c r="A61" s="201" t="s">
        <v>3777</v>
      </c>
      <c r="B61" s="178">
        <f t="shared" si="0"/>
        <v>6</v>
      </c>
      <c r="C61" s="185">
        <v>4</v>
      </c>
      <c r="D61" s="189" t="s">
        <v>3789</v>
      </c>
      <c r="E61" s="189" t="s">
        <v>3790</v>
      </c>
      <c r="F61" s="189" t="s">
        <v>3791</v>
      </c>
      <c r="G61" s="189" t="s">
        <v>3792</v>
      </c>
      <c r="H61" s="193">
        <v>1050000</v>
      </c>
      <c r="I61" s="193">
        <v>9450000</v>
      </c>
      <c r="J61" s="186" t="e">
        <f>INDEX([3]Summary!G:G,MATCH(A61,[3]Summary!A:A,0))*H61</f>
        <v>#N/A</v>
      </c>
      <c r="K61" s="114" t="s">
        <v>2773</v>
      </c>
      <c r="L61" s="114" t="s">
        <v>3575</v>
      </c>
      <c r="M61" s="182" t="e">
        <f>INDEX([3]Summary!B:B,MATCH(A61,[3]Summary!A:A,0))</f>
        <v>#N/A</v>
      </c>
      <c r="N61" s="182">
        <v>44196</v>
      </c>
      <c r="P61" s="183">
        <f>IF(N61=$Q$1,I61,H61*(N61-M61)/30)</f>
        <v>9450000</v>
      </c>
    </row>
    <row r="62" spans="1:16">
      <c r="A62" s="201" t="s">
        <v>3777</v>
      </c>
      <c r="B62" s="178">
        <f t="shared" si="0"/>
        <v>6</v>
      </c>
      <c r="C62" s="185">
        <v>5</v>
      </c>
      <c r="D62" s="197" t="s">
        <v>3793</v>
      </c>
      <c r="E62" s="189" t="s">
        <v>3794</v>
      </c>
      <c r="F62" s="189" t="s">
        <v>3795</v>
      </c>
      <c r="G62" s="189" t="s">
        <v>3796</v>
      </c>
      <c r="H62" s="194">
        <v>11600000</v>
      </c>
      <c r="I62" s="193">
        <v>104400000</v>
      </c>
      <c r="J62" s="186" t="e">
        <f>INDEX([3]Summary!G:G,MATCH(A62,[3]Summary!A:A,0))*H62</f>
        <v>#N/A</v>
      </c>
      <c r="K62" s="114" t="s">
        <v>2773</v>
      </c>
      <c r="L62" s="114" t="s">
        <v>3606</v>
      </c>
      <c r="M62" s="182" t="e">
        <f>INDEX([3]Summary!B:B,MATCH(A62,[3]Summary!A:A,0))</f>
        <v>#N/A</v>
      </c>
      <c r="N62" s="182">
        <v>44196</v>
      </c>
      <c r="P62" s="183">
        <f>IF(N62=$Q$1,I62,H62*(N62-M62)/30)</f>
        <v>104400000</v>
      </c>
    </row>
    <row r="63" spans="1:16">
      <c r="A63" s="201" t="s">
        <v>3797</v>
      </c>
      <c r="B63" s="178">
        <f t="shared" si="0"/>
        <v>7</v>
      </c>
      <c r="C63" s="185">
        <v>1</v>
      </c>
      <c r="D63" s="189" t="s">
        <v>2841</v>
      </c>
      <c r="E63" s="189" t="s">
        <v>3798</v>
      </c>
      <c r="F63" s="189" t="s">
        <v>3799</v>
      </c>
      <c r="G63" s="189" t="s">
        <v>3800</v>
      </c>
      <c r="H63" s="193">
        <v>8488800</v>
      </c>
      <c r="I63" s="193">
        <v>67910400</v>
      </c>
      <c r="J63" s="186" t="e">
        <f>INDEX([3]Summary!G:G,MATCH(A63,[3]Summary!A:A,0))*H63</f>
        <v>#N/A</v>
      </c>
      <c r="K63" s="114" t="s">
        <v>2841</v>
      </c>
      <c r="L63" s="114" t="s">
        <v>3575</v>
      </c>
      <c r="M63" s="182" t="e">
        <f>INDEX([3]Summary!B:B,MATCH(A63,[3]Summary!A:A,0))</f>
        <v>#N/A</v>
      </c>
      <c r="N63" s="176">
        <v>44196</v>
      </c>
      <c r="P63" s="183">
        <f>IF(N63=$Q$1,I63,H63*(N63-M63)/30)</f>
        <v>67910400</v>
      </c>
    </row>
    <row r="64" spans="1:16">
      <c r="A64" s="201" t="s">
        <v>3797</v>
      </c>
      <c r="B64" s="178">
        <f t="shared" si="0"/>
        <v>7</v>
      </c>
      <c r="C64" s="185">
        <v>2</v>
      </c>
      <c r="D64" s="189" t="s">
        <v>3801</v>
      </c>
      <c r="E64" s="189" t="s">
        <v>3802</v>
      </c>
      <c r="F64" s="189" t="s">
        <v>3803</v>
      </c>
      <c r="G64" s="202" t="s">
        <v>3804</v>
      </c>
      <c r="H64" s="193">
        <v>273000</v>
      </c>
      <c r="I64" s="193">
        <v>2184000</v>
      </c>
      <c r="J64" s="186" t="e">
        <f>INDEX([3]Summary!G:G,MATCH(A64,[3]Summary!A:A,0))*H64</f>
        <v>#N/A</v>
      </c>
      <c r="K64" s="114" t="s">
        <v>2817</v>
      </c>
      <c r="L64" s="114" t="s">
        <v>3575</v>
      </c>
      <c r="M64" s="182" t="e">
        <f>INDEX([3]Summary!B:B,MATCH(A64,[3]Summary!A:A,0))</f>
        <v>#N/A</v>
      </c>
      <c r="N64" s="176">
        <v>44196</v>
      </c>
      <c r="P64" s="183">
        <f>IFERROR(IF(N64=$Q$1,I64,H64*(N64-M64)/30),I64)</f>
        <v>2184000</v>
      </c>
    </row>
    <row r="65" spans="1:16">
      <c r="A65" s="201" t="s">
        <v>3797</v>
      </c>
      <c r="B65" s="178">
        <f t="shared" si="0"/>
        <v>7</v>
      </c>
      <c r="C65" s="185">
        <v>3</v>
      </c>
      <c r="D65" s="189" t="s">
        <v>3805</v>
      </c>
      <c r="E65" s="189" t="s">
        <v>3806</v>
      </c>
      <c r="F65" s="189" t="s">
        <v>3807</v>
      </c>
      <c r="G65" s="189" t="s">
        <v>3808</v>
      </c>
      <c r="H65" s="193">
        <v>85652.666666666672</v>
      </c>
      <c r="I65" s="193">
        <v>685221.33333333337</v>
      </c>
      <c r="J65" s="186" t="e">
        <f>INDEX([3]Summary!G:G,MATCH(A65,[3]Summary!A:A,0))*H65</f>
        <v>#N/A</v>
      </c>
      <c r="K65" s="114" t="s">
        <v>2914</v>
      </c>
      <c r="L65" s="114" t="s">
        <v>3575</v>
      </c>
      <c r="M65" s="182" t="e">
        <f>INDEX([3]Summary!B:B,MATCH(A65,[3]Summary!A:A,0))</f>
        <v>#N/A</v>
      </c>
      <c r="N65" s="176">
        <v>44180</v>
      </c>
      <c r="P65" s="183">
        <f>IFERROR(IF(N65=$Q$1,I65,H65*(N65-M65)/30),I65)</f>
        <v>685221.33333333337</v>
      </c>
    </row>
    <row r="66" spans="1:16">
      <c r="A66" s="201" t="s">
        <v>3797</v>
      </c>
      <c r="B66" s="178">
        <f t="shared" si="0"/>
        <v>7</v>
      </c>
      <c r="C66" s="185">
        <v>4</v>
      </c>
      <c r="D66" s="189" t="s">
        <v>3809</v>
      </c>
      <c r="E66" s="189" t="s">
        <v>3810</v>
      </c>
      <c r="F66" s="189" t="s">
        <v>3811</v>
      </c>
      <c r="G66" s="189" t="s">
        <v>3812</v>
      </c>
      <c r="H66" s="193">
        <v>0</v>
      </c>
      <c r="I66" s="193">
        <v>0</v>
      </c>
      <c r="J66" s="186" t="e">
        <f>INDEX([3]Summary!G:G,MATCH(A66,[3]Summary!A:A,0))*H66</f>
        <v>#N/A</v>
      </c>
      <c r="K66" s="114" t="s">
        <v>2914</v>
      </c>
      <c r="L66" s="114" t="s">
        <v>3575</v>
      </c>
      <c r="M66" s="182" t="e">
        <f>INDEX([3]Summary!B:B,MATCH(A66,[3]Summary!A:A,0))</f>
        <v>#N/A</v>
      </c>
      <c r="N66" s="176">
        <v>44043</v>
      </c>
      <c r="P66" s="183" t="e">
        <f t="shared" ref="P66:P127" si="5">IF(N66=$Q$1,I66,H66*(N66-M66)/30)</f>
        <v>#N/A</v>
      </c>
    </row>
    <row r="67" spans="1:16">
      <c r="A67" s="201" t="s">
        <v>3797</v>
      </c>
      <c r="B67" s="178">
        <f t="shared" ref="B67:B127" si="6">VALUE(RIGHT(A67,2))</f>
        <v>7</v>
      </c>
      <c r="C67" s="185">
        <v>5</v>
      </c>
      <c r="D67" s="188" t="s">
        <v>3813</v>
      </c>
      <c r="E67" s="189" t="s">
        <v>3814</v>
      </c>
      <c r="F67" s="189" t="s">
        <v>3815</v>
      </c>
      <c r="G67" s="189"/>
      <c r="H67" s="186">
        <v>0</v>
      </c>
      <c r="I67" s="186">
        <v>0</v>
      </c>
      <c r="J67" s="186" t="e">
        <f>INDEX([3]Summary!G:G,MATCH(A67,[3]Summary!A:A,0))*H67</f>
        <v>#N/A</v>
      </c>
      <c r="K67" s="114" t="s">
        <v>2914</v>
      </c>
      <c r="L67" s="188" t="s">
        <v>3588</v>
      </c>
      <c r="M67" s="182" t="e">
        <f>INDEX([3]Summary!B:B,MATCH(A67,[3]Summary!A:A,0))</f>
        <v>#N/A</v>
      </c>
      <c r="P67" s="183" t="e">
        <f t="shared" si="5"/>
        <v>#N/A</v>
      </c>
    </row>
    <row r="68" spans="1:16">
      <c r="A68" s="201" t="s">
        <v>3797</v>
      </c>
      <c r="B68" s="178">
        <f t="shared" si="6"/>
        <v>7</v>
      </c>
      <c r="C68" s="185">
        <v>6</v>
      </c>
      <c r="D68" s="188" t="s">
        <v>1482</v>
      </c>
      <c r="E68" s="189" t="s">
        <v>3816</v>
      </c>
      <c r="F68" s="189" t="s">
        <v>3817</v>
      </c>
      <c r="G68" s="189"/>
      <c r="H68" s="186">
        <v>0</v>
      </c>
      <c r="I68" s="186">
        <v>0</v>
      </c>
      <c r="J68" s="186" t="e">
        <f>INDEX([3]Summary!G:G,MATCH(A68,[3]Summary!A:A,0))*H68</f>
        <v>#N/A</v>
      </c>
      <c r="K68" s="114" t="s">
        <v>2914</v>
      </c>
      <c r="L68" s="188" t="s">
        <v>3588</v>
      </c>
      <c r="M68" s="182" t="e">
        <f>INDEX([3]Summary!B:B,MATCH(A68,[3]Summary!A:A,0))</f>
        <v>#N/A</v>
      </c>
      <c r="P68" s="183" t="e">
        <f t="shared" si="5"/>
        <v>#N/A</v>
      </c>
    </row>
    <row r="69" spans="1:16">
      <c r="A69" s="201" t="s">
        <v>3797</v>
      </c>
      <c r="B69" s="178">
        <f t="shared" si="6"/>
        <v>7</v>
      </c>
      <c r="C69" s="185">
        <v>7</v>
      </c>
      <c r="D69" s="189" t="s">
        <v>3447</v>
      </c>
      <c r="E69" s="189" t="s">
        <v>3818</v>
      </c>
      <c r="F69" s="189" t="s">
        <v>3819</v>
      </c>
      <c r="G69" s="189" t="s">
        <v>3820</v>
      </c>
      <c r="H69" s="193">
        <v>750000</v>
      </c>
      <c r="I69" s="193">
        <v>6000000</v>
      </c>
      <c r="J69" s="186" t="e">
        <f>INDEX([3]Summary!G:G,MATCH(A69,[3]Summary!A:A,0))*H69</f>
        <v>#N/A</v>
      </c>
      <c r="K69" s="189" t="s">
        <v>2854</v>
      </c>
      <c r="L69" s="114" t="s">
        <v>3575</v>
      </c>
      <c r="M69" s="182" t="e">
        <f>INDEX([3]Summary!B:B,MATCH(A69,[3]Summary!A:A,0))</f>
        <v>#N/A</v>
      </c>
      <c r="N69" s="182">
        <v>44196</v>
      </c>
      <c r="P69" s="183">
        <f t="shared" si="5"/>
        <v>6000000</v>
      </c>
    </row>
    <row r="70" spans="1:16">
      <c r="A70" s="201" t="s">
        <v>3797</v>
      </c>
      <c r="B70" s="178">
        <f t="shared" si="6"/>
        <v>7</v>
      </c>
      <c r="C70" s="185">
        <v>8</v>
      </c>
      <c r="D70" s="197" t="s">
        <v>3821</v>
      </c>
      <c r="E70" s="189" t="s">
        <v>3822</v>
      </c>
      <c r="F70" s="189" t="s">
        <v>3823</v>
      </c>
      <c r="G70" s="189" t="s">
        <v>3824</v>
      </c>
      <c r="H70" s="194">
        <v>54783900</v>
      </c>
      <c r="I70" s="193">
        <v>438271200</v>
      </c>
      <c r="J70" s="186" t="e">
        <f>INDEX([3]Summary!G:G,MATCH(A70,[3]Summary!A:A,0))*H70</f>
        <v>#N/A</v>
      </c>
      <c r="K70" s="114" t="s">
        <v>2773</v>
      </c>
      <c r="L70" s="114" t="s">
        <v>3600</v>
      </c>
      <c r="M70" s="182" t="e">
        <f>INDEX([3]Summary!B:B,MATCH(A70,[3]Summary!A:A,0))</f>
        <v>#N/A</v>
      </c>
      <c r="N70" s="182">
        <v>44196</v>
      </c>
      <c r="P70" s="183">
        <f t="shared" si="5"/>
        <v>438271200</v>
      </c>
    </row>
    <row r="71" spans="1:16">
      <c r="A71" s="201" t="s">
        <v>3797</v>
      </c>
      <c r="B71" s="178">
        <f t="shared" si="6"/>
        <v>7</v>
      </c>
      <c r="C71" s="185">
        <v>9</v>
      </c>
      <c r="D71" s="197" t="s">
        <v>3825</v>
      </c>
      <c r="E71" s="189" t="s">
        <v>3826</v>
      </c>
      <c r="F71" s="189" t="s">
        <v>3827</v>
      </c>
      <c r="G71" s="189" t="s">
        <v>3827</v>
      </c>
      <c r="H71" s="193">
        <v>900000</v>
      </c>
      <c r="I71" s="193">
        <v>7200000</v>
      </c>
      <c r="J71" s="186" t="e">
        <f>INDEX([3]Summary!G:G,MATCH(A71,[3]Summary!A:A,0))*H71</f>
        <v>#N/A</v>
      </c>
      <c r="K71" s="114" t="s">
        <v>2773</v>
      </c>
      <c r="L71" s="114" t="s">
        <v>3606</v>
      </c>
      <c r="M71" s="182" t="e">
        <f>INDEX([3]Summary!B:B,MATCH(A71,[3]Summary!A:A,0))</f>
        <v>#N/A</v>
      </c>
      <c r="N71" s="182">
        <v>44196</v>
      </c>
      <c r="P71" s="183">
        <f t="shared" si="5"/>
        <v>7200000</v>
      </c>
    </row>
    <row r="72" spans="1:16">
      <c r="A72" s="201" t="s">
        <v>3797</v>
      </c>
      <c r="B72" s="178">
        <f t="shared" si="6"/>
        <v>7</v>
      </c>
      <c r="C72" s="185">
        <v>10</v>
      </c>
      <c r="D72" s="197" t="s">
        <v>3828</v>
      </c>
      <c r="E72" s="189" t="s">
        <v>3829</v>
      </c>
      <c r="F72" s="189" t="s">
        <v>3830</v>
      </c>
      <c r="G72" s="189" t="s">
        <v>3831</v>
      </c>
      <c r="H72" s="193">
        <v>748472.25</v>
      </c>
      <c r="I72" s="193">
        <v>5987778</v>
      </c>
      <c r="J72" s="186" t="e">
        <f>INDEX([3]Summary!G:G,MATCH(A72,[3]Summary!A:A,0))*H72</f>
        <v>#N/A</v>
      </c>
      <c r="K72" s="114" t="s">
        <v>2914</v>
      </c>
      <c r="L72" s="114" t="s">
        <v>3569</v>
      </c>
      <c r="M72" s="182" t="e">
        <f>INDEX([3]Summary!B:B,MATCH(A72,[3]Summary!A:A,0))</f>
        <v>#N/A</v>
      </c>
      <c r="N72" s="176">
        <v>44196</v>
      </c>
      <c r="P72" s="183">
        <f t="shared" si="5"/>
        <v>5987778</v>
      </c>
    </row>
    <row r="73" spans="1:16">
      <c r="A73" s="201" t="s">
        <v>3797</v>
      </c>
      <c r="B73" s="178">
        <f t="shared" si="6"/>
        <v>7</v>
      </c>
      <c r="C73" s="185">
        <v>11</v>
      </c>
      <c r="D73" s="189" t="s">
        <v>3832</v>
      </c>
      <c r="E73" s="189" t="s">
        <v>3833</v>
      </c>
      <c r="F73" s="189" t="s">
        <v>3834</v>
      </c>
      <c r="G73" s="189" t="s">
        <v>3835</v>
      </c>
      <c r="H73" s="193">
        <v>580000</v>
      </c>
      <c r="I73" s="193">
        <v>4640000</v>
      </c>
      <c r="J73" s="186" t="e">
        <f>INDEX([3]Summary!G:G,MATCH(A73,[3]Summary!A:A,0))*H73</f>
        <v>#N/A</v>
      </c>
      <c r="K73" s="114" t="s">
        <v>2914</v>
      </c>
      <c r="L73" s="114" t="s">
        <v>3575</v>
      </c>
      <c r="M73" s="182" t="e">
        <f>INDEX([3]Summary!B:B,MATCH(A73,[3]Summary!A:A,0))</f>
        <v>#N/A</v>
      </c>
      <c r="N73" s="176">
        <v>44196</v>
      </c>
      <c r="P73" s="183">
        <f t="shared" si="5"/>
        <v>4640000</v>
      </c>
    </row>
    <row r="74" spans="1:16">
      <c r="A74" s="201" t="s">
        <v>3797</v>
      </c>
      <c r="B74" s="178">
        <f t="shared" si="6"/>
        <v>7</v>
      </c>
      <c r="C74" s="185">
        <v>12</v>
      </c>
      <c r="D74" s="189" t="s">
        <v>3836</v>
      </c>
      <c r="E74" s="114" t="s">
        <v>3837</v>
      </c>
      <c r="F74" s="114" t="s">
        <v>3838</v>
      </c>
      <c r="G74" s="114" t="s">
        <v>3839</v>
      </c>
      <c r="H74" s="193">
        <v>360000</v>
      </c>
      <c r="I74" s="193">
        <v>2880000</v>
      </c>
      <c r="J74" s="186" t="e">
        <f>INDEX([3]Summary!G:G,MATCH(A74,[3]Summary!A:A,0))*H74</f>
        <v>#N/A</v>
      </c>
      <c r="K74" s="114" t="s">
        <v>2914</v>
      </c>
      <c r="L74" s="114" t="s">
        <v>3575</v>
      </c>
      <c r="M74" s="182" t="e">
        <f>INDEX([3]Summary!B:B,MATCH(A74,[3]Summary!A:A,0))</f>
        <v>#N/A</v>
      </c>
      <c r="N74" s="176">
        <v>43969</v>
      </c>
      <c r="P74" s="183" t="e">
        <f t="shared" si="5"/>
        <v>#N/A</v>
      </c>
    </row>
    <row r="75" spans="1:16">
      <c r="A75" s="201" t="s">
        <v>3840</v>
      </c>
      <c r="B75" s="178">
        <f t="shared" si="6"/>
        <v>8</v>
      </c>
      <c r="C75" s="185">
        <v>1</v>
      </c>
      <c r="D75" s="189" t="s">
        <v>3841</v>
      </c>
      <c r="E75" s="189" t="s">
        <v>3842</v>
      </c>
      <c r="F75" s="189" t="s">
        <v>3843</v>
      </c>
      <c r="G75" s="189" t="s">
        <v>3844</v>
      </c>
      <c r="H75" s="189">
        <v>210000</v>
      </c>
      <c r="I75" s="193">
        <v>1680000</v>
      </c>
      <c r="J75" s="186" t="e">
        <f>INDEX([3]Summary!G:G,MATCH(A75,[3]Summary!A:A,0))*H75</f>
        <v>#N/A</v>
      </c>
      <c r="K75" s="114" t="s">
        <v>2817</v>
      </c>
      <c r="L75" s="114" t="s">
        <v>3575</v>
      </c>
      <c r="M75" s="182" t="e">
        <f>INDEX([3]Summary!B:B,MATCH(A75,[3]Summary!A:A,0))</f>
        <v>#N/A</v>
      </c>
      <c r="N75" s="176">
        <v>44196</v>
      </c>
      <c r="P75" s="183">
        <f t="shared" si="5"/>
        <v>1680000</v>
      </c>
    </row>
    <row r="76" spans="1:16">
      <c r="A76" s="201" t="s">
        <v>3840</v>
      </c>
      <c r="B76" s="178">
        <f t="shared" si="6"/>
        <v>8</v>
      </c>
      <c r="C76" s="185">
        <v>2</v>
      </c>
      <c r="D76" s="189" t="s">
        <v>3452</v>
      </c>
      <c r="E76" s="189" t="s">
        <v>3845</v>
      </c>
      <c r="F76" s="189" t="s">
        <v>3846</v>
      </c>
      <c r="G76" s="189" t="s">
        <v>3847</v>
      </c>
      <c r="H76" s="186">
        <v>0</v>
      </c>
      <c r="I76" s="186">
        <v>0</v>
      </c>
      <c r="J76" s="186" t="e">
        <f>INDEX([3]Summary!G:G,MATCH(A76,[3]Summary!A:A,0))*H76</f>
        <v>#N/A</v>
      </c>
      <c r="K76" s="114" t="s">
        <v>2914</v>
      </c>
      <c r="L76" s="189" t="s">
        <v>3848</v>
      </c>
      <c r="M76" s="182" t="e">
        <f>INDEX([3]Summary!B:B,MATCH(A76,[3]Summary!A:A,0))</f>
        <v>#N/A</v>
      </c>
      <c r="N76" s="176">
        <v>44196</v>
      </c>
      <c r="P76" s="183">
        <f t="shared" si="5"/>
        <v>0</v>
      </c>
    </row>
    <row r="77" spans="1:16">
      <c r="A77" s="201" t="s">
        <v>3840</v>
      </c>
      <c r="B77" s="178">
        <f t="shared" si="6"/>
        <v>8</v>
      </c>
      <c r="C77" s="185">
        <v>3</v>
      </c>
      <c r="D77" s="188" t="s">
        <v>3849</v>
      </c>
      <c r="E77" s="189" t="s">
        <v>3850</v>
      </c>
      <c r="F77" s="189" t="s">
        <v>3851</v>
      </c>
      <c r="G77" s="189"/>
      <c r="H77" s="186">
        <v>0</v>
      </c>
      <c r="I77" s="186">
        <v>0</v>
      </c>
      <c r="J77" s="186" t="e">
        <f>INDEX([3]Summary!G:G,MATCH(A77,[3]Summary!A:A,0))*H77</f>
        <v>#N/A</v>
      </c>
      <c r="K77" s="114" t="s">
        <v>2914</v>
      </c>
      <c r="L77" s="188" t="s">
        <v>3588</v>
      </c>
      <c r="M77" s="182" t="e">
        <f>INDEX([3]Summary!B:B,MATCH(A77,[3]Summary!A:A,0))</f>
        <v>#N/A</v>
      </c>
      <c r="P77" s="183" t="e">
        <f t="shared" si="5"/>
        <v>#N/A</v>
      </c>
    </row>
    <row r="78" spans="1:16">
      <c r="A78" s="201" t="s">
        <v>3840</v>
      </c>
      <c r="B78" s="178">
        <f t="shared" si="6"/>
        <v>8</v>
      </c>
      <c r="C78" s="185">
        <v>4</v>
      </c>
      <c r="D78" s="189" t="s">
        <v>3852</v>
      </c>
      <c r="E78" s="189" t="s">
        <v>3853</v>
      </c>
      <c r="F78" s="189" t="s">
        <v>3854</v>
      </c>
      <c r="G78" s="189" t="s">
        <v>3855</v>
      </c>
      <c r="H78" s="189">
        <v>162000</v>
      </c>
      <c r="I78" s="193">
        <v>1296000</v>
      </c>
      <c r="J78" s="186" t="e">
        <f>INDEX([3]Summary!G:G,MATCH(A78,[3]Summary!A:A,0))*H78</f>
        <v>#N/A</v>
      </c>
      <c r="K78" s="114" t="s">
        <v>2914</v>
      </c>
      <c r="L78" s="114" t="s">
        <v>3856</v>
      </c>
      <c r="M78" s="182" t="e">
        <f>INDEX([3]Summary!B:B,MATCH(A78,[3]Summary!A:A,0))</f>
        <v>#N/A</v>
      </c>
      <c r="N78" s="176">
        <v>44196</v>
      </c>
      <c r="P78" s="183">
        <f t="shared" si="5"/>
        <v>1296000</v>
      </c>
    </row>
    <row r="79" spans="1:16">
      <c r="A79" s="201" t="s">
        <v>3840</v>
      </c>
      <c r="B79" s="178">
        <f t="shared" si="6"/>
        <v>8</v>
      </c>
      <c r="C79" s="185">
        <v>5</v>
      </c>
      <c r="D79" s="189" t="s">
        <v>3785</v>
      </c>
      <c r="E79" s="189" t="s">
        <v>3857</v>
      </c>
      <c r="F79" s="189" t="s">
        <v>3858</v>
      </c>
      <c r="G79" s="189" t="s">
        <v>3858</v>
      </c>
      <c r="H79" s="189">
        <v>30000</v>
      </c>
      <c r="I79" s="193">
        <v>240000</v>
      </c>
      <c r="J79" s="186" t="e">
        <f>INDEX([3]Summary!G:G,MATCH(A79,[3]Summary!A:A,0))*H79</f>
        <v>#N/A</v>
      </c>
      <c r="K79" s="189" t="s">
        <v>2854</v>
      </c>
      <c r="L79" s="114" t="s">
        <v>3575</v>
      </c>
      <c r="M79" s="182" t="e">
        <f>INDEX([3]Summary!B:B,MATCH(A79,[3]Summary!A:A,0))</f>
        <v>#N/A</v>
      </c>
      <c r="N79" s="176">
        <v>44196</v>
      </c>
      <c r="P79" s="183">
        <f t="shared" si="5"/>
        <v>240000</v>
      </c>
    </row>
    <row r="80" spans="1:16">
      <c r="A80" s="201" t="s">
        <v>3840</v>
      </c>
      <c r="B80" s="178">
        <f t="shared" si="6"/>
        <v>8</v>
      </c>
      <c r="C80" s="185">
        <v>6</v>
      </c>
      <c r="D80" s="189" t="s">
        <v>1429</v>
      </c>
      <c r="E80" s="203" t="s">
        <v>3859</v>
      </c>
      <c r="F80" s="189" t="s">
        <v>3860</v>
      </c>
      <c r="G80" s="189" t="s">
        <v>3861</v>
      </c>
      <c r="H80" s="189">
        <v>251180</v>
      </c>
      <c r="I80" s="193">
        <v>2009440</v>
      </c>
      <c r="J80" s="186" t="e">
        <f>INDEX([3]Summary!G:G,MATCH(A80,[3]Summary!A:A,0))*H80</f>
        <v>#N/A</v>
      </c>
      <c r="K80" s="189" t="s">
        <v>2854</v>
      </c>
      <c r="L80" s="114" t="s">
        <v>3575</v>
      </c>
      <c r="M80" s="182" t="e">
        <f>INDEX([3]Summary!B:B,MATCH(A80,[3]Summary!A:A,0))</f>
        <v>#N/A</v>
      </c>
      <c r="N80" s="182">
        <v>44196</v>
      </c>
      <c r="P80" s="183">
        <f t="shared" si="5"/>
        <v>2009440</v>
      </c>
    </row>
    <row r="81" spans="1:16">
      <c r="A81" s="201" t="s">
        <v>3840</v>
      </c>
      <c r="B81" s="178">
        <f t="shared" si="6"/>
        <v>8</v>
      </c>
      <c r="C81" s="185">
        <v>7</v>
      </c>
      <c r="D81" s="189" t="s">
        <v>3862</v>
      </c>
      <c r="E81" s="189" t="s">
        <v>3863</v>
      </c>
      <c r="F81" s="189" t="s">
        <v>3864</v>
      </c>
      <c r="G81" s="189" t="s">
        <v>3865</v>
      </c>
      <c r="H81" s="189">
        <v>6000</v>
      </c>
      <c r="I81" s="193">
        <v>48000</v>
      </c>
      <c r="J81" s="186" t="e">
        <f>INDEX([3]Summary!G:G,MATCH(A81,[3]Summary!A:A,0))*H81</f>
        <v>#N/A</v>
      </c>
      <c r="K81" s="114" t="s">
        <v>2773</v>
      </c>
      <c r="L81" s="114" t="s">
        <v>3575</v>
      </c>
      <c r="M81" s="182" t="e">
        <f>INDEX([3]Summary!B:B,MATCH(A81,[3]Summary!A:A,0))</f>
        <v>#N/A</v>
      </c>
      <c r="N81" s="182">
        <v>44196</v>
      </c>
      <c r="P81" s="183">
        <f t="shared" si="5"/>
        <v>48000</v>
      </c>
    </row>
    <row r="82" spans="1:16">
      <c r="A82" s="201" t="s">
        <v>3840</v>
      </c>
      <c r="B82" s="178">
        <f t="shared" si="6"/>
        <v>8</v>
      </c>
      <c r="C82" s="185">
        <v>8</v>
      </c>
      <c r="D82" s="189" t="s">
        <v>3866</v>
      </c>
      <c r="E82" s="189" t="s">
        <v>3867</v>
      </c>
      <c r="F82" s="189" t="s">
        <v>3868</v>
      </c>
      <c r="G82" s="189" t="s">
        <v>3869</v>
      </c>
      <c r="H82" s="189">
        <v>243600</v>
      </c>
      <c r="I82" s="193">
        <v>1948800</v>
      </c>
      <c r="J82" s="186" t="e">
        <f>INDEX([3]Summary!G:G,MATCH(A82,[3]Summary!A:A,0))*H82</f>
        <v>#N/A</v>
      </c>
      <c r="K82" s="114" t="s">
        <v>2773</v>
      </c>
      <c r="L82" s="114" t="s">
        <v>3870</v>
      </c>
      <c r="M82" s="182" t="e">
        <f>INDEX([3]Summary!B:B,MATCH(A82,[3]Summary!A:A,0))</f>
        <v>#N/A</v>
      </c>
      <c r="N82" s="182">
        <v>44196</v>
      </c>
      <c r="P82" s="183">
        <f t="shared" si="5"/>
        <v>1948800</v>
      </c>
    </row>
    <row r="83" spans="1:16">
      <c r="A83" s="201" t="s">
        <v>3840</v>
      </c>
      <c r="B83" s="178">
        <f t="shared" si="6"/>
        <v>8</v>
      </c>
      <c r="C83" s="185">
        <v>9</v>
      </c>
      <c r="D83" s="189" t="s">
        <v>3871</v>
      </c>
      <c r="E83" s="189" t="s">
        <v>3872</v>
      </c>
      <c r="F83" s="189" t="s">
        <v>3873</v>
      </c>
      <c r="G83" s="189" t="s">
        <v>3874</v>
      </c>
      <c r="H83" s="189">
        <v>192000</v>
      </c>
      <c r="I83" s="193">
        <v>1536000</v>
      </c>
      <c r="J83" s="186" t="e">
        <f>INDEX([3]Summary!G:G,MATCH(A83,[3]Summary!A:A,0))*H83</f>
        <v>#N/A</v>
      </c>
      <c r="K83" s="114" t="s">
        <v>2914</v>
      </c>
      <c r="L83" s="114" t="s">
        <v>3575</v>
      </c>
      <c r="M83" s="182" t="e">
        <f>INDEX([3]Summary!B:B,MATCH(A83,[3]Summary!A:A,0))</f>
        <v>#N/A</v>
      </c>
      <c r="N83" s="176">
        <v>44196</v>
      </c>
      <c r="P83" s="183">
        <f t="shared" si="5"/>
        <v>1536000</v>
      </c>
    </row>
    <row r="84" spans="1:16">
      <c r="A84" s="204" t="s">
        <v>3875</v>
      </c>
      <c r="B84" s="178">
        <f t="shared" si="6"/>
        <v>9</v>
      </c>
      <c r="C84" s="205">
        <v>1</v>
      </c>
      <c r="D84" s="206" t="s">
        <v>3836</v>
      </c>
      <c r="E84" s="207" t="s">
        <v>3876</v>
      </c>
      <c r="F84" s="207" t="s">
        <v>3877</v>
      </c>
      <c r="G84" s="207" t="s">
        <v>3877</v>
      </c>
      <c r="H84" s="208">
        <f>2358000+31250</f>
        <v>2389250</v>
      </c>
      <c r="I84" s="209">
        <f>H84*7</f>
        <v>16724750</v>
      </c>
      <c r="K84" t="s">
        <v>2914</v>
      </c>
      <c r="L84" s="211" t="s">
        <v>3878</v>
      </c>
      <c r="M84" s="182" t="e">
        <f>INDEX([3]Summary!B:B,MATCH(A84,[3]Summary!A:A,0))</f>
        <v>#N/A</v>
      </c>
      <c r="N84" s="176">
        <v>44196</v>
      </c>
      <c r="P84" s="183">
        <f t="shared" si="5"/>
        <v>16724750</v>
      </c>
    </row>
    <row r="85" spans="1:16">
      <c r="A85" s="212" t="s">
        <v>3875</v>
      </c>
      <c r="B85" s="178">
        <f t="shared" si="6"/>
        <v>9</v>
      </c>
      <c r="C85" s="50">
        <v>2</v>
      </c>
      <c r="D85" s="45" t="s">
        <v>3879</v>
      </c>
      <c r="E85" s="45" t="s">
        <v>3880</v>
      </c>
      <c r="F85" s="45" t="s">
        <v>3881</v>
      </c>
      <c r="G85" s="45" t="s">
        <v>3882</v>
      </c>
      <c r="H85" s="56">
        <v>2250000</v>
      </c>
      <c r="I85" s="56">
        <f>H85*7</f>
        <v>15750000</v>
      </c>
      <c r="J85" s="56"/>
      <c r="K85" s="45" t="s">
        <v>2817</v>
      </c>
      <c r="L85" s="45" t="s">
        <v>3848</v>
      </c>
      <c r="M85" s="182" t="e">
        <f>INDEX([3]Summary!B:B,MATCH(A85,[3]Summary!A:A,0))</f>
        <v>#N/A</v>
      </c>
      <c r="N85" s="176">
        <v>44196</v>
      </c>
      <c r="P85" s="183">
        <f t="shared" si="5"/>
        <v>15750000</v>
      </c>
    </row>
    <row r="86" spans="1:16">
      <c r="A86" s="204" t="s">
        <v>3875</v>
      </c>
      <c r="B86" s="178">
        <f t="shared" si="6"/>
        <v>9</v>
      </c>
      <c r="C86" s="205">
        <v>3</v>
      </c>
      <c r="D86" s="213" t="s">
        <v>3883</v>
      </c>
      <c r="E86" s="214" t="s">
        <v>3884</v>
      </c>
      <c r="F86" s="214" t="s">
        <v>3885</v>
      </c>
      <c r="G86" s="214"/>
      <c r="H86" s="215"/>
      <c r="I86" s="118">
        <f>H86*7</f>
        <v>0</v>
      </c>
      <c r="K86" t="s">
        <v>2914</v>
      </c>
      <c r="L86" s="213" t="s">
        <v>3588</v>
      </c>
      <c r="M86" s="182" t="e">
        <f>INDEX([3]Summary!B:B,MATCH(A86,[3]Summary!A:A,0))</f>
        <v>#N/A</v>
      </c>
      <c r="P86" s="183" t="e">
        <f t="shared" si="5"/>
        <v>#N/A</v>
      </c>
    </row>
    <row r="87" spans="1:16">
      <c r="A87" s="204" t="s">
        <v>3875</v>
      </c>
      <c r="B87" s="178">
        <f t="shared" si="6"/>
        <v>9</v>
      </c>
      <c r="C87" s="205">
        <v>4</v>
      </c>
      <c r="D87" s="197" t="s">
        <v>3466</v>
      </c>
      <c r="E87" s="189" t="s">
        <v>3886</v>
      </c>
      <c r="F87" s="189" t="s">
        <v>3887</v>
      </c>
      <c r="G87" s="189" t="s">
        <v>3888</v>
      </c>
      <c r="H87" s="216">
        <v>3951566</v>
      </c>
      <c r="I87" s="56">
        <f>H87*7</f>
        <v>27660962</v>
      </c>
      <c r="K87" t="s">
        <v>2914</v>
      </c>
      <c r="L87" s="114" t="s">
        <v>3856</v>
      </c>
      <c r="M87" s="182" t="e">
        <f>INDEX([3]Summary!B:B,MATCH(A87,[3]Summary!A:A,0))</f>
        <v>#N/A</v>
      </c>
      <c r="N87" s="176">
        <v>44043</v>
      </c>
      <c r="P87" s="183" t="e">
        <f t="shared" si="5"/>
        <v>#N/A</v>
      </c>
    </row>
    <row r="88" spans="1:16">
      <c r="A88" s="204" t="s">
        <v>3875</v>
      </c>
      <c r="B88" s="178">
        <f t="shared" si="6"/>
        <v>9</v>
      </c>
      <c r="C88" s="205">
        <v>5</v>
      </c>
      <c r="D88" s="197" t="s">
        <v>3889</v>
      </c>
      <c r="E88" s="189" t="s">
        <v>3890</v>
      </c>
      <c r="F88" s="189" t="s">
        <v>3891</v>
      </c>
      <c r="G88" s="189" t="s">
        <v>3891</v>
      </c>
      <c r="H88" s="216">
        <f>I88/7</f>
        <v>9763895</v>
      </c>
      <c r="I88" s="56">
        <f>7*5145695+32327400</f>
        <v>68347265</v>
      </c>
      <c r="K88" t="s">
        <v>2914</v>
      </c>
      <c r="L88" s="114" t="s">
        <v>3870</v>
      </c>
      <c r="M88" s="182" t="e">
        <f>INDEX([3]Summary!B:B,MATCH(A88,[3]Summary!A:A,0))</f>
        <v>#N/A</v>
      </c>
      <c r="N88" s="176">
        <v>44196</v>
      </c>
      <c r="P88" s="183">
        <f t="shared" si="5"/>
        <v>68347265</v>
      </c>
    </row>
    <row r="89" spans="1:16">
      <c r="A89" s="204" t="s">
        <v>3875</v>
      </c>
      <c r="B89" s="178">
        <f t="shared" si="6"/>
        <v>9</v>
      </c>
      <c r="C89" s="205">
        <v>6</v>
      </c>
      <c r="D89" s="189" t="s">
        <v>3892</v>
      </c>
      <c r="E89" s="189" t="s">
        <v>3893</v>
      </c>
      <c r="F89" s="189" t="s">
        <v>3894</v>
      </c>
      <c r="G89" s="189" t="s">
        <v>3895</v>
      </c>
      <c r="H89" s="217">
        <v>1440000</v>
      </c>
      <c r="I89" s="56">
        <f>H89*7</f>
        <v>10080000</v>
      </c>
      <c r="K89" t="s">
        <v>2914</v>
      </c>
      <c r="L89" s="114" t="s">
        <v>3575</v>
      </c>
      <c r="M89" s="182" t="e">
        <f>INDEX([3]Summary!B:B,MATCH(A89,[3]Summary!A:A,0))</f>
        <v>#N/A</v>
      </c>
      <c r="N89" s="176">
        <v>44196</v>
      </c>
      <c r="P89" s="183">
        <f t="shared" si="5"/>
        <v>10080000</v>
      </c>
    </row>
    <row r="90" spans="1:16">
      <c r="A90" s="204" t="s">
        <v>3875</v>
      </c>
      <c r="B90" s="178">
        <f t="shared" si="6"/>
        <v>9</v>
      </c>
      <c r="C90" s="205">
        <v>7</v>
      </c>
      <c r="D90" s="189" t="s">
        <v>3645</v>
      </c>
      <c r="E90" s="218" t="s">
        <v>3896</v>
      </c>
      <c r="F90" s="189" t="s">
        <v>3897</v>
      </c>
      <c r="G90" s="189" t="s">
        <v>3898</v>
      </c>
      <c r="H90" s="217">
        <v>660000</v>
      </c>
      <c r="I90" s="56">
        <f>H90*7</f>
        <v>4620000</v>
      </c>
      <c r="K90" t="s">
        <v>2854</v>
      </c>
      <c r="L90" s="114" t="s">
        <v>3575</v>
      </c>
      <c r="M90" s="182" t="e">
        <f>INDEX([3]Summary!B:B,MATCH(A90,[3]Summary!A:A,0))</f>
        <v>#N/A</v>
      </c>
      <c r="N90" s="182">
        <v>44196</v>
      </c>
      <c r="O90" t="s">
        <v>3899</v>
      </c>
      <c r="P90" s="183">
        <f t="shared" si="5"/>
        <v>4620000</v>
      </c>
    </row>
    <row r="91" spans="1:16">
      <c r="A91" s="204" t="s">
        <v>3875</v>
      </c>
      <c r="B91" s="178">
        <f t="shared" si="6"/>
        <v>9</v>
      </c>
      <c r="C91" s="205">
        <v>8</v>
      </c>
      <c r="D91" s="189" t="s">
        <v>3900</v>
      </c>
      <c r="E91" s="189" t="s">
        <v>3901</v>
      </c>
      <c r="F91" s="189" t="s">
        <v>3902</v>
      </c>
      <c r="G91" s="114" t="s">
        <v>3903</v>
      </c>
      <c r="H91" s="217">
        <v>119208</v>
      </c>
      <c r="I91" s="56">
        <f>H91*7</f>
        <v>834456</v>
      </c>
      <c r="K91" t="s">
        <v>2914</v>
      </c>
      <c r="L91" s="114" t="s">
        <v>3575</v>
      </c>
      <c r="M91" s="182" t="e">
        <f>INDEX([3]Summary!B:B,MATCH(A91,[3]Summary!A:A,0))</f>
        <v>#N/A</v>
      </c>
      <c r="N91" s="176">
        <v>44196</v>
      </c>
      <c r="P91" s="183">
        <f t="shared" si="5"/>
        <v>834456</v>
      </c>
    </row>
    <row r="92" spans="1:16">
      <c r="A92" s="204" t="s">
        <v>3875</v>
      </c>
      <c r="B92" s="178">
        <f t="shared" si="6"/>
        <v>9</v>
      </c>
      <c r="C92" s="205">
        <v>9</v>
      </c>
      <c r="D92" s="189" t="s">
        <v>3904</v>
      </c>
      <c r="E92" s="189" t="s">
        <v>3905</v>
      </c>
      <c r="F92" s="189" t="s">
        <v>3906</v>
      </c>
      <c r="G92" s="189" t="s">
        <v>3907</v>
      </c>
      <c r="H92" s="217">
        <v>64200</v>
      </c>
      <c r="I92" s="56">
        <f>H92*7</f>
        <v>449400</v>
      </c>
      <c r="K92" t="s">
        <v>2773</v>
      </c>
      <c r="L92" s="114" t="s">
        <v>3575</v>
      </c>
      <c r="M92" s="182" t="e">
        <f>INDEX([3]Summary!B:B,MATCH(A92,[3]Summary!A:A,0))</f>
        <v>#N/A</v>
      </c>
      <c r="N92" s="182">
        <v>44196</v>
      </c>
      <c r="P92" s="183">
        <f t="shared" si="5"/>
        <v>449400</v>
      </c>
    </row>
    <row r="93" spans="1:16">
      <c r="A93" s="204" t="s">
        <v>3875</v>
      </c>
      <c r="B93" s="178">
        <f t="shared" si="6"/>
        <v>9</v>
      </c>
      <c r="C93" s="205">
        <v>10</v>
      </c>
      <c r="D93" s="219" t="s">
        <v>3700</v>
      </c>
      <c r="E93" s="207" t="s">
        <v>3775</v>
      </c>
      <c r="F93" s="207" t="s">
        <v>3908</v>
      </c>
      <c r="G93" s="207" t="s">
        <v>3909</v>
      </c>
      <c r="H93" s="220"/>
      <c r="I93" s="209"/>
      <c r="K93" t="s">
        <v>2773</v>
      </c>
      <c r="L93" s="219" t="s">
        <v>3588</v>
      </c>
      <c r="M93" s="182" t="e">
        <f>INDEX([3]Summary!B:B,MATCH(A93,[3]Summary!A:A,0))</f>
        <v>#N/A</v>
      </c>
      <c r="P93" s="183" t="e">
        <f t="shared" si="5"/>
        <v>#N/A</v>
      </c>
    </row>
    <row r="94" spans="1:16" ht="30.75">
      <c r="A94" s="212" t="s">
        <v>3910</v>
      </c>
      <c r="B94" s="178">
        <f t="shared" si="6"/>
        <v>10</v>
      </c>
      <c r="C94" s="50">
        <v>1</v>
      </c>
      <c r="D94" s="45" t="s">
        <v>3911</v>
      </c>
      <c r="E94" s="45" t="s">
        <v>3912</v>
      </c>
      <c r="F94" s="45" t="s">
        <v>3913</v>
      </c>
      <c r="G94" s="45" t="s">
        <v>3914</v>
      </c>
      <c r="H94" s="221">
        <v>381000</v>
      </c>
      <c r="I94" s="56">
        <v>2667000</v>
      </c>
      <c r="J94" s="56"/>
      <c r="K94" s="45" t="s">
        <v>2817</v>
      </c>
      <c r="L94" s="45" t="s">
        <v>3575</v>
      </c>
      <c r="M94" s="182" t="e">
        <f>INDEX([3]Summary!B:B,MATCH(A94,[3]Summary!A:A,0))</f>
        <v>#N/A</v>
      </c>
      <c r="N94" s="176">
        <v>44196</v>
      </c>
      <c r="P94" s="183">
        <f t="shared" si="5"/>
        <v>2667000</v>
      </c>
    </row>
    <row r="95" spans="1:16">
      <c r="A95" s="204" t="s">
        <v>3910</v>
      </c>
      <c r="B95" s="178">
        <f t="shared" si="6"/>
        <v>10</v>
      </c>
      <c r="C95" s="205">
        <v>2</v>
      </c>
      <c r="D95" s="222" t="s">
        <v>3871</v>
      </c>
      <c r="E95" s="214" t="s">
        <v>3915</v>
      </c>
      <c r="F95" s="214" t="s">
        <v>3916</v>
      </c>
      <c r="G95" s="214" t="s">
        <v>3917</v>
      </c>
      <c r="H95" s="210">
        <v>522000</v>
      </c>
      <c r="I95" s="210">
        <v>3654000</v>
      </c>
      <c r="K95" t="s">
        <v>2914</v>
      </c>
      <c r="L95" s="117" t="s">
        <v>3870</v>
      </c>
      <c r="M95" s="182" t="e">
        <f>INDEX([3]Summary!B:B,MATCH(A95,[3]Summary!A:A,0))</f>
        <v>#N/A</v>
      </c>
      <c r="N95" s="176">
        <v>44196</v>
      </c>
      <c r="P95" s="183">
        <f t="shared" si="5"/>
        <v>3654000</v>
      </c>
    </row>
    <row r="96" spans="1:16">
      <c r="A96" s="204" t="s">
        <v>3910</v>
      </c>
      <c r="B96" s="178">
        <f t="shared" si="6"/>
        <v>10</v>
      </c>
      <c r="C96" s="205">
        <v>3</v>
      </c>
      <c r="D96" s="188" t="s">
        <v>1482</v>
      </c>
      <c r="E96" s="189" t="s">
        <v>3918</v>
      </c>
      <c r="F96" s="189" t="s">
        <v>3919</v>
      </c>
      <c r="G96" s="189"/>
      <c r="K96" t="s">
        <v>2914</v>
      </c>
      <c r="L96" s="188" t="s">
        <v>3588</v>
      </c>
      <c r="M96" s="182" t="e">
        <f>INDEX([3]Summary!B:B,MATCH(A96,[3]Summary!A:A,0))</f>
        <v>#N/A</v>
      </c>
      <c r="P96" s="183" t="e">
        <f t="shared" si="5"/>
        <v>#N/A</v>
      </c>
    </row>
    <row r="97" spans="1:16">
      <c r="A97" s="204" t="s">
        <v>3910</v>
      </c>
      <c r="B97" s="178">
        <f t="shared" si="6"/>
        <v>10</v>
      </c>
      <c r="C97" s="205">
        <v>4</v>
      </c>
      <c r="D97" s="197" t="s">
        <v>3785</v>
      </c>
      <c r="E97" s="189" t="s">
        <v>3920</v>
      </c>
      <c r="F97" s="189" t="s">
        <v>3921</v>
      </c>
      <c r="G97" s="189" t="s">
        <v>3922</v>
      </c>
      <c r="H97" s="223">
        <v>83388072</v>
      </c>
      <c r="I97" s="210">
        <v>583716504</v>
      </c>
      <c r="K97" t="s">
        <v>2854</v>
      </c>
      <c r="L97" s="114" t="s">
        <v>3848</v>
      </c>
      <c r="M97" s="182" t="e">
        <f>INDEX([3]Summary!B:B,MATCH(A97,[3]Summary!A:A,0))</f>
        <v>#N/A</v>
      </c>
      <c r="N97" s="176">
        <v>44196</v>
      </c>
      <c r="P97" s="183">
        <f t="shared" si="5"/>
        <v>583716504</v>
      </c>
    </row>
    <row r="98" spans="1:16">
      <c r="A98" s="204" t="s">
        <v>3910</v>
      </c>
      <c r="B98" s="178">
        <f t="shared" si="6"/>
        <v>10</v>
      </c>
      <c r="C98" s="205">
        <v>5</v>
      </c>
      <c r="D98" s="189" t="s">
        <v>3923</v>
      </c>
      <c r="E98" s="189" t="s">
        <v>3924</v>
      </c>
      <c r="F98" s="189" t="s">
        <v>3925</v>
      </c>
      <c r="G98" s="189" t="s">
        <v>3926</v>
      </c>
      <c r="H98" s="210">
        <v>56500</v>
      </c>
      <c r="I98" s="210">
        <v>395500</v>
      </c>
      <c r="K98" t="s">
        <v>2773</v>
      </c>
      <c r="L98" s="114" t="s">
        <v>3575</v>
      </c>
      <c r="M98" s="182" t="e">
        <f>INDEX([3]Summary!B:B,MATCH(A98,[3]Summary!A:A,0))</f>
        <v>#N/A</v>
      </c>
      <c r="N98" s="182">
        <v>44196</v>
      </c>
      <c r="P98" s="183">
        <f t="shared" si="5"/>
        <v>395500</v>
      </c>
    </row>
    <row r="99" spans="1:16">
      <c r="A99" s="204" t="s">
        <v>3910</v>
      </c>
      <c r="B99" s="178">
        <f t="shared" si="6"/>
        <v>10</v>
      </c>
      <c r="C99" s="205">
        <v>6</v>
      </c>
      <c r="D99" s="197" t="s">
        <v>3737</v>
      </c>
      <c r="E99" s="45" t="s">
        <v>3927</v>
      </c>
      <c r="F99" s="114" t="s">
        <v>3928</v>
      </c>
      <c r="G99" s="114" t="s">
        <v>3929</v>
      </c>
      <c r="H99" s="223">
        <v>4808130</v>
      </c>
      <c r="I99" s="210">
        <v>33656910</v>
      </c>
      <c r="K99" t="s">
        <v>2773</v>
      </c>
      <c r="L99" s="114" t="s">
        <v>3856</v>
      </c>
      <c r="M99" s="182" t="e">
        <f>INDEX([3]Summary!B:B,MATCH(A99,[3]Summary!A:A,0))</f>
        <v>#N/A</v>
      </c>
      <c r="N99" s="182">
        <v>44196</v>
      </c>
      <c r="P99" s="183">
        <f t="shared" si="5"/>
        <v>33656910</v>
      </c>
    </row>
    <row r="100" spans="1:16">
      <c r="A100" s="204" t="s">
        <v>3930</v>
      </c>
      <c r="B100" s="178">
        <f t="shared" si="6"/>
        <v>11</v>
      </c>
      <c r="C100" s="205">
        <v>1</v>
      </c>
      <c r="D100" s="207" t="s">
        <v>2544</v>
      </c>
      <c r="E100" s="207" t="s">
        <v>3931</v>
      </c>
      <c r="F100" s="207" t="s">
        <v>3932</v>
      </c>
      <c r="G100" s="224" t="s">
        <v>3933</v>
      </c>
      <c r="H100" s="208">
        <f>433/60*30000</f>
        <v>216500</v>
      </c>
      <c r="I100" s="209">
        <f>H100*5</f>
        <v>1082500</v>
      </c>
      <c r="K100" t="s">
        <v>2544</v>
      </c>
      <c r="L100" s="211" t="s">
        <v>3575</v>
      </c>
      <c r="M100" s="182" t="e">
        <f>INDEX([3]Summary!B:B,MATCH(A100,[3]Summary!A:A,0))</f>
        <v>#N/A</v>
      </c>
      <c r="N100" s="176">
        <v>44196</v>
      </c>
      <c r="P100" s="183">
        <f t="shared" si="5"/>
        <v>1082500</v>
      </c>
    </row>
    <row r="101" spans="1:16" ht="30.75">
      <c r="A101" s="212" t="s">
        <v>3930</v>
      </c>
      <c r="B101" s="178">
        <f t="shared" si="6"/>
        <v>11</v>
      </c>
      <c r="C101" s="50">
        <v>2</v>
      </c>
      <c r="D101" s="45" t="s">
        <v>3934</v>
      </c>
      <c r="E101" s="45" t="s">
        <v>3935</v>
      </c>
      <c r="F101" s="45" t="s">
        <v>3936</v>
      </c>
      <c r="G101" s="74" t="s">
        <v>3937</v>
      </c>
      <c r="H101" s="56">
        <v>71250</v>
      </c>
      <c r="I101" s="56">
        <f>H101*5</f>
        <v>356250</v>
      </c>
      <c r="J101" s="56"/>
      <c r="K101" s="45" t="s">
        <v>2817</v>
      </c>
      <c r="L101" s="45" t="s">
        <v>3575</v>
      </c>
      <c r="M101" s="182" t="e">
        <f>INDEX([3]Summary!B:B,MATCH(A101,[3]Summary!A:A,0))</f>
        <v>#N/A</v>
      </c>
      <c r="N101" s="176">
        <v>44196</v>
      </c>
      <c r="P101" s="183">
        <f t="shared" si="5"/>
        <v>356250</v>
      </c>
    </row>
    <row r="102" spans="1:16">
      <c r="A102" s="204" t="s">
        <v>3930</v>
      </c>
      <c r="B102" s="178">
        <f t="shared" si="6"/>
        <v>11</v>
      </c>
      <c r="C102" s="205">
        <v>3</v>
      </c>
      <c r="D102" s="214" t="s">
        <v>3938</v>
      </c>
      <c r="E102" s="214" t="s">
        <v>3479</v>
      </c>
      <c r="F102" s="214" t="s">
        <v>3939</v>
      </c>
      <c r="G102" s="214" t="s">
        <v>3939</v>
      </c>
      <c r="H102" s="225">
        <v>200000</v>
      </c>
      <c r="I102" s="118">
        <f>H102*5</f>
        <v>1000000</v>
      </c>
      <c r="K102" t="s">
        <v>2914</v>
      </c>
      <c r="L102" s="117" t="s">
        <v>3575</v>
      </c>
      <c r="M102" s="182" t="e">
        <f>INDEX([3]Summary!B:B,MATCH(A102,[3]Summary!A:A,0))</f>
        <v>#N/A</v>
      </c>
      <c r="N102" s="176">
        <v>44104</v>
      </c>
      <c r="P102" s="183" t="e">
        <f t="shared" si="5"/>
        <v>#N/A</v>
      </c>
    </row>
    <row r="103" spans="1:16">
      <c r="A103" s="204" t="s">
        <v>3930</v>
      </c>
      <c r="B103" s="178">
        <f t="shared" si="6"/>
        <v>11</v>
      </c>
      <c r="C103" s="205">
        <v>4</v>
      </c>
      <c r="D103" s="188" t="s">
        <v>3602</v>
      </c>
      <c r="E103" s="189" t="s">
        <v>3940</v>
      </c>
      <c r="F103" s="189" t="s">
        <v>3941</v>
      </c>
      <c r="G103" s="189" t="s">
        <v>3942</v>
      </c>
      <c r="H103" s="217"/>
      <c r="I103" s="56">
        <f>H103*5</f>
        <v>0</v>
      </c>
      <c r="K103" t="s">
        <v>2773</v>
      </c>
      <c r="L103" s="188" t="s">
        <v>3588</v>
      </c>
      <c r="M103" s="182" t="e">
        <f>INDEX([3]Summary!B:B,MATCH(A103,[3]Summary!A:A,0))</f>
        <v>#N/A</v>
      </c>
      <c r="P103" s="183" t="e">
        <f t="shared" si="5"/>
        <v>#N/A</v>
      </c>
    </row>
    <row r="104" spans="1:16">
      <c r="A104" s="204" t="s">
        <v>3930</v>
      </c>
      <c r="B104" s="178">
        <f t="shared" si="6"/>
        <v>11</v>
      </c>
      <c r="C104" s="205">
        <v>5</v>
      </c>
      <c r="D104" s="189" t="s">
        <v>3904</v>
      </c>
      <c r="E104" s="114" t="s">
        <v>3943</v>
      </c>
      <c r="F104" s="114" t="s">
        <v>3944</v>
      </c>
      <c r="G104" s="114" t="s">
        <v>3945</v>
      </c>
      <c r="H104" s="193">
        <v>870000</v>
      </c>
      <c r="I104" s="56">
        <f>H104*5</f>
        <v>4350000</v>
      </c>
      <c r="K104" t="s">
        <v>2773</v>
      </c>
      <c r="L104" s="114" t="s">
        <v>3575</v>
      </c>
      <c r="M104" s="182" t="e">
        <f>INDEX([3]Summary!B:B,MATCH(A104,[3]Summary!A:A,0))</f>
        <v>#N/A</v>
      </c>
      <c r="N104" s="182">
        <v>44196</v>
      </c>
      <c r="P104" s="183">
        <f t="shared" si="5"/>
        <v>4350000</v>
      </c>
    </row>
    <row r="105" spans="1:16">
      <c r="A105" s="204" t="s">
        <v>3946</v>
      </c>
      <c r="B105" s="178">
        <f t="shared" si="6"/>
        <v>12</v>
      </c>
      <c r="C105" s="205">
        <v>1</v>
      </c>
      <c r="D105" s="207" t="s">
        <v>2841</v>
      </c>
      <c r="E105" s="207" t="s">
        <v>3947</v>
      </c>
      <c r="F105" s="207" t="s">
        <v>3948</v>
      </c>
      <c r="G105" s="224" t="s">
        <v>3949</v>
      </c>
      <c r="H105" s="226">
        <v>945000</v>
      </c>
      <c r="I105" s="210">
        <v>4725000</v>
      </c>
      <c r="K105" s="211" t="s">
        <v>2841</v>
      </c>
      <c r="L105" s="211" t="s">
        <v>3575</v>
      </c>
      <c r="M105" s="182" t="e">
        <f>INDEX([3]Summary!B:B,MATCH(A105,[3]Summary!A:A,0))</f>
        <v>#N/A</v>
      </c>
      <c r="N105" s="176">
        <v>44196</v>
      </c>
      <c r="P105" s="183">
        <f t="shared" si="5"/>
        <v>4725000</v>
      </c>
    </row>
    <row r="106" spans="1:16" ht="45.75">
      <c r="A106" s="212" t="s">
        <v>3946</v>
      </c>
      <c r="B106" s="178">
        <f t="shared" si="6"/>
        <v>12</v>
      </c>
      <c r="C106" s="50">
        <v>2</v>
      </c>
      <c r="D106" s="45" t="s">
        <v>3950</v>
      </c>
      <c r="E106" s="45" t="s">
        <v>3951</v>
      </c>
      <c r="F106" s="45" t="s">
        <v>3952</v>
      </c>
      <c r="G106" s="74" t="s">
        <v>3953</v>
      </c>
      <c r="H106" s="57">
        <v>330160</v>
      </c>
      <c r="I106" s="56">
        <v>1650800</v>
      </c>
      <c r="J106" s="56"/>
      <c r="K106" s="45" t="s">
        <v>2817</v>
      </c>
      <c r="L106" s="45" t="s">
        <v>3575</v>
      </c>
      <c r="M106" s="182" t="e">
        <f>INDEX([3]Summary!B:B,MATCH(A106,[3]Summary!A:A,0))</f>
        <v>#N/A</v>
      </c>
      <c r="N106" s="176">
        <v>44196</v>
      </c>
      <c r="P106" s="183">
        <f t="shared" si="5"/>
        <v>1650800</v>
      </c>
    </row>
    <row r="107" spans="1:16">
      <c r="A107" s="204" t="s">
        <v>3946</v>
      </c>
      <c r="B107" s="178">
        <f t="shared" si="6"/>
        <v>12</v>
      </c>
      <c r="C107" s="205">
        <v>3</v>
      </c>
      <c r="D107" s="213" t="s">
        <v>3954</v>
      </c>
      <c r="E107" s="214"/>
      <c r="F107" s="214" t="s">
        <v>3955</v>
      </c>
      <c r="G107" s="214" t="s">
        <v>3942</v>
      </c>
      <c r="I107" s="210">
        <v>0</v>
      </c>
      <c r="K107" t="s">
        <v>2914</v>
      </c>
      <c r="L107" s="213" t="s">
        <v>3588</v>
      </c>
      <c r="M107" s="182" t="e">
        <f>INDEX([3]Summary!B:B,MATCH(A107,[3]Summary!A:A,0))</f>
        <v>#N/A</v>
      </c>
      <c r="P107" s="183" t="e">
        <f t="shared" si="5"/>
        <v>#N/A</v>
      </c>
    </row>
    <row r="108" spans="1:16">
      <c r="A108" s="204" t="s">
        <v>3946</v>
      </c>
      <c r="B108" s="178">
        <f t="shared" si="6"/>
        <v>12</v>
      </c>
      <c r="C108" s="205">
        <v>4</v>
      </c>
      <c r="D108" s="197" t="s">
        <v>3956</v>
      </c>
      <c r="E108" s="189" t="s">
        <v>3957</v>
      </c>
      <c r="F108" s="189" t="s">
        <v>3958</v>
      </c>
      <c r="G108" s="189" t="s">
        <v>3959</v>
      </c>
      <c r="H108" s="210">
        <v>326000</v>
      </c>
      <c r="I108" s="210">
        <v>1630000</v>
      </c>
      <c r="K108" t="s">
        <v>2914</v>
      </c>
      <c r="L108" s="114" t="s">
        <v>3575</v>
      </c>
      <c r="M108" s="182" t="e">
        <f>INDEX([3]Summary!B:B,MATCH(A108,[3]Summary!A:A,0))</f>
        <v>#N/A</v>
      </c>
      <c r="N108" s="176">
        <v>44196</v>
      </c>
      <c r="P108" s="183">
        <f t="shared" si="5"/>
        <v>1630000</v>
      </c>
    </row>
    <row r="109" spans="1:16">
      <c r="A109" s="204" t="s">
        <v>3946</v>
      </c>
      <c r="B109" s="178">
        <f t="shared" si="6"/>
        <v>12</v>
      </c>
      <c r="C109" s="205">
        <v>5</v>
      </c>
      <c r="D109" s="188" t="s">
        <v>3956</v>
      </c>
      <c r="E109" s="189" t="s">
        <v>3957</v>
      </c>
      <c r="F109" s="189" t="s">
        <v>3960</v>
      </c>
      <c r="G109" s="189" t="s">
        <v>3942</v>
      </c>
      <c r="I109" s="210">
        <v>0</v>
      </c>
      <c r="K109" t="s">
        <v>2914</v>
      </c>
      <c r="L109" s="188" t="s">
        <v>3588</v>
      </c>
      <c r="M109" s="182" t="e">
        <f>INDEX([3]Summary!B:B,MATCH(A109,[3]Summary!A:A,0))</f>
        <v>#N/A</v>
      </c>
      <c r="P109" s="183" t="e">
        <f t="shared" si="5"/>
        <v>#N/A</v>
      </c>
    </row>
    <row r="110" spans="1:16">
      <c r="A110" s="204" t="s">
        <v>3946</v>
      </c>
      <c r="B110" s="178">
        <f t="shared" si="6"/>
        <v>12</v>
      </c>
      <c r="C110" s="205">
        <v>6</v>
      </c>
      <c r="D110" s="188" t="s">
        <v>3961</v>
      </c>
      <c r="E110" s="189" t="s">
        <v>3962</v>
      </c>
      <c r="F110" s="189" t="s">
        <v>3963</v>
      </c>
      <c r="G110" s="189" t="s">
        <v>3942</v>
      </c>
      <c r="I110" s="210">
        <v>0</v>
      </c>
      <c r="K110" t="s">
        <v>2914</v>
      </c>
      <c r="L110" s="188" t="s">
        <v>3588</v>
      </c>
      <c r="M110" s="182" t="e">
        <f>INDEX([3]Summary!B:B,MATCH(A110,[3]Summary!A:A,0))</f>
        <v>#N/A</v>
      </c>
      <c r="P110" s="183" t="e">
        <f t="shared" si="5"/>
        <v>#N/A</v>
      </c>
    </row>
    <row r="111" spans="1:16">
      <c r="A111" s="204" t="s">
        <v>3946</v>
      </c>
      <c r="B111" s="178">
        <f t="shared" si="6"/>
        <v>12</v>
      </c>
      <c r="C111" s="205">
        <v>7</v>
      </c>
      <c r="D111" s="188" t="s">
        <v>3964</v>
      </c>
      <c r="E111" s="189" t="s">
        <v>3965</v>
      </c>
      <c r="F111" s="189" t="s">
        <v>3966</v>
      </c>
      <c r="G111" s="189" t="s">
        <v>3942</v>
      </c>
      <c r="I111" s="210">
        <v>0</v>
      </c>
      <c r="K111" t="s">
        <v>2914</v>
      </c>
      <c r="L111" s="188" t="s">
        <v>3588</v>
      </c>
      <c r="M111" s="182" t="e">
        <f>INDEX([3]Summary!B:B,MATCH(A111,[3]Summary!A:A,0))</f>
        <v>#N/A</v>
      </c>
      <c r="P111" s="183" t="e">
        <f t="shared" si="5"/>
        <v>#N/A</v>
      </c>
    </row>
    <row r="112" spans="1:16">
      <c r="A112" s="204" t="s">
        <v>3946</v>
      </c>
      <c r="B112" s="178">
        <f t="shared" si="6"/>
        <v>12</v>
      </c>
      <c r="C112" s="205">
        <v>8</v>
      </c>
      <c r="D112" s="188" t="s">
        <v>3967</v>
      </c>
      <c r="E112" s="189" t="s">
        <v>3734</v>
      </c>
      <c r="F112" s="189" t="s">
        <v>3968</v>
      </c>
      <c r="G112" s="189" t="s">
        <v>3942</v>
      </c>
      <c r="I112" s="210">
        <v>0</v>
      </c>
      <c r="K112" t="s">
        <v>2854</v>
      </c>
      <c r="L112" s="188" t="s">
        <v>3588</v>
      </c>
      <c r="M112" s="182" t="e">
        <f>INDEX([3]Summary!B:B,MATCH(A112,[3]Summary!A:A,0))</f>
        <v>#N/A</v>
      </c>
      <c r="P112" s="183" t="e">
        <f t="shared" si="5"/>
        <v>#N/A</v>
      </c>
    </row>
    <row r="113" spans="1:16">
      <c r="A113" s="204" t="s">
        <v>3946</v>
      </c>
      <c r="B113" s="178">
        <f t="shared" si="6"/>
        <v>12</v>
      </c>
      <c r="C113" s="205">
        <v>9</v>
      </c>
      <c r="D113" s="197" t="s">
        <v>3969</v>
      </c>
      <c r="E113" s="189" t="s">
        <v>3970</v>
      </c>
      <c r="F113" s="189" t="s">
        <v>3971</v>
      </c>
      <c r="G113" s="189" t="s">
        <v>3972</v>
      </c>
      <c r="H113" s="210">
        <v>750000</v>
      </c>
      <c r="I113" s="210">
        <v>3750000</v>
      </c>
      <c r="K113" t="s">
        <v>2773</v>
      </c>
      <c r="L113" s="114" t="s">
        <v>3575</v>
      </c>
      <c r="M113" s="182" t="e">
        <f>INDEX([3]Summary!B:B,MATCH(A113,[3]Summary!A:A,0))</f>
        <v>#N/A</v>
      </c>
      <c r="N113" s="182">
        <v>44196</v>
      </c>
      <c r="P113" s="183">
        <f t="shared" si="5"/>
        <v>3750000</v>
      </c>
    </row>
    <row r="114" spans="1:16">
      <c r="A114" s="204" t="s">
        <v>3946</v>
      </c>
      <c r="B114" s="178">
        <f t="shared" si="6"/>
        <v>12</v>
      </c>
      <c r="C114" s="205">
        <v>10</v>
      </c>
      <c r="D114" s="227" t="s">
        <v>3973</v>
      </c>
      <c r="E114" s="211" t="s">
        <v>3974</v>
      </c>
      <c r="F114" s="211" t="s">
        <v>3975</v>
      </c>
      <c r="G114" s="211" t="s">
        <v>3976</v>
      </c>
      <c r="H114" s="223">
        <v>11220000</v>
      </c>
      <c r="I114" s="210">
        <v>56100000</v>
      </c>
      <c r="K114" t="s">
        <v>2773</v>
      </c>
      <c r="L114" s="211" t="s">
        <v>3575</v>
      </c>
      <c r="M114" s="182" t="e">
        <f>INDEX([3]Summary!B:B,MATCH(A114,[3]Summary!A:A,0))</f>
        <v>#N/A</v>
      </c>
      <c r="N114" s="182">
        <v>44196</v>
      </c>
      <c r="P114" s="183">
        <f t="shared" si="5"/>
        <v>56100000</v>
      </c>
    </row>
    <row r="115" spans="1:16" ht="30.75">
      <c r="A115" s="212" t="s">
        <v>3977</v>
      </c>
      <c r="B115" s="178">
        <f t="shared" si="6"/>
        <v>13</v>
      </c>
      <c r="C115" s="50">
        <v>1</v>
      </c>
      <c r="D115" s="45" t="s">
        <v>3978</v>
      </c>
      <c r="E115" s="45" t="s">
        <v>3979</v>
      </c>
      <c r="F115" s="45" t="s">
        <v>3980</v>
      </c>
      <c r="G115" s="45" t="s">
        <v>3981</v>
      </c>
      <c r="H115" s="56">
        <v>670000</v>
      </c>
      <c r="I115" s="56">
        <v>3350000</v>
      </c>
      <c r="J115" s="56"/>
      <c r="K115" s="45" t="s">
        <v>2817</v>
      </c>
      <c r="L115" s="45" t="s">
        <v>3575</v>
      </c>
      <c r="M115" s="182" t="e">
        <f>INDEX([3]Summary!B:B,MATCH(A115,[3]Summary!A:A,0))</f>
        <v>#N/A</v>
      </c>
      <c r="N115" s="176">
        <v>44196</v>
      </c>
      <c r="P115" s="183">
        <f t="shared" si="5"/>
        <v>3350000</v>
      </c>
    </row>
    <row r="116" spans="1:16">
      <c r="A116" s="204" t="s">
        <v>3977</v>
      </c>
      <c r="B116" s="178">
        <f t="shared" si="6"/>
        <v>13</v>
      </c>
      <c r="C116" s="205">
        <v>2</v>
      </c>
      <c r="D116" s="222" t="s">
        <v>3956</v>
      </c>
      <c r="E116" s="214" t="s">
        <v>3982</v>
      </c>
      <c r="F116" s="214" t="s">
        <v>3983</v>
      </c>
      <c r="G116" s="214" t="s">
        <v>3984</v>
      </c>
      <c r="H116" s="210">
        <v>300000</v>
      </c>
      <c r="I116" s="210">
        <v>1500000</v>
      </c>
      <c r="K116" t="s">
        <v>2914</v>
      </c>
      <c r="L116" s="117" t="s">
        <v>3575</v>
      </c>
      <c r="M116" s="182" t="e">
        <f>INDEX([3]Summary!B:B,MATCH(A116,[3]Summary!A:A,0))</f>
        <v>#N/A</v>
      </c>
      <c r="N116" s="176">
        <v>44196</v>
      </c>
      <c r="P116" s="183">
        <f t="shared" si="5"/>
        <v>1500000</v>
      </c>
    </row>
    <row r="117" spans="1:16">
      <c r="A117" s="204" t="s">
        <v>3977</v>
      </c>
      <c r="B117" s="178">
        <f t="shared" si="6"/>
        <v>13</v>
      </c>
      <c r="C117" s="205">
        <v>3</v>
      </c>
      <c r="D117" s="188" t="s">
        <v>3985</v>
      </c>
      <c r="E117" s="188" t="s">
        <v>3986</v>
      </c>
      <c r="F117" s="188" t="s">
        <v>3987</v>
      </c>
      <c r="G117" s="189" t="s">
        <v>3942</v>
      </c>
      <c r="I117" s="210">
        <v>0</v>
      </c>
      <c r="K117" t="s">
        <v>2914</v>
      </c>
      <c r="L117" s="188" t="s">
        <v>3588</v>
      </c>
      <c r="M117" s="182" t="e">
        <f>INDEX([3]Summary!B:B,MATCH(A117,[3]Summary!A:A,0))</f>
        <v>#N/A</v>
      </c>
      <c r="P117" s="183" t="e">
        <f t="shared" si="5"/>
        <v>#N/A</v>
      </c>
    </row>
    <row r="118" spans="1:16">
      <c r="A118" s="204" t="s">
        <v>3977</v>
      </c>
      <c r="B118" s="178">
        <f t="shared" si="6"/>
        <v>13</v>
      </c>
      <c r="C118" s="205">
        <v>4</v>
      </c>
      <c r="D118" s="188" t="s">
        <v>3988</v>
      </c>
      <c r="E118" s="188" t="s">
        <v>3989</v>
      </c>
      <c r="F118" s="188" t="s">
        <v>3990</v>
      </c>
      <c r="G118" s="189" t="s">
        <v>3942</v>
      </c>
      <c r="I118" s="210">
        <v>0</v>
      </c>
      <c r="K118" t="s">
        <v>2914</v>
      </c>
      <c r="L118" s="188" t="s">
        <v>3588</v>
      </c>
      <c r="M118" s="182" t="e">
        <f>INDEX([3]Summary!B:B,MATCH(A118,[3]Summary!A:A,0))</f>
        <v>#N/A</v>
      </c>
      <c r="P118" s="183" t="e">
        <f t="shared" si="5"/>
        <v>#N/A</v>
      </c>
    </row>
    <row r="119" spans="1:16">
      <c r="A119" s="204" t="s">
        <v>3977</v>
      </c>
      <c r="B119" s="178">
        <f t="shared" si="6"/>
        <v>13</v>
      </c>
      <c r="C119" s="205">
        <v>5</v>
      </c>
      <c r="D119" s="189" t="s">
        <v>3487</v>
      </c>
      <c r="E119" s="189" t="s">
        <v>3991</v>
      </c>
      <c r="F119" s="189" t="s">
        <v>3992</v>
      </c>
      <c r="G119" s="189" t="s">
        <v>3993</v>
      </c>
      <c r="H119" s="210">
        <v>66000</v>
      </c>
      <c r="I119" s="210">
        <v>330000</v>
      </c>
      <c r="K119" t="s">
        <v>2914</v>
      </c>
      <c r="L119" s="114" t="s">
        <v>3575</v>
      </c>
      <c r="M119" s="182" t="e">
        <f>INDEX([3]Summary!B:B,MATCH(A119,[3]Summary!A:A,0))</f>
        <v>#N/A</v>
      </c>
      <c r="N119" s="176">
        <v>44196</v>
      </c>
      <c r="P119" s="183">
        <f t="shared" si="5"/>
        <v>330000</v>
      </c>
    </row>
    <row r="120" spans="1:16">
      <c r="A120" s="204" t="s">
        <v>3977</v>
      </c>
      <c r="B120" s="178">
        <f t="shared" si="6"/>
        <v>13</v>
      </c>
      <c r="C120" s="205">
        <v>6</v>
      </c>
      <c r="D120" s="188" t="s">
        <v>3994</v>
      </c>
      <c r="E120" s="189" t="s">
        <v>3995</v>
      </c>
      <c r="F120" s="189" t="s">
        <v>3996</v>
      </c>
      <c r="G120" s="189" t="s">
        <v>3997</v>
      </c>
      <c r="I120" s="210">
        <v>0</v>
      </c>
      <c r="K120" t="s">
        <v>2773</v>
      </c>
      <c r="L120" s="188" t="s">
        <v>3588</v>
      </c>
      <c r="M120" s="182" t="e">
        <f>INDEX([3]Summary!B:B,MATCH(A120,[3]Summary!A:A,0))</f>
        <v>#N/A</v>
      </c>
      <c r="P120" s="183" t="e">
        <f t="shared" si="5"/>
        <v>#N/A</v>
      </c>
    </row>
    <row r="121" spans="1:16">
      <c r="A121" s="204" t="s">
        <v>3977</v>
      </c>
      <c r="B121" s="178">
        <f t="shared" si="6"/>
        <v>13</v>
      </c>
      <c r="C121" s="205">
        <v>7</v>
      </c>
      <c r="D121" s="227" t="s">
        <v>3998</v>
      </c>
      <c r="E121" s="207" t="s">
        <v>3999</v>
      </c>
      <c r="F121" s="207" t="s">
        <v>4000</v>
      </c>
      <c r="G121" s="207" t="s">
        <v>4001</v>
      </c>
      <c r="H121" s="210">
        <v>210000</v>
      </c>
      <c r="I121" s="210">
        <v>1050000</v>
      </c>
      <c r="K121" t="s">
        <v>2773</v>
      </c>
      <c r="L121" s="211" t="s">
        <v>3575</v>
      </c>
      <c r="M121" s="182" t="e">
        <f>INDEX([3]Summary!B:B,MATCH(A121,[3]Summary!A:A,0))</f>
        <v>#N/A</v>
      </c>
      <c r="N121" s="182">
        <v>44196</v>
      </c>
      <c r="P121" s="183">
        <f t="shared" si="5"/>
        <v>1050000</v>
      </c>
    </row>
    <row r="122" spans="1:16" ht="45.75">
      <c r="A122" s="212" t="s">
        <v>4002</v>
      </c>
      <c r="B122" s="178">
        <f t="shared" si="6"/>
        <v>14</v>
      </c>
      <c r="C122" s="50">
        <v>1</v>
      </c>
      <c r="D122" s="45" t="s">
        <v>4003</v>
      </c>
      <c r="E122" s="45" t="s">
        <v>4004</v>
      </c>
      <c r="F122" s="45" t="s">
        <v>4005</v>
      </c>
      <c r="G122" s="45"/>
      <c r="H122" s="120">
        <v>5440400</v>
      </c>
      <c r="I122" s="56">
        <f t="shared" ref="I122:I127" si="7">H122*5</f>
        <v>27202000</v>
      </c>
      <c r="J122" s="56"/>
      <c r="K122" s="45" t="s">
        <v>2817</v>
      </c>
      <c r="L122" s="45" t="s">
        <v>3575</v>
      </c>
      <c r="M122" s="182" t="e">
        <f>INDEX([3]Summary!B:B,MATCH(A122,[3]Summary!A:A,0))</f>
        <v>#N/A</v>
      </c>
      <c r="N122" s="176">
        <v>44196</v>
      </c>
      <c r="P122" s="183">
        <f t="shared" si="5"/>
        <v>27202000</v>
      </c>
    </row>
    <row r="123" spans="1:16">
      <c r="A123" s="204" t="s">
        <v>4002</v>
      </c>
      <c r="B123" s="178">
        <f t="shared" si="6"/>
        <v>14</v>
      </c>
      <c r="C123" s="205">
        <v>2</v>
      </c>
      <c r="D123" s="213" t="s">
        <v>3836</v>
      </c>
      <c r="E123" s="214" t="s">
        <v>4006</v>
      </c>
      <c r="F123" s="214" t="s">
        <v>4007</v>
      </c>
      <c r="G123" s="213" t="s">
        <v>4008</v>
      </c>
      <c r="H123" s="215"/>
      <c r="I123" s="118">
        <f t="shared" si="7"/>
        <v>0</v>
      </c>
      <c r="K123" t="s">
        <v>2914</v>
      </c>
      <c r="L123" s="213" t="s">
        <v>3588</v>
      </c>
      <c r="M123" s="182" t="e">
        <f>INDEX([3]Summary!B:B,MATCH(A123,[3]Summary!A:A,0))</f>
        <v>#N/A</v>
      </c>
      <c r="P123" s="183" t="e">
        <f t="shared" si="5"/>
        <v>#N/A</v>
      </c>
    </row>
    <row r="124" spans="1:16">
      <c r="A124" s="204" t="s">
        <v>4002</v>
      </c>
      <c r="B124" s="178">
        <f t="shared" si="6"/>
        <v>14</v>
      </c>
      <c r="C124" s="205">
        <v>3</v>
      </c>
      <c r="D124" s="189" t="s">
        <v>4009</v>
      </c>
      <c r="E124" s="189" t="s">
        <v>4010</v>
      </c>
      <c r="F124" s="189" t="s">
        <v>4011</v>
      </c>
      <c r="G124" s="189" t="s">
        <v>4011</v>
      </c>
      <c r="H124" s="217">
        <v>51860</v>
      </c>
      <c r="I124" s="56">
        <f t="shared" si="7"/>
        <v>259300</v>
      </c>
      <c r="K124" t="s">
        <v>2914</v>
      </c>
      <c r="L124" s="114" t="s">
        <v>3575</v>
      </c>
      <c r="M124" s="182" t="e">
        <f>INDEX([3]Summary!B:B,MATCH(A124,[3]Summary!A:A,0))</f>
        <v>#N/A</v>
      </c>
      <c r="N124" s="176">
        <v>44196</v>
      </c>
      <c r="P124" s="183">
        <f t="shared" si="5"/>
        <v>259300</v>
      </c>
    </row>
    <row r="125" spans="1:16">
      <c r="A125" s="204" t="s">
        <v>4002</v>
      </c>
      <c r="B125" s="178">
        <f t="shared" si="6"/>
        <v>14</v>
      </c>
      <c r="C125" s="205">
        <v>4</v>
      </c>
      <c r="D125" s="188" t="s">
        <v>4012</v>
      </c>
      <c r="E125" s="189" t="s">
        <v>4013</v>
      </c>
      <c r="F125" s="189" t="s">
        <v>4014</v>
      </c>
      <c r="G125" s="188" t="s">
        <v>4015</v>
      </c>
      <c r="H125" s="217"/>
      <c r="I125" s="56">
        <f t="shared" si="7"/>
        <v>0</v>
      </c>
      <c r="K125" t="s">
        <v>2914</v>
      </c>
      <c r="L125" s="188" t="s">
        <v>3588</v>
      </c>
      <c r="M125" s="182" t="e">
        <f>INDEX([3]Summary!B:B,MATCH(A125,[3]Summary!A:A,0))</f>
        <v>#N/A</v>
      </c>
      <c r="P125" s="183" t="e">
        <f t="shared" si="5"/>
        <v>#N/A</v>
      </c>
    </row>
    <row r="126" spans="1:16">
      <c r="A126" s="204" t="s">
        <v>4002</v>
      </c>
      <c r="B126" s="178">
        <f t="shared" si="6"/>
        <v>14</v>
      </c>
      <c r="C126" s="205">
        <v>5</v>
      </c>
      <c r="D126" s="189" t="s">
        <v>4012</v>
      </c>
      <c r="E126" s="189" t="s">
        <v>4013</v>
      </c>
      <c r="F126" s="189" t="s">
        <v>4016</v>
      </c>
      <c r="G126" s="189" t="s">
        <v>4016</v>
      </c>
      <c r="H126" s="217">
        <f>9400123/5</f>
        <v>1880024.6</v>
      </c>
      <c r="I126" s="56">
        <f t="shared" si="7"/>
        <v>9400123</v>
      </c>
      <c r="K126" t="s">
        <v>2914</v>
      </c>
      <c r="L126" s="114" t="s">
        <v>3575</v>
      </c>
      <c r="M126" s="182" t="e">
        <f>INDEX([3]Summary!B:B,MATCH(A126,[3]Summary!A:A,0))</f>
        <v>#N/A</v>
      </c>
      <c r="N126" s="176">
        <v>44196</v>
      </c>
      <c r="P126" s="183">
        <f t="shared" si="5"/>
        <v>9400123</v>
      </c>
    </row>
    <row r="127" spans="1:16">
      <c r="A127" s="204" t="s">
        <v>4002</v>
      </c>
      <c r="B127" s="178">
        <f t="shared" si="6"/>
        <v>14</v>
      </c>
      <c r="C127" s="205">
        <v>6</v>
      </c>
      <c r="D127" s="189" t="s">
        <v>3650</v>
      </c>
      <c r="E127" s="189" t="s">
        <v>4017</v>
      </c>
      <c r="F127" s="189" t="s">
        <v>4018</v>
      </c>
      <c r="G127" s="189"/>
      <c r="H127" s="217">
        <v>1320000</v>
      </c>
      <c r="I127" s="56">
        <f t="shared" si="7"/>
        <v>6600000</v>
      </c>
      <c r="K127" t="s">
        <v>2773</v>
      </c>
      <c r="L127" s="114" t="s">
        <v>3575</v>
      </c>
      <c r="M127" s="182" t="e">
        <f>INDEX([3]Summary!B:B,MATCH(A127,[3]Summary!A:A,0))</f>
        <v>#N/A</v>
      </c>
      <c r="N127" s="182">
        <v>44196</v>
      </c>
      <c r="P127" s="183">
        <f t="shared" si="5"/>
        <v>6600000</v>
      </c>
    </row>
  </sheetData>
  <autoFilter ref="A1:O127" xr:uid="{EDEF16B7-1D3B-488A-828B-8817FB29E8A7}"/>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86D73-E056-40B4-BC4D-9F439C2AF85A}">
  <dimension ref="A1:BW115"/>
  <sheetViews>
    <sheetView zoomScale="89" zoomScaleNormal="89" workbookViewId="0">
      <pane xSplit="6" ySplit="2" topLeftCell="G3" activePane="bottomRight" state="frozen"/>
      <selection pane="bottomRight"/>
      <selection pane="bottomLeft" activeCell="AK74" sqref="AK74"/>
      <selection pane="topRight" activeCell="AK74" sqref="AK74"/>
    </sheetView>
  </sheetViews>
  <sheetFormatPr defaultColWidth="8.7109375" defaultRowHeight="15" outlineLevelCol="1"/>
  <cols>
    <col min="1" max="1" width="11.28515625" style="14" bestFit="1" customWidth="1"/>
    <col min="2" max="2" width="11.7109375" style="14" bestFit="1" customWidth="1"/>
    <col min="3" max="3" width="18.5703125" style="14" bestFit="1" customWidth="1"/>
    <col min="4" max="4" width="21.5703125" style="14" bestFit="1" customWidth="1"/>
    <col min="5" max="5" width="21.28515625" style="14" customWidth="1"/>
    <col min="6" max="7" width="33.7109375" style="14" customWidth="1"/>
    <col min="8" max="8" width="37.7109375" style="14" customWidth="1"/>
    <col min="9" max="9" width="30.7109375" style="14" customWidth="1" outlineLevel="1"/>
    <col min="10" max="10" width="21.140625" style="14" customWidth="1" outlineLevel="1"/>
    <col min="11" max="11" width="30.7109375" style="14" customWidth="1" outlineLevel="1"/>
    <col min="12" max="12" width="7.5703125" style="14" customWidth="1" outlineLevel="1"/>
    <col min="13" max="13" width="13.140625" style="14" customWidth="1" outlineLevel="1"/>
    <col min="14" max="16" width="13.5703125" style="14" customWidth="1" outlineLevel="1"/>
    <col min="17" max="17" width="11.28515625" style="14" customWidth="1" outlineLevel="1"/>
    <col min="18" max="18" width="11.85546875" style="14" customWidth="1" outlineLevel="1"/>
    <col min="19" max="19" width="10.42578125" style="14" customWidth="1" outlineLevel="1"/>
    <col min="20" max="21" width="10.42578125" style="14" customWidth="1"/>
    <col min="22" max="22" width="15.5703125" style="107" customWidth="1"/>
    <col min="23" max="24" width="15.5703125" style="14" customWidth="1"/>
    <col min="25" max="25" width="14.7109375" style="14" customWidth="1"/>
    <col min="26" max="26" width="14.5703125" style="14" hidden="1" customWidth="1"/>
    <col min="27" max="27" width="11.42578125" style="14" hidden="1" customWidth="1"/>
    <col min="28" max="29" width="8.7109375" style="14" hidden="1" customWidth="1"/>
    <col min="30" max="30" width="14.5703125" style="14" hidden="1" customWidth="1"/>
    <col min="31" max="31" width="11.42578125" style="14" customWidth="1"/>
    <col min="32" max="32" width="11.5703125" style="14" customWidth="1"/>
    <col min="33" max="33" width="8.7109375" style="14" customWidth="1"/>
    <col min="34" max="34" width="14.5703125" style="14" customWidth="1"/>
    <col min="35" max="35" width="11.42578125" style="14" customWidth="1"/>
    <col min="36" max="36" width="8.7109375" style="14" customWidth="1"/>
    <col min="37" max="37" width="11" style="14" customWidth="1"/>
    <col min="38" max="38" width="14.5703125" style="14" customWidth="1"/>
    <col min="39" max="39" width="11.42578125" style="14" customWidth="1"/>
    <col min="40" max="41" width="8.7109375" style="14" customWidth="1"/>
    <col min="42" max="42" width="14.5703125" style="14" customWidth="1"/>
    <col min="43" max="43" width="11.42578125" style="14" customWidth="1"/>
    <col min="44" max="45" width="8.7109375" style="14" customWidth="1"/>
    <col min="46" max="46" width="14.5703125" style="14" hidden="1" customWidth="1"/>
    <col min="47" max="47" width="11.42578125" style="14" hidden="1" customWidth="1"/>
    <col min="48" max="50" width="8.7109375" style="14" hidden="1" customWidth="1"/>
    <col min="51" max="51" width="8.7109375" style="14" customWidth="1"/>
    <col min="52" max="52" width="10.5703125" style="14" customWidth="1"/>
    <col min="53" max="55" width="8.7109375" style="14" customWidth="1"/>
    <col min="56" max="56" width="8.7109375" style="14" hidden="1" customWidth="1"/>
    <col min="57" max="57" width="10.7109375" style="14" hidden="1" customWidth="1"/>
    <col min="58" max="61" width="8.7109375" style="14" hidden="1" customWidth="1"/>
    <col min="62" max="62" width="11.42578125" style="14" hidden="1" customWidth="1"/>
    <col min="63" max="65" width="8.7109375" style="14" hidden="1" customWidth="1"/>
    <col min="66" max="66" width="8.7109375" style="14" customWidth="1"/>
    <col min="67" max="67" width="11.42578125" style="14" customWidth="1"/>
    <col min="68" max="71" width="8.7109375" style="14" customWidth="1"/>
    <col min="72" max="72" width="11.42578125" style="14" customWidth="1"/>
    <col min="73" max="74" width="8.7109375" style="14" customWidth="1"/>
    <col min="75" max="16384" width="8.7109375" style="14"/>
  </cols>
  <sheetData>
    <row r="1" spans="1:75">
      <c r="A1" s="1"/>
      <c r="B1" s="2"/>
      <c r="C1" s="3"/>
      <c r="D1" s="4"/>
      <c r="E1" s="4"/>
      <c r="F1" s="4"/>
      <c r="G1" s="4"/>
      <c r="H1" s="4"/>
      <c r="I1" s="4"/>
      <c r="J1" s="4"/>
      <c r="K1" s="4"/>
      <c r="L1" s="4"/>
      <c r="M1" s="4"/>
      <c r="N1" s="4"/>
      <c r="O1" s="4"/>
      <c r="P1" s="4"/>
      <c r="Q1" s="4"/>
      <c r="R1" s="4"/>
      <c r="S1" s="4"/>
      <c r="T1" s="4"/>
      <c r="U1" s="4"/>
      <c r="V1" s="5"/>
      <c r="W1" s="6"/>
      <c r="X1" s="6"/>
      <c r="Y1" s="7"/>
      <c r="Z1" s="8" t="s">
        <v>3402</v>
      </c>
      <c r="AA1" s="8"/>
      <c r="AB1" s="8"/>
      <c r="AC1" s="8"/>
      <c r="AD1" s="8"/>
      <c r="AE1" s="8" t="s">
        <v>3403</v>
      </c>
      <c r="AF1" s="8"/>
      <c r="AG1" s="8"/>
      <c r="AH1" s="8"/>
      <c r="AI1" s="8"/>
      <c r="AJ1" s="8" t="s">
        <v>3404</v>
      </c>
      <c r="AK1" s="8"/>
      <c r="AL1" s="8"/>
      <c r="AM1" s="8"/>
      <c r="AN1" s="8"/>
      <c r="AO1" s="8" t="s">
        <v>3405</v>
      </c>
      <c r="AP1" s="8"/>
      <c r="AQ1" s="8"/>
      <c r="AR1" s="8"/>
      <c r="AS1" s="8"/>
      <c r="AT1" s="8" t="s">
        <v>3491</v>
      </c>
      <c r="AU1" s="8"/>
      <c r="AV1" s="8"/>
      <c r="AW1" s="8"/>
      <c r="AX1" s="8"/>
      <c r="AY1" s="251" t="s">
        <v>3492</v>
      </c>
      <c r="AZ1" s="251"/>
      <c r="BA1" s="251"/>
      <c r="BB1" s="251"/>
      <c r="BC1" s="251"/>
      <c r="BD1" s="8" t="s">
        <v>3406</v>
      </c>
      <c r="BE1" s="8"/>
      <c r="BF1" s="8"/>
      <c r="BG1" s="8"/>
      <c r="BH1" s="8"/>
      <c r="BI1" s="8" t="s">
        <v>4019</v>
      </c>
      <c r="BJ1" s="8"/>
      <c r="BK1" s="8"/>
      <c r="BL1" s="8"/>
      <c r="BM1" s="8"/>
      <c r="BN1" s="9" t="s">
        <v>4020</v>
      </c>
      <c r="BO1" s="9"/>
      <c r="BP1" s="9"/>
      <c r="BQ1" s="9"/>
      <c r="BR1" s="9"/>
      <c r="BS1" s="9" t="s">
        <v>4021</v>
      </c>
      <c r="BT1" s="9"/>
      <c r="BU1" s="9"/>
      <c r="BV1" s="9"/>
      <c r="BW1" s="9"/>
    </row>
    <row r="2" spans="1:75" ht="60.75">
      <c r="A2" s="51" t="s">
        <v>14</v>
      </c>
      <c r="B2" s="50" t="s">
        <v>1330</v>
      </c>
      <c r="C2" s="51" t="s">
        <v>3559</v>
      </c>
      <c r="D2" s="50" t="s">
        <v>0</v>
      </c>
      <c r="E2" s="50" t="s">
        <v>7</v>
      </c>
      <c r="F2" s="50" t="s">
        <v>2</v>
      </c>
      <c r="G2" s="50" t="s">
        <v>16</v>
      </c>
      <c r="H2" s="50" t="s">
        <v>3556</v>
      </c>
      <c r="I2" s="50" t="s">
        <v>4022</v>
      </c>
      <c r="J2" s="50" t="s">
        <v>4023</v>
      </c>
      <c r="K2" s="50" t="s">
        <v>4024</v>
      </c>
      <c r="L2" s="50" t="s">
        <v>3407</v>
      </c>
      <c r="M2" s="252" t="s">
        <v>4025</v>
      </c>
      <c r="N2" s="252" t="s">
        <v>4026</v>
      </c>
      <c r="O2" s="253" t="s">
        <v>4027</v>
      </c>
      <c r="P2" s="253" t="s">
        <v>4028</v>
      </c>
      <c r="Q2" s="50" t="s">
        <v>3561</v>
      </c>
      <c r="R2" s="50" t="s">
        <v>3562</v>
      </c>
      <c r="S2" s="254" t="s">
        <v>4029</v>
      </c>
      <c r="T2" s="254" t="s">
        <v>4030</v>
      </c>
      <c r="U2" s="254" t="s">
        <v>4031</v>
      </c>
      <c r="V2" s="255" t="s">
        <v>3409</v>
      </c>
      <c r="W2" s="113" t="s">
        <v>4032</v>
      </c>
      <c r="X2" s="113" t="s">
        <v>3557</v>
      </c>
      <c r="Y2" s="256" t="s">
        <v>4033</v>
      </c>
      <c r="Z2" s="256" t="s">
        <v>1334</v>
      </c>
      <c r="AA2" s="256" t="s">
        <v>3413</v>
      </c>
      <c r="AB2" s="256" t="s">
        <v>4034</v>
      </c>
      <c r="AC2" s="256" t="s">
        <v>4035</v>
      </c>
      <c r="AD2" s="256" t="s">
        <v>3414</v>
      </c>
      <c r="AE2" s="256" t="s">
        <v>1334</v>
      </c>
      <c r="AF2" s="256" t="s">
        <v>3413</v>
      </c>
      <c r="AG2" s="256" t="s">
        <v>4034</v>
      </c>
      <c r="AH2" s="256" t="s">
        <v>4035</v>
      </c>
      <c r="AI2" s="256" t="s">
        <v>3414</v>
      </c>
      <c r="AJ2" s="256" t="s">
        <v>1334</v>
      </c>
      <c r="AK2" s="256" t="s">
        <v>3413</v>
      </c>
      <c r="AL2" s="256" t="s">
        <v>4034</v>
      </c>
      <c r="AM2" s="256" t="s">
        <v>4035</v>
      </c>
      <c r="AN2" s="256" t="s">
        <v>3414</v>
      </c>
      <c r="AO2" s="256" t="s">
        <v>1334</v>
      </c>
      <c r="AP2" s="256" t="s">
        <v>3413</v>
      </c>
      <c r="AQ2" s="256" t="s">
        <v>4034</v>
      </c>
      <c r="AR2" s="256" t="s">
        <v>4035</v>
      </c>
      <c r="AS2" s="256" t="s">
        <v>3414</v>
      </c>
      <c r="AT2" s="256" t="s">
        <v>1334</v>
      </c>
      <c r="AU2" s="256" t="s">
        <v>3413</v>
      </c>
      <c r="AV2" s="256" t="s">
        <v>4034</v>
      </c>
      <c r="AW2" s="256" t="s">
        <v>4035</v>
      </c>
      <c r="AX2" s="256" t="s">
        <v>3414</v>
      </c>
      <c r="AY2" s="257" t="s">
        <v>1334</v>
      </c>
      <c r="AZ2" s="257" t="s">
        <v>3413</v>
      </c>
      <c r="BA2" s="257" t="s">
        <v>4034</v>
      </c>
      <c r="BB2" s="257" t="s">
        <v>4035</v>
      </c>
      <c r="BC2" s="257" t="s">
        <v>3414</v>
      </c>
      <c r="BD2" s="256" t="s">
        <v>1334</v>
      </c>
      <c r="BE2" s="256" t="s">
        <v>3413</v>
      </c>
      <c r="BF2" s="256" t="s">
        <v>4034</v>
      </c>
      <c r="BG2" s="256" t="s">
        <v>4035</v>
      </c>
      <c r="BH2" s="256" t="s">
        <v>3414</v>
      </c>
      <c r="BI2" s="256" t="s">
        <v>1334</v>
      </c>
      <c r="BJ2" s="256" t="s">
        <v>3413</v>
      </c>
      <c r="BK2" s="256" t="s">
        <v>4034</v>
      </c>
      <c r="BL2" s="256" t="s">
        <v>4035</v>
      </c>
      <c r="BM2" s="256" t="s">
        <v>3414</v>
      </c>
      <c r="BN2" s="256" t="s">
        <v>1334</v>
      </c>
      <c r="BO2" s="256" t="s">
        <v>3413</v>
      </c>
      <c r="BP2" s="256" t="s">
        <v>4034</v>
      </c>
      <c r="BQ2" s="256" t="s">
        <v>4035</v>
      </c>
      <c r="BR2" s="256" t="s">
        <v>3414</v>
      </c>
      <c r="BS2" s="256" t="s">
        <v>1334</v>
      </c>
      <c r="BT2" s="256" t="s">
        <v>3413</v>
      </c>
      <c r="BU2" s="256" t="s">
        <v>4034</v>
      </c>
      <c r="BV2" s="256" t="s">
        <v>4035</v>
      </c>
      <c r="BW2" s="256" t="s">
        <v>3414</v>
      </c>
    </row>
    <row r="3" spans="1:75" ht="60.75">
      <c r="A3" s="212">
        <v>1</v>
      </c>
      <c r="B3" s="50">
        <v>1</v>
      </c>
      <c r="C3" s="51" t="s">
        <v>2841</v>
      </c>
      <c r="D3" s="258" t="s">
        <v>2841</v>
      </c>
      <c r="E3" s="45" t="s">
        <v>4036</v>
      </c>
      <c r="F3" s="45" t="s">
        <v>4037</v>
      </c>
      <c r="G3" s="45" t="s">
        <v>4038</v>
      </c>
      <c r="H3" s="45" t="s">
        <v>4039</v>
      </c>
      <c r="I3" s="259" t="s">
        <v>4040</v>
      </c>
      <c r="J3" s="45" t="s">
        <v>3575</v>
      </c>
      <c r="K3" s="45"/>
      <c r="L3" s="45"/>
      <c r="M3" s="45" t="s">
        <v>2841</v>
      </c>
      <c r="N3" s="58">
        <f>V3/1</f>
        <v>1228500</v>
      </c>
      <c r="O3" s="58" t="e">
        <f t="shared" ref="O3:O56" si="0">(MIN(MONTH(R3),6)-MONTH(Q3)+1)*N3</f>
        <v>#N/A</v>
      </c>
      <c r="P3" s="58" t="e">
        <f>(MONTH(R3)-MONTH(Q3)+1)*N3</f>
        <v>#N/A</v>
      </c>
      <c r="Q3" s="54" t="e">
        <f>INDEX([5]Timeline!$D$12:$D$24,MATCH(A3,[5]Timeline!$B$12:$B$24,0))</f>
        <v>#N/A</v>
      </c>
      <c r="R3" s="55">
        <v>44561</v>
      </c>
      <c r="S3" s="59">
        <f>AVERAGE(T3:U3)</f>
        <v>2.333333333333333</v>
      </c>
      <c r="T3" s="60">
        <f>IF(Y3&gt;0,AVERAGE(Z3:AA3,AE3:AF3,AJ3:AK3,AO3:AP3,AT3:AU3,AY3:AZ3,BD3:BE3),0)</f>
        <v>3.6666666666666665</v>
      </c>
      <c r="U3" s="60">
        <f t="shared" ref="U3:U4" si="1">IF(Y3&gt;0,AVERAGE(AC3,AH3,AM3,AR3,AW3,BB3,BG3),0)</f>
        <v>1</v>
      </c>
      <c r="V3" s="57">
        <v>1228500</v>
      </c>
      <c r="W3" s="57" t="e">
        <f>(MIN(MONTH(R3),6)-MONTH(Q3)+1)*V3</f>
        <v>#N/A</v>
      </c>
      <c r="X3" s="121" t="e">
        <f t="shared" ref="X3:X36" si="2">(MONTH(R3)-MONTH(Q3)+1)*V3</f>
        <v>#N/A</v>
      </c>
      <c r="Y3" s="260">
        <v>1</v>
      </c>
      <c r="Z3" s="261">
        <v>4</v>
      </c>
      <c r="AA3" s="261">
        <v>4</v>
      </c>
      <c r="AB3" s="261">
        <v>2</v>
      </c>
      <c r="AC3" s="261">
        <v>1</v>
      </c>
      <c r="AD3" s="261">
        <f t="shared" ref="AD3:AD66" si="3">IFERROR(SUM(Z3:AC3)/4,0)</f>
        <v>2.75</v>
      </c>
      <c r="AE3" s="261">
        <v>4</v>
      </c>
      <c r="AF3" s="261">
        <v>4</v>
      </c>
      <c r="AG3" s="261">
        <v>2</v>
      </c>
      <c r="AH3" s="261">
        <v>1</v>
      </c>
      <c r="AI3" s="261">
        <f t="shared" ref="AI3:AI23" si="4">IFERROR(SUM(AE3:AH3)/4,0)</f>
        <v>2.75</v>
      </c>
      <c r="AJ3" s="261">
        <v>4</v>
      </c>
      <c r="AK3" s="261">
        <v>3</v>
      </c>
      <c r="AL3" s="261">
        <v>2</v>
      </c>
      <c r="AM3" s="261">
        <v>1</v>
      </c>
      <c r="AN3" s="261">
        <f t="shared" ref="AN3:AN23" si="5">IFERROR(SUM(AJ3:AM3)/4,0)</f>
        <v>2.5</v>
      </c>
      <c r="AO3" s="261">
        <v>4</v>
      </c>
      <c r="AP3" s="261">
        <v>4</v>
      </c>
      <c r="AQ3" s="261">
        <v>2</v>
      </c>
      <c r="AR3" s="261">
        <v>1</v>
      </c>
      <c r="AS3" s="261">
        <f t="shared" ref="AS3:AS12" si="6">IFERROR(SUM(AO3:AR3)/4,0)</f>
        <v>2.75</v>
      </c>
      <c r="AT3" s="261">
        <v>4</v>
      </c>
      <c r="AU3" s="261">
        <v>2</v>
      </c>
      <c r="AV3" s="261">
        <v>2</v>
      </c>
      <c r="AW3" s="261">
        <v>1</v>
      </c>
      <c r="AX3" s="261">
        <f t="shared" ref="AX3:AX23" si="7">IFERROR(SUM(AT3:AW3)/4,0)</f>
        <v>2.25</v>
      </c>
      <c r="AY3" s="261">
        <v>4</v>
      </c>
      <c r="AZ3" s="261">
        <v>3</v>
      </c>
      <c r="BA3" s="261">
        <v>2</v>
      </c>
      <c r="BB3" s="261">
        <v>1</v>
      </c>
      <c r="BC3" s="261">
        <f t="shared" ref="BC3:BC57" si="8">IFERROR(SUM(AY3:BB3)/4,0)</f>
        <v>2.5</v>
      </c>
      <c r="BD3" s="261"/>
      <c r="BE3" s="261"/>
      <c r="BF3" s="261"/>
      <c r="BG3" s="261"/>
      <c r="BH3" s="261">
        <f t="shared" ref="BH3:BH14" si="9">IFERROR(SUM(BD3:BG3)/4,0)</f>
        <v>0</v>
      </c>
      <c r="BI3" s="261"/>
      <c r="BJ3" s="261"/>
      <c r="BK3" s="261"/>
      <c r="BL3" s="261"/>
      <c r="BM3" s="261">
        <f t="shared" ref="BM3:BM8" si="10">IFERROR(SUM(BI3:BL3)/3,0)</f>
        <v>0</v>
      </c>
      <c r="BN3" s="261"/>
      <c r="BO3" s="261"/>
      <c r="BP3" s="261"/>
      <c r="BQ3" s="261"/>
      <c r="BR3" s="261">
        <f t="shared" ref="BR3:BR14" si="11">IFERROR(SUM(BN3:BQ3)/3,0)</f>
        <v>0</v>
      </c>
      <c r="BS3" s="261"/>
      <c r="BT3" s="261"/>
      <c r="BU3" s="261"/>
      <c r="BV3" s="261"/>
      <c r="BW3" s="261">
        <f t="shared" ref="BW3:BW14" si="12">IFERROR(SUM(BS3:BV3)/3,0)</f>
        <v>0</v>
      </c>
    </row>
    <row r="4" spans="1:75" ht="76.5">
      <c r="A4" s="212">
        <v>1</v>
      </c>
      <c r="B4" s="50">
        <f>B3+1</f>
        <v>2</v>
      </c>
      <c r="C4" s="51" t="s">
        <v>2817</v>
      </c>
      <c r="D4" s="262" t="s">
        <v>2817</v>
      </c>
      <c r="E4" s="45" t="s">
        <v>4041</v>
      </c>
      <c r="F4" s="45" t="s">
        <v>4042</v>
      </c>
      <c r="G4" s="45" t="s">
        <v>4043</v>
      </c>
      <c r="H4" s="45" t="s">
        <v>4044</v>
      </c>
      <c r="I4" s="114" t="s">
        <v>4040</v>
      </c>
      <c r="J4" s="45" t="s">
        <v>4045</v>
      </c>
      <c r="K4" s="45"/>
      <c r="L4" s="45"/>
      <c r="M4" s="45" t="s">
        <v>2817</v>
      </c>
      <c r="N4" s="58">
        <f t="shared" ref="N4:N57" si="13">V4/1</f>
        <v>6979653</v>
      </c>
      <c r="O4" s="58" t="e">
        <f t="shared" si="0"/>
        <v>#N/A</v>
      </c>
      <c r="P4" s="58" t="e">
        <f t="shared" ref="P4:P58" si="14">(MONTH(R4)-MONTH(Q4)+1)*N4</f>
        <v>#N/A</v>
      </c>
      <c r="Q4" s="54" t="e">
        <f>INDEX([5]Timeline!$D$12:$D$24,MATCH(A4,[5]Timeline!$B$12:$B$24,0))</f>
        <v>#N/A</v>
      </c>
      <c r="R4" s="55">
        <v>44561</v>
      </c>
      <c r="S4" s="59">
        <f t="shared" ref="S4:S67" si="15">AVERAGE(T4:U4)</f>
        <v>3.0833333333333335</v>
      </c>
      <c r="T4" s="60">
        <f t="shared" ref="T4:T57" si="16">IF(Y4&gt;0,AVERAGE(Z4:AA4,AE4:AF4,AJ4:AK4,AO4:AP4,AT4:AU4,AY4:AZ4,BD4:BE4),0)</f>
        <v>3.8333333333333335</v>
      </c>
      <c r="U4" s="60">
        <f t="shared" si="1"/>
        <v>2.3333333333333335</v>
      </c>
      <c r="V4" s="57">
        <v>6979653</v>
      </c>
      <c r="W4" s="57" t="e">
        <f t="shared" ref="W4:W57" si="17">(MIN(MONTH(R4),6)-MONTH(Q4)+1)*V4</f>
        <v>#N/A</v>
      </c>
      <c r="X4" s="120" t="e">
        <f t="shared" si="2"/>
        <v>#N/A</v>
      </c>
      <c r="Y4" s="260">
        <v>1</v>
      </c>
      <c r="Z4" s="261">
        <v>4</v>
      </c>
      <c r="AA4" s="261">
        <v>4</v>
      </c>
      <c r="AB4" s="261">
        <v>2</v>
      </c>
      <c r="AC4" s="261">
        <v>1</v>
      </c>
      <c r="AD4" s="261">
        <f t="shared" si="3"/>
        <v>2.75</v>
      </c>
      <c r="AE4" s="261">
        <v>4</v>
      </c>
      <c r="AF4" s="261">
        <v>4</v>
      </c>
      <c r="AG4" s="261">
        <v>2</v>
      </c>
      <c r="AH4" s="261">
        <v>2</v>
      </c>
      <c r="AI4" s="261">
        <f t="shared" si="4"/>
        <v>3</v>
      </c>
      <c r="AJ4" s="261">
        <v>2</v>
      </c>
      <c r="AK4" s="261">
        <v>4</v>
      </c>
      <c r="AL4" s="261">
        <v>1</v>
      </c>
      <c r="AM4" s="261">
        <v>4</v>
      </c>
      <c r="AN4" s="261">
        <f t="shared" si="5"/>
        <v>2.75</v>
      </c>
      <c r="AO4" s="261">
        <v>4</v>
      </c>
      <c r="AP4" s="261">
        <v>4</v>
      </c>
      <c r="AQ4" s="261">
        <v>1</v>
      </c>
      <c r="AR4" s="261">
        <v>2</v>
      </c>
      <c r="AS4" s="261">
        <f t="shared" si="6"/>
        <v>2.75</v>
      </c>
      <c r="AT4" s="261">
        <v>4</v>
      </c>
      <c r="AU4" s="261">
        <v>4</v>
      </c>
      <c r="AV4" s="261">
        <v>2</v>
      </c>
      <c r="AW4" s="261">
        <v>3</v>
      </c>
      <c r="AX4" s="261">
        <f t="shared" si="7"/>
        <v>3.25</v>
      </c>
      <c r="AY4" s="261">
        <v>4</v>
      </c>
      <c r="AZ4" s="261">
        <v>4</v>
      </c>
      <c r="BA4" s="261">
        <v>2</v>
      </c>
      <c r="BB4" s="261">
        <v>2</v>
      </c>
      <c r="BC4" s="261">
        <f t="shared" si="8"/>
        <v>3</v>
      </c>
      <c r="BD4" s="261"/>
      <c r="BE4" s="261"/>
      <c r="BF4" s="261"/>
      <c r="BG4" s="261"/>
      <c r="BH4" s="261">
        <f t="shared" si="9"/>
        <v>0</v>
      </c>
      <c r="BI4" s="261"/>
      <c r="BJ4" s="261"/>
      <c r="BK4" s="261"/>
      <c r="BL4" s="261"/>
      <c r="BM4" s="261">
        <f t="shared" si="10"/>
        <v>0</v>
      </c>
      <c r="BN4" s="261"/>
      <c r="BO4" s="261"/>
      <c r="BP4" s="261"/>
      <c r="BQ4" s="261"/>
      <c r="BR4" s="261">
        <f t="shared" si="11"/>
        <v>0</v>
      </c>
      <c r="BS4" s="261"/>
      <c r="BT4" s="261"/>
      <c r="BU4" s="261"/>
      <c r="BV4" s="261"/>
      <c r="BW4" s="261">
        <f t="shared" si="12"/>
        <v>0</v>
      </c>
    </row>
    <row r="5" spans="1:75" ht="45.75">
      <c r="A5" s="212">
        <v>1</v>
      </c>
      <c r="B5" s="50">
        <f t="shared" ref="B5:B68" si="18">B4+1</f>
        <v>3</v>
      </c>
      <c r="C5" s="51" t="s">
        <v>2914</v>
      </c>
      <c r="D5" s="258" t="s">
        <v>3836</v>
      </c>
      <c r="E5" s="45" t="s">
        <v>4046</v>
      </c>
      <c r="F5" s="45" t="s">
        <v>4047</v>
      </c>
      <c r="G5" s="45" t="s">
        <v>4048</v>
      </c>
      <c r="H5" s="45" t="s">
        <v>4049</v>
      </c>
      <c r="I5" s="114" t="s">
        <v>4040</v>
      </c>
      <c r="J5" s="45" t="s">
        <v>3575</v>
      </c>
      <c r="K5" s="45"/>
      <c r="L5" s="45"/>
      <c r="M5" s="45" t="str">
        <f>D5</f>
        <v>WH Cengkareng</v>
      </c>
      <c r="N5" s="58">
        <f t="shared" si="13"/>
        <v>17347566</v>
      </c>
      <c r="O5" s="58" t="e">
        <f t="shared" si="0"/>
        <v>#N/A</v>
      </c>
      <c r="P5" s="58" t="e">
        <f t="shared" si="14"/>
        <v>#N/A</v>
      </c>
      <c r="Q5" s="54" t="e">
        <f>INDEX([5]Timeline!$D$12:$D$24,MATCH(A5,[5]Timeline!$B$12:$B$24,0))</f>
        <v>#N/A</v>
      </c>
      <c r="R5" s="55">
        <v>44256</v>
      </c>
      <c r="S5" s="59">
        <f t="shared" si="15"/>
        <v>3.5</v>
      </c>
      <c r="T5" s="60">
        <f t="shared" si="16"/>
        <v>3.8333333333333335</v>
      </c>
      <c r="U5" s="60">
        <f>IF(Y5&gt;0,AVERAGE(AC5,AH5,AM5,AR5,AW5,BB5,BG5),0)</f>
        <v>3.1666666666666665</v>
      </c>
      <c r="V5" s="57">
        <v>17347566</v>
      </c>
      <c r="W5" s="57" t="e">
        <f t="shared" si="17"/>
        <v>#N/A</v>
      </c>
      <c r="X5" s="121" t="e">
        <f>(MONTH(R5)-MONTH(Q5)+1)*V5</f>
        <v>#N/A</v>
      </c>
      <c r="Y5" s="260">
        <v>1</v>
      </c>
      <c r="Z5" s="261">
        <v>4</v>
      </c>
      <c r="AA5" s="261">
        <v>4</v>
      </c>
      <c r="AB5" s="261">
        <v>2</v>
      </c>
      <c r="AC5" s="261">
        <v>2</v>
      </c>
      <c r="AD5" s="261">
        <f t="shared" si="3"/>
        <v>3</v>
      </c>
      <c r="AE5" s="261">
        <v>4</v>
      </c>
      <c r="AF5" s="261">
        <v>4</v>
      </c>
      <c r="AG5" s="261">
        <v>2</v>
      </c>
      <c r="AH5" s="261">
        <v>2</v>
      </c>
      <c r="AI5" s="261">
        <f t="shared" si="4"/>
        <v>3</v>
      </c>
      <c r="AJ5" s="261">
        <v>4</v>
      </c>
      <c r="AK5" s="261">
        <v>3</v>
      </c>
      <c r="AL5" s="261">
        <v>2</v>
      </c>
      <c r="AM5" s="261">
        <v>4</v>
      </c>
      <c r="AN5" s="261">
        <f t="shared" si="5"/>
        <v>3.25</v>
      </c>
      <c r="AO5" s="261">
        <v>4</v>
      </c>
      <c r="AP5" s="261">
        <v>4</v>
      </c>
      <c r="AQ5" s="261">
        <v>2</v>
      </c>
      <c r="AR5" s="261">
        <v>3</v>
      </c>
      <c r="AS5" s="261">
        <f t="shared" si="6"/>
        <v>3.25</v>
      </c>
      <c r="AT5" s="261">
        <v>4</v>
      </c>
      <c r="AU5" s="261">
        <v>4</v>
      </c>
      <c r="AV5" s="261">
        <v>1</v>
      </c>
      <c r="AW5" s="261">
        <v>4</v>
      </c>
      <c r="AX5" s="261">
        <f t="shared" si="7"/>
        <v>3.25</v>
      </c>
      <c r="AY5" s="261">
        <v>4</v>
      </c>
      <c r="AZ5" s="261">
        <v>3</v>
      </c>
      <c r="BA5" s="261">
        <v>2</v>
      </c>
      <c r="BB5" s="261">
        <v>4</v>
      </c>
      <c r="BC5" s="261">
        <f t="shared" si="8"/>
        <v>3.25</v>
      </c>
      <c r="BD5" s="261"/>
      <c r="BE5" s="261"/>
      <c r="BF5" s="261"/>
      <c r="BG5" s="261"/>
      <c r="BH5" s="261">
        <f t="shared" si="9"/>
        <v>0</v>
      </c>
      <c r="BI5" s="261"/>
      <c r="BJ5" s="261"/>
      <c r="BK5" s="261"/>
      <c r="BL5" s="261"/>
      <c r="BM5" s="261">
        <f t="shared" si="10"/>
        <v>0</v>
      </c>
      <c r="BN5" s="261"/>
      <c r="BO5" s="261"/>
      <c r="BP5" s="261"/>
      <c r="BQ5" s="261"/>
      <c r="BR5" s="261">
        <f t="shared" si="11"/>
        <v>0</v>
      </c>
      <c r="BS5" s="261"/>
      <c r="BT5" s="261"/>
      <c r="BU5" s="261"/>
      <c r="BV5" s="261"/>
      <c r="BW5" s="261">
        <f t="shared" si="12"/>
        <v>0</v>
      </c>
    </row>
    <row r="6" spans="1:75" ht="45.75">
      <c r="A6" s="263">
        <v>1</v>
      </c>
      <c r="B6" s="264">
        <f t="shared" si="18"/>
        <v>4</v>
      </c>
      <c r="C6" s="265" t="s">
        <v>2914</v>
      </c>
      <c r="D6" s="266" t="s">
        <v>4050</v>
      </c>
      <c r="E6" s="266"/>
      <c r="F6" s="266" t="s">
        <v>4051</v>
      </c>
      <c r="G6" s="266" t="s">
        <v>4052</v>
      </c>
      <c r="H6" s="266" t="s">
        <v>4053</v>
      </c>
      <c r="I6" s="187" t="s">
        <v>4040</v>
      </c>
      <c r="J6" s="266" t="s">
        <v>4054</v>
      </c>
      <c r="K6" s="266" t="s">
        <v>4055</v>
      </c>
      <c r="L6" s="45"/>
      <c r="M6" s="45" t="str">
        <f t="shared" ref="M6:M10" si="19">D6</f>
        <v>WH Kramat jati</v>
      </c>
      <c r="N6" s="58">
        <f t="shared" si="13"/>
        <v>0</v>
      </c>
      <c r="O6" s="58" t="e">
        <f t="shared" si="0"/>
        <v>#N/A</v>
      </c>
      <c r="P6" s="58" t="e">
        <f t="shared" si="14"/>
        <v>#N/A</v>
      </c>
      <c r="Q6" s="54" t="e">
        <f>INDEX([5]Timeline!$D$12:$D$24,MATCH(A6,[5]Timeline!$B$12:$B$24,0))</f>
        <v>#N/A</v>
      </c>
      <c r="R6" s="55">
        <v>44561</v>
      </c>
      <c r="S6" s="59">
        <f t="shared" si="15"/>
        <v>0</v>
      </c>
      <c r="T6" s="59">
        <f t="shared" si="16"/>
        <v>0</v>
      </c>
      <c r="U6" s="267">
        <f t="shared" ref="U6:U30" si="20">IF(Y6&gt;0,AVERAGE(AC6,AH6,AM6,AR6,AW6,BB6,BG6),0)</f>
        <v>0</v>
      </c>
      <c r="V6" s="57"/>
      <c r="W6" s="57" t="e">
        <f t="shared" si="17"/>
        <v>#N/A</v>
      </c>
      <c r="X6" s="56"/>
      <c r="Y6" s="45">
        <v>0</v>
      </c>
      <c r="Z6" s="46"/>
      <c r="AA6" s="46"/>
      <c r="AB6" s="46"/>
      <c r="AC6" s="46"/>
      <c r="AD6" s="46">
        <f t="shared" si="3"/>
        <v>0</v>
      </c>
      <c r="AE6" s="46">
        <v>4</v>
      </c>
      <c r="AF6" s="46">
        <v>4</v>
      </c>
      <c r="AG6" s="46">
        <v>2</v>
      </c>
      <c r="AH6" s="46">
        <v>4</v>
      </c>
      <c r="AI6" s="46">
        <f t="shared" si="4"/>
        <v>3.5</v>
      </c>
      <c r="AJ6" s="46">
        <v>2</v>
      </c>
      <c r="AK6" s="46">
        <v>3</v>
      </c>
      <c r="AL6" s="46">
        <v>2</v>
      </c>
      <c r="AM6" s="46">
        <v>2</v>
      </c>
      <c r="AN6" s="46">
        <f t="shared" si="5"/>
        <v>2.25</v>
      </c>
      <c r="AO6" s="46"/>
      <c r="AP6" s="46"/>
      <c r="AQ6" s="46"/>
      <c r="AR6" s="46"/>
      <c r="AS6" s="46">
        <f t="shared" si="6"/>
        <v>0</v>
      </c>
      <c r="AT6" s="46"/>
      <c r="AU6" s="46"/>
      <c r="AV6" s="46"/>
      <c r="AW6" s="46"/>
      <c r="AX6" s="46">
        <f t="shared" si="7"/>
        <v>0</v>
      </c>
      <c r="AY6" s="46">
        <v>3</v>
      </c>
      <c r="AZ6" s="46">
        <v>3</v>
      </c>
      <c r="BA6" s="46">
        <v>2</v>
      </c>
      <c r="BB6" s="46">
        <v>3</v>
      </c>
      <c r="BC6" s="46">
        <f t="shared" si="8"/>
        <v>2.75</v>
      </c>
      <c r="BD6" s="46"/>
      <c r="BE6" s="46"/>
      <c r="BF6" s="46"/>
      <c r="BG6" s="46"/>
      <c r="BH6" s="46">
        <f t="shared" si="9"/>
        <v>0</v>
      </c>
      <c r="BI6" s="46"/>
      <c r="BJ6" s="46"/>
      <c r="BK6" s="46"/>
      <c r="BL6" s="46"/>
      <c r="BM6" s="46">
        <f t="shared" si="10"/>
        <v>0</v>
      </c>
      <c r="BN6" s="46"/>
      <c r="BO6" s="46"/>
      <c r="BP6" s="46"/>
      <c r="BQ6" s="46"/>
      <c r="BR6" s="46">
        <f t="shared" si="11"/>
        <v>0</v>
      </c>
      <c r="BS6" s="46"/>
      <c r="BT6" s="46"/>
      <c r="BU6" s="46"/>
      <c r="BV6" s="46"/>
      <c r="BW6" s="46">
        <f t="shared" si="12"/>
        <v>0</v>
      </c>
    </row>
    <row r="7" spans="1:75" ht="45.75">
      <c r="A7" s="263">
        <v>1</v>
      </c>
      <c r="B7" s="264">
        <f t="shared" si="18"/>
        <v>5</v>
      </c>
      <c r="C7" s="265" t="s">
        <v>2914</v>
      </c>
      <c r="D7" s="266" t="s">
        <v>3871</v>
      </c>
      <c r="E7" s="266" t="s">
        <v>4056</v>
      </c>
      <c r="F7" s="266" t="s">
        <v>4057</v>
      </c>
      <c r="G7" s="266"/>
      <c r="H7" s="266" t="s">
        <v>3510</v>
      </c>
      <c r="I7" s="187" t="s">
        <v>4040</v>
      </c>
      <c r="J7" s="266" t="s">
        <v>4054</v>
      </c>
      <c r="K7" s="266" t="s">
        <v>4058</v>
      </c>
      <c r="L7" s="45"/>
      <c r="M7" s="45" t="str">
        <f t="shared" si="19"/>
        <v>WH Bogor</v>
      </c>
      <c r="N7" s="58">
        <f t="shared" si="13"/>
        <v>0</v>
      </c>
      <c r="O7" s="58" t="e">
        <f t="shared" si="0"/>
        <v>#N/A</v>
      </c>
      <c r="P7" s="58" t="e">
        <f t="shared" si="14"/>
        <v>#N/A</v>
      </c>
      <c r="Q7" s="54" t="e">
        <f>INDEX([5]Timeline!$D$12:$D$24,MATCH(A7,[5]Timeline!$B$12:$B$24,0))</f>
        <v>#N/A</v>
      </c>
      <c r="R7" s="55">
        <v>44561</v>
      </c>
      <c r="S7" s="59">
        <f t="shared" si="15"/>
        <v>0</v>
      </c>
      <c r="T7" s="59">
        <f t="shared" si="16"/>
        <v>0</v>
      </c>
      <c r="U7" s="59">
        <f t="shared" si="20"/>
        <v>0</v>
      </c>
      <c r="V7" s="57"/>
      <c r="W7" s="57" t="e">
        <f t="shared" si="17"/>
        <v>#N/A</v>
      </c>
      <c r="X7" s="56" t="e">
        <f t="shared" si="2"/>
        <v>#N/A</v>
      </c>
      <c r="Y7" s="45"/>
      <c r="Z7" s="46"/>
      <c r="AA7" s="46"/>
      <c r="AB7" s="46"/>
      <c r="AC7" s="46"/>
      <c r="AD7" s="46">
        <f t="shared" si="3"/>
        <v>0</v>
      </c>
      <c r="AE7" s="46"/>
      <c r="AF7" s="46"/>
      <c r="AG7" s="46"/>
      <c r="AH7" s="46"/>
      <c r="AI7" s="46">
        <f t="shared" si="4"/>
        <v>0</v>
      </c>
      <c r="AJ7" s="46"/>
      <c r="AK7" s="46"/>
      <c r="AL7" s="46"/>
      <c r="AM7" s="46"/>
      <c r="AN7" s="46">
        <f t="shared" si="5"/>
        <v>0</v>
      </c>
      <c r="AO7" s="46"/>
      <c r="AP7" s="46"/>
      <c r="AQ7" s="46"/>
      <c r="AR7" s="46"/>
      <c r="AS7" s="46">
        <f t="shared" si="6"/>
        <v>0</v>
      </c>
      <c r="AT7" s="46"/>
      <c r="AU7" s="46"/>
      <c r="AV7" s="46"/>
      <c r="AW7" s="46"/>
      <c r="AX7" s="46">
        <f t="shared" si="7"/>
        <v>0</v>
      </c>
      <c r="AY7" s="46"/>
      <c r="AZ7" s="46"/>
      <c r="BA7" s="46"/>
      <c r="BB7" s="46"/>
      <c r="BC7" s="46">
        <f t="shared" si="8"/>
        <v>0</v>
      </c>
      <c r="BD7" s="46"/>
      <c r="BE7" s="46"/>
      <c r="BF7" s="46"/>
      <c r="BG7" s="46"/>
      <c r="BH7" s="46">
        <f t="shared" si="9"/>
        <v>0</v>
      </c>
      <c r="BI7" s="46"/>
      <c r="BJ7" s="46"/>
      <c r="BK7" s="46"/>
      <c r="BL7" s="46"/>
      <c r="BM7" s="46">
        <f t="shared" si="10"/>
        <v>0</v>
      </c>
      <c r="BN7" s="46"/>
      <c r="BO7" s="46"/>
      <c r="BP7" s="46"/>
      <c r="BQ7" s="46"/>
      <c r="BR7" s="46">
        <f t="shared" si="11"/>
        <v>0</v>
      </c>
      <c r="BS7" s="46"/>
      <c r="BT7" s="46"/>
      <c r="BU7" s="46"/>
      <c r="BV7" s="46"/>
      <c r="BW7" s="46">
        <f t="shared" si="12"/>
        <v>0</v>
      </c>
    </row>
    <row r="8" spans="1:75" ht="60.75">
      <c r="A8" s="263">
        <v>1</v>
      </c>
      <c r="B8" s="264">
        <f t="shared" si="18"/>
        <v>6</v>
      </c>
      <c r="C8" s="265" t="s">
        <v>2914</v>
      </c>
      <c r="D8" s="266" t="s">
        <v>3466</v>
      </c>
      <c r="E8" s="266" t="s">
        <v>4059</v>
      </c>
      <c r="F8" s="266" t="s">
        <v>4060</v>
      </c>
      <c r="G8" s="266"/>
      <c r="H8" s="266" t="s">
        <v>3510</v>
      </c>
      <c r="I8" s="187" t="s">
        <v>4040</v>
      </c>
      <c r="J8" s="266" t="s">
        <v>4054</v>
      </c>
      <c r="K8" s="266" t="s">
        <v>4058</v>
      </c>
      <c r="L8" s="45"/>
      <c r="M8" s="45" t="str">
        <f t="shared" si="19"/>
        <v>WH Karawaci</v>
      </c>
      <c r="N8" s="58">
        <f t="shared" si="13"/>
        <v>0</v>
      </c>
      <c r="O8" s="58" t="e">
        <f t="shared" si="0"/>
        <v>#N/A</v>
      </c>
      <c r="P8" s="58" t="e">
        <f t="shared" si="14"/>
        <v>#N/A</v>
      </c>
      <c r="Q8" s="54" t="e">
        <f>INDEX([5]Timeline!$D$12:$D$24,MATCH(A8,[5]Timeline!$B$12:$B$24,0))</f>
        <v>#N/A</v>
      </c>
      <c r="R8" s="55">
        <v>44561</v>
      </c>
      <c r="S8" s="59">
        <f t="shared" si="15"/>
        <v>0</v>
      </c>
      <c r="T8" s="59">
        <f t="shared" si="16"/>
        <v>0</v>
      </c>
      <c r="U8" s="59">
        <f t="shared" si="20"/>
        <v>0</v>
      </c>
      <c r="V8" s="57"/>
      <c r="W8" s="57" t="e">
        <f t="shared" si="17"/>
        <v>#N/A</v>
      </c>
      <c r="X8" s="56" t="e">
        <f t="shared" si="2"/>
        <v>#N/A</v>
      </c>
      <c r="Y8" s="45"/>
      <c r="Z8" s="46"/>
      <c r="AA8" s="46"/>
      <c r="AB8" s="46"/>
      <c r="AC8" s="46"/>
      <c r="AD8" s="46">
        <f t="shared" si="3"/>
        <v>0</v>
      </c>
      <c r="AE8" s="46"/>
      <c r="AF8" s="46"/>
      <c r="AG8" s="46"/>
      <c r="AH8" s="46"/>
      <c r="AI8" s="46">
        <f t="shared" si="4"/>
        <v>0</v>
      </c>
      <c r="AJ8" s="46"/>
      <c r="AK8" s="46"/>
      <c r="AL8" s="46"/>
      <c r="AM8" s="46"/>
      <c r="AN8" s="46">
        <f t="shared" si="5"/>
        <v>0</v>
      </c>
      <c r="AO8" s="46"/>
      <c r="AP8" s="46"/>
      <c r="AQ8" s="46"/>
      <c r="AR8" s="46"/>
      <c r="AS8" s="46">
        <f t="shared" si="6"/>
        <v>0</v>
      </c>
      <c r="AT8" s="46"/>
      <c r="AU8" s="46"/>
      <c r="AV8" s="46"/>
      <c r="AW8" s="46"/>
      <c r="AX8" s="46">
        <f t="shared" si="7"/>
        <v>0</v>
      </c>
      <c r="AY8" s="46"/>
      <c r="AZ8" s="46"/>
      <c r="BA8" s="46"/>
      <c r="BB8" s="46"/>
      <c r="BC8" s="46">
        <f t="shared" si="8"/>
        <v>0</v>
      </c>
      <c r="BD8" s="46"/>
      <c r="BE8" s="46"/>
      <c r="BF8" s="46"/>
      <c r="BG8" s="46"/>
      <c r="BH8" s="46">
        <f t="shared" si="9"/>
        <v>0</v>
      </c>
      <c r="BI8" s="46"/>
      <c r="BJ8" s="46"/>
      <c r="BK8" s="46"/>
      <c r="BL8" s="46"/>
      <c r="BM8" s="46">
        <f t="shared" si="10"/>
        <v>0</v>
      </c>
      <c r="BN8" s="46"/>
      <c r="BO8" s="46"/>
      <c r="BP8" s="46"/>
      <c r="BQ8" s="46"/>
      <c r="BR8" s="46">
        <f t="shared" si="11"/>
        <v>0</v>
      </c>
      <c r="BS8" s="46"/>
      <c r="BT8" s="46"/>
      <c r="BU8" s="46"/>
      <c r="BV8" s="46"/>
      <c r="BW8" s="46">
        <f t="shared" si="12"/>
        <v>0</v>
      </c>
    </row>
    <row r="9" spans="1:75" ht="60.75">
      <c r="A9" s="263">
        <v>1</v>
      </c>
      <c r="B9" s="264">
        <f t="shared" si="18"/>
        <v>7</v>
      </c>
      <c r="C9" s="265" t="s">
        <v>2914</v>
      </c>
      <c r="D9" s="266" t="s">
        <v>4061</v>
      </c>
      <c r="E9" s="266" t="s">
        <v>4062</v>
      </c>
      <c r="F9" s="266" t="s">
        <v>4063</v>
      </c>
      <c r="G9" s="266"/>
      <c r="H9" s="266" t="s">
        <v>3510</v>
      </c>
      <c r="I9" s="187" t="s">
        <v>4040</v>
      </c>
      <c r="J9" s="266" t="s">
        <v>4054</v>
      </c>
      <c r="K9" s="266" t="s">
        <v>4058</v>
      </c>
      <c r="L9" s="45"/>
      <c r="M9" s="45" t="s">
        <v>4064</v>
      </c>
      <c r="N9" s="58">
        <f t="shared" si="13"/>
        <v>0</v>
      </c>
      <c r="O9" s="58" t="e">
        <f t="shared" si="0"/>
        <v>#N/A</v>
      </c>
      <c r="P9" s="58" t="e">
        <f t="shared" si="14"/>
        <v>#N/A</v>
      </c>
      <c r="Q9" s="54" t="e">
        <f>INDEX([5]Timeline!$D$12:$D$24,MATCH(A9,[5]Timeline!$B$12:$B$24,0))</f>
        <v>#N/A</v>
      </c>
      <c r="R9" s="55">
        <v>44561</v>
      </c>
      <c r="S9" s="59">
        <f t="shared" si="15"/>
        <v>0</v>
      </c>
      <c r="T9" s="59">
        <f t="shared" si="16"/>
        <v>0</v>
      </c>
      <c r="U9" s="59">
        <f t="shared" si="20"/>
        <v>0</v>
      </c>
      <c r="V9" s="57"/>
      <c r="W9" s="57" t="e">
        <f t="shared" si="17"/>
        <v>#N/A</v>
      </c>
      <c r="X9" s="56" t="e">
        <f t="shared" si="2"/>
        <v>#N/A</v>
      </c>
      <c r="Y9" s="45"/>
      <c r="Z9" s="46"/>
      <c r="AA9" s="46"/>
      <c r="AB9" s="46"/>
      <c r="AC9" s="46"/>
      <c r="AD9" s="46">
        <f t="shared" si="3"/>
        <v>0</v>
      </c>
      <c r="AE9" s="46"/>
      <c r="AF9" s="46"/>
      <c r="AG9" s="46"/>
      <c r="AH9" s="46"/>
      <c r="AI9" s="46">
        <f t="shared" si="4"/>
        <v>0</v>
      </c>
      <c r="AJ9" s="46"/>
      <c r="AK9" s="46"/>
      <c r="AL9" s="46"/>
      <c r="AM9" s="46"/>
      <c r="AN9" s="46">
        <f t="shared" si="5"/>
        <v>0</v>
      </c>
      <c r="AO9" s="46"/>
      <c r="AP9" s="46"/>
      <c r="AQ9" s="46"/>
      <c r="AR9" s="46"/>
      <c r="AS9" s="46">
        <f t="shared" si="6"/>
        <v>0</v>
      </c>
      <c r="AT9" s="46"/>
      <c r="AU9" s="46"/>
      <c r="AV9" s="46"/>
      <c r="AW9" s="46"/>
      <c r="AX9" s="46">
        <f t="shared" si="7"/>
        <v>0</v>
      </c>
      <c r="AY9" s="46"/>
      <c r="AZ9" s="46"/>
      <c r="BA9" s="46"/>
      <c r="BB9" s="46"/>
      <c r="BC9" s="46">
        <f t="shared" si="8"/>
        <v>0</v>
      </c>
      <c r="BD9" s="46"/>
      <c r="BE9" s="46"/>
      <c r="BF9" s="46"/>
      <c r="BG9" s="46"/>
      <c r="BH9" s="46">
        <f t="shared" si="9"/>
        <v>0</v>
      </c>
      <c r="BI9" s="46"/>
      <c r="BJ9" s="46"/>
      <c r="BK9" s="46"/>
      <c r="BL9" s="46"/>
      <c r="BM9" s="46">
        <f>IFERROR(SUM(BI9:BL9)/3,0)</f>
        <v>0</v>
      </c>
      <c r="BN9" s="46"/>
      <c r="BO9" s="46"/>
      <c r="BP9" s="46"/>
      <c r="BQ9" s="46"/>
      <c r="BR9" s="46">
        <f t="shared" si="11"/>
        <v>0</v>
      </c>
      <c r="BS9" s="46"/>
      <c r="BT9" s="46"/>
      <c r="BU9" s="46"/>
      <c r="BV9" s="46"/>
      <c r="BW9" s="46">
        <f t="shared" si="12"/>
        <v>0</v>
      </c>
    </row>
    <row r="10" spans="1:75" ht="60.75">
      <c r="A10" s="212">
        <v>1</v>
      </c>
      <c r="B10" s="50">
        <f t="shared" si="18"/>
        <v>8</v>
      </c>
      <c r="C10" s="51" t="s">
        <v>2914</v>
      </c>
      <c r="D10" s="45" t="s">
        <v>3487</v>
      </c>
      <c r="E10" s="45" t="s">
        <v>4065</v>
      </c>
      <c r="F10" s="45" t="s">
        <v>4066</v>
      </c>
      <c r="G10" s="45" t="s">
        <v>4067</v>
      </c>
      <c r="H10" s="45" t="s">
        <v>4068</v>
      </c>
      <c r="I10" s="114" t="s">
        <v>4040</v>
      </c>
      <c r="J10" s="45" t="s">
        <v>3575</v>
      </c>
      <c r="K10" s="45"/>
      <c r="L10" s="45"/>
      <c r="M10" s="45" t="str">
        <f t="shared" si="19"/>
        <v>WH Deli Serdang</v>
      </c>
      <c r="N10" s="58">
        <f t="shared" si="13"/>
        <v>205617</v>
      </c>
      <c r="O10" s="58" t="e">
        <f t="shared" si="0"/>
        <v>#N/A</v>
      </c>
      <c r="P10" s="58" t="e">
        <f t="shared" si="14"/>
        <v>#N/A</v>
      </c>
      <c r="Q10" s="54" t="e">
        <f>INDEX([5]Timeline!$D$12:$D$24,MATCH(A10,[5]Timeline!$B$12:$B$24,0))</f>
        <v>#N/A</v>
      </c>
      <c r="R10" s="55">
        <v>44561</v>
      </c>
      <c r="S10" s="59">
        <f t="shared" si="15"/>
        <v>2.75</v>
      </c>
      <c r="T10" s="60">
        <f t="shared" si="16"/>
        <v>3.5</v>
      </c>
      <c r="U10" s="60">
        <f t="shared" si="20"/>
        <v>2</v>
      </c>
      <c r="V10" s="57">
        <v>205617</v>
      </c>
      <c r="W10" s="57" t="e">
        <f t="shared" si="17"/>
        <v>#N/A</v>
      </c>
      <c r="X10" s="56" t="e">
        <f>(MONTH(R10)-MONTH(Q10)+1)*V10</f>
        <v>#N/A</v>
      </c>
      <c r="Y10" s="260">
        <v>1</v>
      </c>
      <c r="Z10" s="261">
        <v>4</v>
      </c>
      <c r="AA10" s="261">
        <v>4</v>
      </c>
      <c r="AB10" s="261">
        <v>2</v>
      </c>
      <c r="AC10" s="261">
        <v>2</v>
      </c>
      <c r="AD10" s="261">
        <f t="shared" si="3"/>
        <v>3</v>
      </c>
      <c r="AE10" s="261">
        <v>4</v>
      </c>
      <c r="AF10" s="261">
        <v>3</v>
      </c>
      <c r="AG10" s="261">
        <v>2</v>
      </c>
      <c r="AH10" s="261">
        <v>2</v>
      </c>
      <c r="AI10" s="261">
        <f t="shared" si="4"/>
        <v>2.75</v>
      </c>
      <c r="AJ10" s="261">
        <v>4</v>
      </c>
      <c r="AK10" s="261">
        <v>3</v>
      </c>
      <c r="AL10" s="261">
        <v>2</v>
      </c>
      <c r="AM10" s="261">
        <v>2</v>
      </c>
      <c r="AN10" s="261">
        <f t="shared" si="5"/>
        <v>2.75</v>
      </c>
      <c r="AO10" s="261">
        <v>4</v>
      </c>
      <c r="AP10" s="261">
        <v>3</v>
      </c>
      <c r="AQ10" s="261">
        <v>2</v>
      </c>
      <c r="AR10" s="261">
        <v>2</v>
      </c>
      <c r="AS10" s="261">
        <f t="shared" si="6"/>
        <v>2.75</v>
      </c>
      <c r="AT10" s="261">
        <v>4</v>
      </c>
      <c r="AU10" s="261">
        <v>3</v>
      </c>
      <c r="AV10" s="261">
        <v>2</v>
      </c>
      <c r="AW10" s="261">
        <v>2</v>
      </c>
      <c r="AX10" s="261">
        <f t="shared" si="7"/>
        <v>2.75</v>
      </c>
      <c r="AY10" s="261">
        <v>4</v>
      </c>
      <c r="AZ10" s="261">
        <v>2</v>
      </c>
      <c r="BA10" s="261">
        <v>2</v>
      </c>
      <c r="BB10" s="261">
        <v>2</v>
      </c>
      <c r="BC10" s="261">
        <f t="shared" si="8"/>
        <v>2.5</v>
      </c>
      <c r="BD10" s="261"/>
      <c r="BE10" s="261"/>
      <c r="BF10" s="261"/>
      <c r="BG10" s="261"/>
      <c r="BH10" s="261">
        <f t="shared" si="9"/>
        <v>0</v>
      </c>
      <c r="BI10" s="261"/>
      <c r="BJ10" s="261"/>
      <c r="BK10" s="261"/>
      <c r="BL10" s="261"/>
      <c r="BM10" s="261">
        <f t="shared" ref="BM10:BM14" si="21">IFERROR(SUM(BI10:BL10)/3,0)</f>
        <v>0</v>
      </c>
      <c r="BN10" s="261"/>
      <c r="BO10" s="261"/>
      <c r="BP10" s="261"/>
      <c r="BQ10" s="261"/>
      <c r="BR10" s="261">
        <f t="shared" si="11"/>
        <v>0</v>
      </c>
      <c r="BS10" s="261"/>
      <c r="BT10" s="261"/>
      <c r="BU10" s="261"/>
      <c r="BV10" s="261"/>
      <c r="BW10" s="261">
        <f t="shared" si="12"/>
        <v>0</v>
      </c>
    </row>
    <row r="11" spans="1:75" ht="45.75">
      <c r="A11" s="263">
        <v>1</v>
      </c>
      <c r="B11" s="264">
        <f t="shared" si="18"/>
        <v>9</v>
      </c>
      <c r="C11" s="265" t="s">
        <v>2854</v>
      </c>
      <c r="D11" s="266" t="s">
        <v>3785</v>
      </c>
      <c r="E11" s="266"/>
      <c r="F11" s="266" t="s">
        <v>4069</v>
      </c>
      <c r="G11" s="266"/>
      <c r="H11" s="266" t="s">
        <v>3510</v>
      </c>
      <c r="I11" s="187" t="s">
        <v>4040</v>
      </c>
      <c r="J11" s="266" t="s">
        <v>4054</v>
      </c>
      <c r="K11" s="266" t="s">
        <v>4070</v>
      </c>
      <c r="L11" s="45"/>
      <c r="M11" s="45" t="s">
        <v>4071</v>
      </c>
      <c r="N11" s="58">
        <f>V11/3</f>
        <v>0</v>
      </c>
      <c r="O11" s="58" t="e">
        <f t="shared" si="0"/>
        <v>#N/A</v>
      </c>
      <c r="P11" s="58" t="e">
        <f t="shared" si="14"/>
        <v>#N/A</v>
      </c>
      <c r="Q11" s="54" t="e">
        <f>INDEX([5]Timeline!$D$12:$D$24,MATCH(A11,[5]Timeline!$B$12:$B$24,0))</f>
        <v>#N/A</v>
      </c>
      <c r="R11" s="55">
        <v>44561</v>
      </c>
      <c r="S11" s="59">
        <f t="shared" si="15"/>
        <v>0</v>
      </c>
      <c r="T11" s="59">
        <f t="shared" si="16"/>
        <v>0</v>
      </c>
      <c r="U11" s="59">
        <f t="shared" si="20"/>
        <v>0</v>
      </c>
      <c r="V11" s="57"/>
      <c r="W11" s="57" t="e">
        <f t="shared" si="17"/>
        <v>#N/A</v>
      </c>
      <c r="X11" s="56" t="e">
        <f t="shared" si="2"/>
        <v>#N/A</v>
      </c>
      <c r="Y11" s="45"/>
      <c r="Z11" s="46"/>
      <c r="AA11" s="46"/>
      <c r="AB11" s="46"/>
      <c r="AC11" s="46"/>
      <c r="AD11" s="46">
        <f t="shared" si="3"/>
        <v>0</v>
      </c>
      <c r="AE11" s="46"/>
      <c r="AF11" s="46"/>
      <c r="AG11" s="46"/>
      <c r="AH11" s="46"/>
      <c r="AI11" s="46">
        <f t="shared" si="4"/>
        <v>0</v>
      </c>
      <c r="AJ11" s="46"/>
      <c r="AK11" s="46"/>
      <c r="AL11" s="46"/>
      <c r="AM11" s="46"/>
      <c r="AN11" s="46">
        <f t="shared" si="5"/>
        <v>0</v>
      </c>
      <c r="AO11" s="46"/>
      <c r="AP11" s="46"/>
      <c r="AQ11" s="46"/>
      <c r="AR11" s="46"/>
      <c r="AS11" s="46">
        <f t="shared" si="6"/>
        <v>0</v>
      </c>
      <c r="AT11" s="46"/>
      <c r="AU11" s="46"/>
      <c r="AV11" s="46"/>
      <c r="AW11" s="46"/>
      <c r="AX11" s="46">
        <f t="shared" si="7"/>
        <v>0</v>
      </c>
      <c r="AY11" s="46"/>
      <c r="AZ11" s="46"/>
      <c r="BA11" s="46"/>
      <c r="BB11" s="46"/>
      <c r="BC11" s="46">
        <f t="shared" si="8"/>
        <v>0</v>
      </c>
      <c r="BD11" s="46"/>
      <c r="BE11" s="46"/>
      <c r="BF11" s="46"/>
      <c r="BG11" s="46"/>
      <c r="BH11" s="46">
        <f t="shared" si="9"/>
        <v>0</v>
      </c>
      <c r="BI11" s="46"/>
      <c r="BJ11" s="46"/>
      <c r="BK11" s="46"/>
      <c r="BL11" s="46"/>
      <c r="BM11" s="46">
        <f t="shared" si="21"/>
        <v>0</v>
      </c>
      <c r="BN11" s="46"/>
      <c r="BO11" s="46"/>
      <c r="BP11" s="46"/>
      <c r="BQ11" s="46"/>
      <c r="BR11" s="46">
        <f t="shared" si="11"/>
        <v>0</v>
      </c>
      <c r="BS11" s="46"/>
      <c r="BT11" s="46"/>
      <c r="BU11" s="46"/>
      <c r="BV11" s="46"/>
      <c r="BW11" s="46">
        <f t="shared" si="12"/>
        <v>0</v>
      </c>
    </row>
    <row r="12" spans="1:75" ht="45.75">
      <c r="A12" s="263">
        <v>1</v>
      </c>
      <c r="B12" s="264">
        <f t="shared" si="18"/>
        <v>10</v>
      </c>
      <c r="C12" s="265" t="s">
        <v>2854</v>
      </c>
      <c r="D12" s="266" t="s">
        <v>3785</v>
      </c>
      <c r="E12" s="266"/>
      <c r="F12" s="266" t="s">
        <v>4072</v>
      </c>
      <c r="G12" s="266"/>
      <c r="H12" s="266" t="s">
        <v>3510</v>
      </c>
      <c r="I12" s="187" t="s">
        <v>4040</v>
      </c>
      <c r="J12" s="266" t="s">
        <v>4054</v>
      </c>
      <c r="K12" s="266" t="s">
        <v>4070</v>
      </c>
      <c r="L12" s="45"/>
      <c r="M12" s="45" t="s">
        <v>4071</v>
      </c>
      <c r="N12" s="58">
        <f t="shared" ref="N12" si="22">V12/3</f>
        <v>0</v>
      </c>
      <c r="O12" s="58" t="e">
        <f t="shared" si="0"/>
        <v>#N/A</v>
      </c>
      <c r="P12" s="58" t="e">
        <f t="shared" si="14"/>
        <v>#N/A</v>
      </c>
      <c r="Q12" s="54" t="e">
        <f>INDEX([5]Timeline!$D$12:$D$24,MATCH(A12,[5]Timeline!$B$12:$B$24,0))</f>
        <v>#N/A</v>
      </c>
      <c r="R12" s="55">
        <v>44561</v>
      </c>
      <c r="S12" s="59">
        <f t="shared" si="15"/>
        <v>0</v>
      </c>
      <c r="T12" s="59">
        <f t="shared" si="16"/>
        <v>0</v>
      </c>
      <c r="U12" s="59">
        <f t="shared" si="20"/>
        <v>0</v>
      </c>
      <c r="V12" s="57"/>
      <c r="W12" s="57" t="e">
        <f t="shared" si="17"/>
        <v>#N/A</v>
      </c>
      <c r="X12" s="56" t="e">
        <f t="shared" si="2"/>
        <v>#N/A</v>
      </c>
      <c r="Y12" s="45"/>
      <c r="Z12" s="46"/>
      <c r="AA12" s="46"/>
      <c r="AB12" s="46"/>
      <c r="AC12" s="46"/>
      <c r="AD12" s="46">
        <f t="shared" si="3"/>
        <v>0</v>
      </c>
      <c r="AE12" s="46"/>
      <c r="AF12" s="46"/>
      <c r="AG12" s="46"/>
      <c r="AH12" s="46"/>
      <c r="AI12" s="46">
        <f t="shared" si="4"/>
        <v>0</v>
      </c>
      <c r="AJ12" s="46"/>
      <c r="AK12" s="46"/>
      <c r="AL12" s="46"/>
      <c r="AM12" s="46"/>
      <c r="AN12" s="46">
        <f t="shared" si="5"/>
        <v>0</v>
      </c>
      <c r="AO12" s="46"/>
      <c r="AP12" s="46"/>
      <c r="AQ12" s="46"/>
      <c r="AR12" s="46"/>
      <c r="AS12" s="46">
        <f t="shared" si="6"/>
        <v>0</v>
      </c>
      <c r="AT12" s="46"/>
      <c r="AU12" s="46"/>
      <c r="AV12" s="46"/>
      <c r="AW12" s="46"/>
      <c r="AX12" s="46">
        <f t="shared" si="7"/>
        <v>0</v>
      </c>
      <c r="AY12" s="46"/>
      <c r="AZ12" s="46"/>
      <c r="BA12" s="46"/>
      <c r="BB12" s="46"/>
      <c r="BC12" s="46">
        <f t="shared" si="8"/>
        <v>0</v>
      </c>
      <c r="BD12" s="46"/>
      <c r="BE12" s="46"/>
      <c r="BF12" s="46"/>
      <c r="BG12" s="46"/>
      <c r="BH12" s="46">
        <f t="shared" si="9"/>
        <v>0</v>
      </c>
      <c r="BI12" s="46"/>
      <c r="BJ12" s="46"/>
      <c r="BK12" s="46"/>
      <c r="BL12" s="46"/>
      <c r="BM12" s="46">
        <f t="shared" si="21"/>
        <v>0</v>
      </c>
      <c r="BN12" s="46"/>
      <c r="BO12" s="46"/>
      <c r="BP12" s="46"/>
      <c r="BQ12" s="46"/>
      <c r="BR12" s="46">
        <f t="shared" si="11"/>
        <v>0</v>
      </c>
      <c r="BS12" s="46"/>
      <c r="BT12" s="46"/>
      <c r="BU12" s="46"/>
      <c r="BV12" s="46"/>
      <c r="BW12" s="46">
        <f t="shared" si="12"/>
        <v>0</v>
      </c>
    </row>
    <row r="13" spans="1:75" ht="60.75">
      <c r="A13" s="212">
        <v>1</v>
      </c>
      <c r="B13" s="50">
        <f t="shared" si="18"/>
        <v>11</v>
      </c>
      <c r="C13" s="51" t="s">
        <v>2773</v>
      </c>
      <c r="D13" s="45" t="s">
        <v>3602</v>
      </c>
      <c r="E13" s="45" t="s">
        <v>4073</v>
      </c>
      <c r="F13" s="45" t="s">
        <v>4074</v>
      </c>
      <c r="G13" s="45" t="s">
        <v>4075</v>
      </c>
      <c r="H13" s="45" t="s">
        <v>4076</v>
      </c>
      <c r="I13" s="114" t="s">
        <v>4040</v>
      </c>
      <c r="J13" s="45" t="s">
        <v>3575</v>
      </c>
      <c r="K13" s="45"/>
      <c r="L13" s="45"/>
      <c r="M13" s="45" t="s">
        <v>2773</v>
      </c>
      <c r="N13" s="58">
        <f t="shared" si="13"/>
        <v>120000</v>
      </c>
      <c r="O13" s="58" t="e">
        <f t="shared" si="0"/>
        <v>#N/A</v>
      </c>
      <c r="P13" s="58" t="e">
        <f t="shared" si="14"/>
        <v>#N/A</v>
      </c>
      <c r="Q13" s="54" t="e">
        <f>INDEX([5]Timeline!$D$12:$D$24,MATCH(A13,[5]Timeline!$B$12:$B$24,0))</f>
        <v>#N/A</v>
      </c>
      <c r="R13" s="55">
        <v>44561</v>
      </c>
      <c r="S13" s="59">
        <f t="shared" si="15"/>
        <v>2.583333333333333</v>
      </c>
      <c r="T13" s="60">
        <f t="shared" si="16"/>
        <v>3.1666666666666665</v>
      </c>
      <c r="U13" s="60">
        <f t="shared" si="20"/>
        <v>2</v>
      </c>
      <c r="V13" s="57">
        <v>120000</v>
      </c>
      <c r="W13" s="57" t="e">
        <f t="shared" si="17"/>
        <v>#N/A</v>
      </c>
      <c r="X13" s="56" t="e">
        <f t="shared" si="2"/>
        <v>#N/A</v>
      </c>
      <c r="Y13" s="260">
        <v>1</v>
      </c>
      <c r="Z13" s="261">
        <v>4</v>
      </c>
      <c r="AA13" s="261">
        <v>4</v>
      </c>
      <c r="AB13" s="261">
        <v>2</v>
      </c>
      <c r="AC13" s="261">
        <v>2</v>
      </c>
      <c r="AD13" s="261">
        <f t="shared" si="3"/>
        <v>3</v>
      </c>
      <c r="AE13" s="261">
        <v>4</v>
      </c>
      <c r="AF13" s="261">
        <v>4</v>
      </c>
      <c r="AG13" s="261">
        <v>2</v>
      </c>
      <c r="AH13" s="261">
        <v>2</v>
      </c>
      <c r="AI13" s="261">
        <f t="shared" si="4"/>
        <v>3</v>
      </c>
      <c r="AJ13" s="261">
        <v>4</v>
      </c>
      <c r="AK13" s="261">
        <v>2</v>
      </c>
      <c r="AL13" s="261">
        <v>3</v>
      </c>
      <c r="AM13" s="261">
        <v>2</v>
      </c>
      <c r="AN13" s="261">
        <f t="shared" si="5"/>
        <v>2.75</v>
      </c>
      <c r="AO13" s="261">
        <v>4</v>
      </c>
      <c r="AP13" s="261">
        <v>2</v>
      </c>
      <c r="AQ13" s="261">
        <v>3</v>
      </c>
      <c r="AR13" s="261">
        <v>2</v>
      </c>
      <c r="AS13" s="261">
        <f>IFERROR(SUM(AO13:AR13)/4,0)</f>
        <v>2.75</v>
      </c>
      <c r="AT13" s="261">
        <v>3</v>
      </c>
      <c r="AU13" s="261">
        <v>2</v>
      </c>
      <c r="AV13" s="261">
        <v>3</v>
      </c>
      <c r="AW13" s="261">
        <v>2</v>
      </c>
      <c r="AX13" s="261">
        <f t="shared" si="7"/>
        <v>2.5</v>
      </c>
      <c r="AY13" s="261">
        <v>3</v>
      </c>
      <c r="AZ13" s="261">
        <v>2</v>
      </c>
      <c r="BA13" s="261">
        <v>3</v>
      </c>
      <c r="BB13" s="261">
        <v>2</v>
      </c>
      <c r="BC13" s="261">
        <f t="shared" si="8"/>
        <v>2.5</v>
      </c>
      <c r="BD13" s="261"/>
      <c r="BE13" s="261"/>
      <c r="BF13" s="261"/>
      <c r="BG13" s="261"/>
      <c r="BH13" s="261">
        <f t="shared" si="9"/>
        <v>0</v>
      </c>
      <c r="BI13" s="261"/>
      <c r="BJ13" s="261"/>
      <c r="BK13" s="261"/>
      <c r="BL13" s="261"/>
      <c r="BM13" s="261">
        <f t="shared" si="21"/>
        <v>0</v>
      </c>
      <c r="BN13" s="261"/>
      <c r="BO13" s="261"/>
      <c r="BP13" s="261"/>
      <c r="BQ13" s="261"/>
      <c r="BR13" s="261">
        <f t="shared" si="11"/>
        <v>0</v>
      </c>
      <c r="BS13" s="261"/>
      <c r="BT13" s="261"/>
      <c r="BU13" s="261"/>
      <c r="BV13" s="261"/>
      <c r="BW13" s="261">
        <f t="shared" si="12"/>
        <v>0</v>
      </c>
    </row>
    <row r="14" spans="1:75" ht="76.5">
      <c r="A14" s="212">
        <v>1</v>
      </c>
      <c r="B14" s="50">
        <f t="shared" si="18"/>
        <v>12</v>
      </c>
      <c r="C14" s="51" t="s">
        <v>2773</v>
      </c>
      <c r="D14" s="45" t="s">
        <v>4077</v>
      </c>
      <c r="E14" s="45" t="s">
        <v>4078</v>
      </c>
      <c r="F14" s="45" t="s">
        <v>4079</v>
      </c>
      <c r="G14" s="45" t="s">
        <v>4080</v>
      </c>
      <c r="H14" s="45" t="s">
        <v>4081</v>
      </c>
      <c r="I14" s="114" t="s">
        <v>4040</v>
      </c>
      <c r="J14" s="45" t="s">
        <v>3575</v>
      </c>
      <c r="K14" s="45"/>
      <c r="L14" s="45"/>
      <c r="M14" s="45" t="s">
        <v>2773</v>
      </c>
      <c r="N14" s="58">
        <f t="shared" si="13"/>
        <v>170000</v>
      </c>
      <c r="O14" s="58" t="e">
        <f t="shared" si="0"/>
        <v>#N/A</v>
      </c>
      <c r="P14" s="58" t="e">
        <f t="shared" si="14"/>
        <v>#N/A</v>
      </c>
      <c r="Q14" s="54" t="e">
        <f>INDEX([5]Timeline!$D$12:$D$24,MATCH(A14,[5]Timeline!$B$12:$B$24,0))</f>
        <v>#N/A</v>
      </c>
      <c r="R14" s="55">
        <v>44561</v>
      </c>
      <c r="S14" s="59">
        <f t="shared" si="15"/>
        <v>2.583333333333333</v>
      </c>
      <c r="T14" s="60">
        <f t="shared" si="16"/>
        <v>3.1666666666666665</v>
      </c>
      <c r="U14" s="60">
        <f t="shared" si="20"/>
        <v>2</v>
      </c>
      <c r="V14" s="57">
        <v>170000</v>
      </c>
      <c r="W14" s="57" t="e">
        <f t="shared" si="17"/>
        <v>#N/A</v>
      </c>
      <c r="X14" s="56" t="e">
        <f t="shared" si="2"/>
        <v>#N/A</v>
      </c>
      <c r="Y14" s="260">
        <v>1</v>
      </c>
      <c r="Z14" s="261">
        <v>4</v>
      </c>
      <c r="AA14" s="261">
        <v>3</v>
      </c>
      <c r="AB14" s="261">
        <v>2</v>
      </c>
      <c r="AC14" s="261">
        <v>2</v>
      </c>
      <c r="AD14" s="261">
        <f t="shared" si="3"/>
        <v>2.75</v>
      </c>
      <c r="AE14" s="261">
        <v>4</v>
      </c>
      <c r="AF14" s="261">
        <v>3</v>
      </c>
      <c r="AG14" s="261">
        <v>4</v>
      </c>
      <c r="AH14" s="261">
        <v>2</v>
      </c>
      <c r="AI14" s="261">
        <f t="shared" si="4"/>
        <v>3.25</v>
      </c>
      <c r="AJ14" s="261">
        <v>4</v>
      </c>
      <c r="AK14" s="261">
        <v>4</v>
      </c>
      <c r="AL14" s="261">
        <v>2</v>
      </c>
      <c r="AM14" s="261">
        <v>2</v>
      </c>
      <c r="AN14" s="261">
        <f t="shared" si="5"/>
        <v>3</v>
      </c>
      <c r="AO14" s="261">
        <v>3</v>
      </c>
      <c r="AP14" s="261">
        <v>2</v>
      </c>
      <c r="AQ14" s="261">
        <v>3</v>
      </c>
      <c r="AR14" s="261">
        <v>2</v>
      </c>
      <c r="AS14" s="261">
        <f>IFERROR(SUM(AO14:AR14)/4,0)</f>
        <v>2.5</v>
      </c>
      <c r="AT14" s="261">
        <v>3</v>
      </c>
      <c r="AU14" s="261">
        <v>2</v>
      </c>
      <c r="AV14" s="261">
        <v>3</v>
      </c>
      <c r="AW14" s="261">
        <v>2</v>
      </c>
      <c r="AX14" s="261">
        <f t="shared" si="7"/>
        <v>2.5</v>
      </c>
      <c r="AY14" s="261">
        <v>3</v>
      </c>
      <c r="AZ14" s="261">
        <v>3</v>
      </c>
      <c r="BA14" s="261">
        <v>3</v>
      </c>
      <c r="BB14" s="261">
        <v>2</v>
      </c>
      <c r="BC14" s="261">
        <f t="shared" si="8"/>
        <v>2.75</v>
      </c>
      <c r="BD14" s="261"/>
      <c r="BE14" s="261"/>
      <c r="BF14" s="261"/>
      <c r="BG14" s="261"/>
      <c r="BH14" s="261">
        <f t="shared" si="9"/>
        <v>0</v>
      </c>
      <c r="BI14" s="261"/>
      <c r="BJ14" s="261"/>
      <c r="BK14" s="261"/>
      <c r="BL14" s="261"/>
      <c r="BM14" s="261">
        <f t="shared" si="21"/>
        <v>0</v>
      </c>
      <c r="BN14" s="261"/>
      <c r="BO14" s="261"/>
      <c r="BP14" s="261"/>
      <c r="BQ14" s="261"/>
      <c r="BR14" s="261">
        <f t="shared" si="11"/>
        <v>0</v>
      </c>
      <c r="BS14" s="261"/>
      <c r="BT14" s="261"/>
      <c r="BU14" s="261"/>
      <c r="BV14" s="261"/>
      <c r="BW14" s="261">
        <f t="shared" si="12"/>
        <v>0</v>
      </c>
    </row>
    <row r="15" spans="1:75" ht="76.5">
      <c r="A15" s="268">
        <v>2</v>
      </c>
      <c r="B15" s="50">
        <f t="shared" si="18"/>
        <v>13</v>
      </c>
      <c r="C15" s="51" t="s">
        <v>4082</v>
      </c>
      <c r="D15" s="269" t="s">
        <v>4082</v>
      </c>
      <c r="E15" s="45" t="s">
        <v>4083</v>
      </c>
      <c r="F15" s="45" t="s">
        <v>4084</v>
      </c>
      <c r="G15" s="45" t="s">
        <v>4085</v>
      </c>
      <c r="H15" s="45" t="s">
        <v>4086</v>
      </c>
      <c r="I15" s="52" t="s">
        <v>4087</v>
      </c>
      <c r="J15" s="45" t="s">
        <v>3575</v>
      </c>
      <c r="K15" s="45" t="s">
        <v>4088</v>
      </c>
      <c r="L15" s="45"/>
      <c r="M15" s="45" t="s">
        <v>4082</v>
      </c>
      <c r="N15" s="58">
        <f t="shared" si="13"/>
        <v>160500</v>
      </c>
      <c r="O15" s="58" t="e">
        <f t="shared" si="0"/>
        <v>#N/A</v>
      </c>
      <c r="P15" s="58" t="e">
        <f t="shared" si="14"/>
        <v>#N/A</v>
      </c>
      <c r="Q15" s="54" t="e">
        <f>INDEX([5]Timeline!$D$12:$D$24,MATCH(A15,[5]Timeline!$B$12:$B$24,0))</f>
        <v>#N/A</v>
      </c>
      <c r="R15" s="55">
        <v>44561</v>
      </c>
      <c r="S15" s="59">
        <f t="shared" si="15"/>
        <v>2.6</v>
      </c>
      <c r="T15" s="60">
        <f t="shared" si="16"/>
        <v>3.2</v>
      </c>
      <c r="U15" s="60">
        <f t="shared" si="20"/>
        <v>2</v>
      </c>
      <c r="V15" s="56">
        <f>321/60*30000</f>
        <v>160500</v>
      </c>
      <c r="W15" s="57" t="e">
        <f t="shared" si="17"/>
        <v>#N/A</v>
      </c>
      <c r="X15" s="270" t="e">
        <f t="shared" si="2"/>
        <v>#N/A</v>
      </c>
      <c r="Y15" s="260">
        <v>1</v>
      </c>
      <c r="Z15" s="260">
        <v>4</v>
      </c>
      <c r="AA15" s="260">
        <v>4</v>
      </c>
      <c r="AB15" s="260">
        <v>2</v>
      </c>
      <c r="AC15" s="260">
        <v>2</v>
      </c>
      <c r="AD15" s="261">
        <f t="shared" si="3"/>
        <v>3</v>
      </c>
      <c r="AE15" s="271">
        <v>3</v>
      </c>
      <c r="AF15" s="271">
        <v>3</v>
      </c>
      <c r="AG15" s="260">
        <v>2</v>
      </c>
      <c r="AH15" s="260">
        <v>2</v>
      </c>
      <c r="AI15" s="261">
        <f t="shared" si="4"/>
        <v>2.5</v>
      </c>
      <c r="AJ15" s="260"/>
      <c r="AK15" s="260"/>
      <c r="AL15" s="260"/>
      <c r="AM15" s="260"/>
      <c r="AN15" s="261">
        <f t="shared" si="5"/>
        <v>0</v>
      </c>
      <c r="AO15" s="271">
        <v>3</v>
      </c>
      <c r="AP15" s="271">
        <v>3</v>
      </c>
      <c r="AQ15" s="260">
        <v>2</v>
      </c>
      <c r="AR15" s="260">
        <v>2</v>
      </c>
      <c r="AS15" s="261">
        <f t="shared" ref="AS15:AS23" si="23">IFERROR(SUM(AO15:AR15)/4,0)</f>
        <v>2.5</v>
      </c>
      <c r="AT15" s="271">
        <v>3</v>
      </c>
      <c r="AU15" s="271">
        <v>3</v>
      </c>
      <c r="AV15" s="271">
        <v>3</v>
      </c>
      <c r="AW15" s="271">
        <v>2</v>
      </c>
      <c r="AX15" s="261">
        <f t="shared" si="7"/>
        <v>2.75</v>
      </c>
      <c r="AY15" s="271">
        <v>3</v>
      </c>
      <c r="AZ15" s="271">
        <v>3</v>
      </c>
      <c r="BA15" s="271">
        <v>3</v>
      </c>
      <c r="BB15" s="271">
        <v>2</v>
      </c>
      <c r="BC15" s="261">
        <f t="shared" si="8"/>
        <v>2.75</v>
      </c>
      <c r="BD15" s="260"/>
      <c r="BE15" s="260"/>
      <c r="BF15" s="260"/>
      <c r="BG15" s="260"/>
      <c r="BH15" s="260"/>
      <c r="BI15" s="260"/>
      <c r="BJ15" s="260"/>
      <c r="BK15" s="260"/>
      <c r="BL15" s="260"/>
      <c r="BM15" s="260"/>
      <c r="BN15" s="260"/>
      <c r="BO15" s="260"/>
      <c r="BP15" s="260"/>
      <c r="BQ15" s="260"/>
      <c r="BR15" s="260"/>
      <c r="BS15" s="260"/>
      <c r="BT15" s="260"/>
      <c r="BU15" s="260"/>
      <c r="BV15" s="260"/>
      <c r="BW15" s="260"/>
    </row>
    <row r="16" spans="1:75" ht="76.5">
      <c r="A16" s="268">
        <v>2</v>
      </c>
      <c r="B16" s="50">
        <f t="shared" si="18"/>
        <v>14</v>
      </c>
      <c r="C16" s="51" t="s">
        <v>2817</v>
      </c>
      <c r="D16" s="258" t="s">
        <v>3978</v>
      </c>
      <c r="E16" s="45" t="s">
        <v>4089</v>
      </c>
      <c r="F16" s="45" t="s">
        <v>4090</v>
      </c>
      <c r="G16" s="45" t="s">
        <v>4091</v>
      </c>
      <c r="H16" s="45" t="s">
        <v>4092</v>
      </c>
      <c r="I16" s="45" t="s">
        <v>4087</v>
      </c>
      <c r="J16" s="45" t="s">
        <v>3575</v>
      </c>
      <c r="K16" s="45" t="s">
        <v>4093</v>
      </c>
      <c r="L16" s="45"/>
      <c r="M16" s="45" t="s">
        <v>2817</v>
      </c>
      <c r="N16" s="58">
        <f t="shared" si="13"/>
        <v>435000</v>
      </c>
      <c r="O16" s="58" t="e">
        <f t="shared" si="0"/>
        <v>#N/A</v>
      </c>
      <c r="P16" s="58" t="e">
        <f t="shared" si="14"/>
        <v>#N/A</v>
      </c>
      <c r="Q16" s="54" t="e">
        <f>INDEX([5]Timeline!$D$12:$D$24,MATCH(A16,[5]Timeline!$B$12:$B$24,0))</f>
        <v>#N/A</v>
      </c>
      <c r="R16" s="55">
        <v>44561</v>
      </c>
      <c r="S16" s="59">
        <f t="shared" si="15"/>
        <v>2.9375</v>
      </c>
      <c r="T16" s="60">
        <f t="shared" si="16"/>
        <v>3.875</v>
      </c>
      <c r="U16" s="60">
        <f t="shared" si="20"/>
        <v>2</v>
      </c>
      <c r="V16" s="56">
        <v>435000</v>
      </c>
      <c r="W16" s="57" t="e">
        <f t="shared" si="17"/>
        <v>#N/A</v>
      </c>
      <c r="X16" s="121" t="e">
        <f t="shared" si="2"/>
        <v>#N/A</v>
      </c>
      <c r="Y16" s="260">
        <v>1</v>
      </c>
      <c r="Z16" s="260">
        <v>4</v>
      </c>
      <c r="AA16" s="260">
        <v>4</v>
      </c>
      <c r="AB16" s="260">
        <v>2</v>
      </c>
      <c r="AC16" s="260">
        <v>2</v>
      </c>
      <c r="AD16" s="261">
        <f t="shared" si="3"/>
        <v>3</v>
      </c>
      <c r="AE16" s="271">
        <v>4</v>
      </c>
      <c r="AF16" s="271">
        <v>3</v>
      </c>
      <c r="AG16" s="260">
        <v>2</v>
      </c>
      <c r="AH16" s="260">
        <v>2</v>
      </c>
      <c r="AI16" s="261">
        <f t="shared" si="4"/>
        <v>2.75</v>
      </c>
      <c r="AJ16" s="260"/>
      <c r="AK16" s="260"/>
      <c r="AL16" s="260"/>
      <c r="AM16" s="260"/>
      <c r="AN16" s="261">
        <f t="shared" si="5"/>
        <v>0</v>
      </c>
      <c r="AO16" s="260"/>
      <c r="AP16" s="260"/>
      <c r="AQ16" s="260"/>
      <c r="AR16" s="260"/>
      <c r="AS16" s="261">
        <f t="shared" si="23"/>
        <v>0</v>
      </c>
      <c r="AT16" s="271">
        <v>4</v>
      </c>
      <c r="AU16" s="271">
        <v>4</v>
      </c>
      <c r="AV16" s="271">
        <v>2</v>
      </c>
      <c r="AW16" s="271">
        <v>2</v>
      </c>
      <c r="AX16" s="261">
        <f t="shared" si="7"/>
        <v>3</v>
      </c>
      <c r="AY16" s="271">
        <v>4</v>
      </c>
      <c r="AZ16" s="271">
        <v>4</v>
      </c>
      <c r="BA16" s="271">
        <v>2</v>
      </c>
      <c r="BB16" s="271">
        <v>2</v>
      </c>
      <c r="BC16" s="261">
        <f t="shared" si="8"/>
        <v>3</v>
      </c>
      <c r="BD16" s="260"/>
      <c r="BE16" s="260"/>
      <c r="BF16" s="260"/>
      <c r="BG16" s="260"/>
      <c r="BH16" s="260"/>
      <c r="BI16" s="260"/>
      <c r="BJ16" s="260"/>
      <c r="BK16" s="260"/>
      <c r="BL16" s="260"/>
      <c r="BM16" s="260"/>
      <c r="BN16" s="260"/>
      <c r="BO16" s="260"/>
      <c r="BP16" s="260"/>
      <c r="BQ16" s="260"/>
      <c r="BR16" s="260"/>
      <c r="BS16" s="260"/>
      <c r="BT16" s="260"/>
      <c r="BU16" s="260"/>
      <c r="BV16" s="260"/>
      <c r="BW16" s="260"/>
    </row>
    <row r="17" spans="1:75" ht="76.5">
      <c r="A17" s="263">
        <v>2</v>
      </c>
      <c r="B17" s="264">
        <f t="shared" si="18"/>
        <v>15</v>
      </c>
      <c r="C17" s="265" t="s">
        <v>2914</v>
      </c>
      <c r="D17" s="266" t="s">
        <v>3628</v>
      </c>
      <c r="E17" s="266" t="s">
        <v>4059</v>
      </c>
      <c r="F17" s="266" t="s">
        <v>4094</v>
      </c>
      <c r="G17" s="266" t="s">
        <v>4095</v>
      </c>
      <c r="H17" s="266" t="s">
        <v>4096</v>
      </c>
      <c r="I17" s="272" t="s">
        <v>4087</v>
      </c>
      <c r="J17" s="266" t="s">
        <v>4097</v>
      </c>
      <c r="K17" s="266" t="s">
        <v>4098</v>
      </c>
      <c r="L17" s="45"/>
      <c r="M17" s="45" t="str">
        <f t="shared" ref="M17:M20" si="24">D17</f>
        <v>Wh Karawaci</v>
      </c>
      <c r="N17" s="58">
        <f t="shared" si="13"/>
        <v>0</v>
      </c>
      <c r="O17" s="58" t="e">
        <f t="shared" si="0"/>
        <v>#N/A</v>
      </c>
      <c r="P17" s="58" t="e">
        <f t="shared" si="14"/>
        <v>#N/A</v>
      </c>
      <c r="Q17" s="54" t="e">
        <f>INDEX([5]Timeline!$D$12:$D$24,MATCH(A17,[5]Timeline!$B$12:$B$24,0))</f>
        <v>#N/A</v>
      </c>
      <c r="R17" s="55">
        <v>44561</v>
      </c>
      <c r="S17" s="59">
        <f t="shared" si="15"/>
        <v>0</v>
      </c>
      <c r="T17" s="60">
        <f t="shared" si="16"/>
        <v>0</v>
      </c>
      <c r="U17" s="60">
        <f t="shared" si="20"/>
        <v>0</v>
      </c>
      <c r="V17" s="56"/>
      <c r="W17" s="57" t="e">
        <f t="shared" si="17"/>
        <v>#N/A</v>
      </c>
      <c r="X17" s="56" t="e">
        <f t="shared" si="2"/>
        <v>#N/A</v>
      </c>
      <c r="Y17" s="45"/>
      <c r="Z17" s="45">
        <v>4</v>
      </c>
      <c r="AA17" s="45">
        <v>4</v>
      </c>
      <c r="AB17" s="45">
        <v>2</v>
      </c>
      <c r="AC17" s="45">
        <v>2</v>
      </c>
      <c r="AD17" s="46">
        <f t="shared" si="3"/>
        <v>3</v>
      </c>
      <c r="AE17" s="273">
        <v>1</v>
      </c>
      <c r="AF17" s="273">
        <v>1</v>
      </c>
      <c r="AG17" s="45">
        <v>2</v>
      </c>
      <c r="AH17" s="45">
        <v>2</v>
      </c>
      <c r="AI17" s="46">
        <f t="shared" si="4"/>
        <v>1.5</v>
      </c>
      <c r="AJ17" s="45"/>
      <c r="AK17" s="45"/>
      <c r="AL17" s="45"/>
      <c r="AM17" s="45"/>
      <c r="AN17" s="46">
        <f t="shared" si="5"/>
        <v>0</v>
      </c>
      <c r="AO17" s="45">
        <v>2</v>
      </c>
      <c r="AP17" s="45">
        <v>2</v>
      </c>
      <c r="AQ17" s="45">
        <v>2</v>
      </c>
      <c r="AR17" s="45">
        <v>2</v>
      </c>
      <c r="AS17" s="46">
        <f t="shared" si="23"/>
        <v>2</v>
      </c>
      <c r="AT17" s="273">
        <v>1</v>
      </c>
      <c r="AU17" s="273">
        <v>1</v>
      </c>
      <c r="AV17" s="273">
        <v>3</v>
      </c>
      <c r="AW17" s="273">
        <v>2</v>
      </c>
      <c r="AX17" s="46">
        <f t="shared" si="7"/>
        <v>1.75</v>
      </c>
      <c r="AY17" s="273">
        <v>1</v>
      </c>
      <c r="AZ17" s="273">
        <v>1</v>
      </c>
      <c r="BA17" s="273">
        <v>2</v>
      </c>
      <c r="BB17" s="273">
        <v>2</v>
      </c>
      <c r="BC17" s="46">
        <f t="shared" si="8"/>
        <v>1.5</v>
      </c>
      <c r="BD17" s="45"/>
      <c r="BE17" s="45"/>
      <c r="BF17" s="45"/>
      <c r="BG17" s="45"/>
      <c r="BH17" s="45"/>
      <c r="BI17" s="45"/>
      <c r="BJ17" s="45"/>
      <c r="BK17" s="45"/>
      <c r="BL17" s="45"/>
      <c r="BM17" s="45"/>
      <c r="BN17" s="45"/>
      <c r="BO17" s="45"/>
      <c r="BP17" s="45"/>
      <c r="BQ17" s="45"/>
      <c r="BR17" s="45"/>
      <c r="BS17" s="45"/>
      <c r="BT17" s="45"/>
      <c r="BU17" s="45"/>
      <c r="BV17" s="45"/>
      <c r="BW17" s="45"/>
    </row>
    <row r="18" spans="1:75" ht="91.5">
      <c r="A18" s="268">
        <v>2</v>
      </c>
      <c r="B18" s="50">
        <f t="shared" si="18"/>
        <v>16</v>
      </c>
      <c r="C18" s="51" t="s">
        <v>2914</v>
      </c>
      <c r="D18" s="262" t="s">
        <v>4099</v>
      </c>
      <c r="E18" s="45" t="s">
        <v>4100</v>
      </c>
      <c r="F18" s="45" t="s">
        <v>4057</v>
      </c>
      <c r="G18" s="45" t="s">
        <v>4095</v>
      </c>
      <c r="H18" s="45" t="s">
        <v>4096</v>
      </c>
      <c r="I18" s="52" t="s">
        <v>4087</v>
      </c>
      <c r="J18" s="45" t="s">
        <v>4101</v>
      </c>
      <c r="K18" s="45" t="s">
        <v>4102</v>
      </c>
      <c r="L18" s="45"/>
      <c r="M18" s="45" t="str">
        <f t="shared" si="24"/>
        <v>WH Bogor + WH Karawaci</v>
      </c>
      <c r="N18" s="58">
        <f>V18/2</f>
        <v>2787000</v>
      </c>
      <c r="O18" s="58" t="e">
        <f t="shared" si="0"/>
        <v>#N/A</v>
      </c>
      <c r="P18" s="58" t="e">
        <f t="shared" si="14"/>
        <v>#N/A</v>
      </c>
      <c r="Q18" s="54" t="e">
        <f>INDEX([5]Timeline!$D$12:$D$24,MATCH(A18,[5]Timeline!$B$12:$B$24,0))</f>
        <v>#N/A</v>
      </c>
      <c r="R18" s="55">
        <v>44561</v>
      </c>
      <c r="S18" s="59">
        <f t="shared" si="15"/>
        <v>2.5499999999999998</v>
      </c>
      <c r="T18" s="60">
        <f t="shared" si="16"/>
        <v>3.1</v>
      </c>
      <c r="U18" s="60">
        <f t="shared" si="20"/>
        <v>2</v>
      </c>
      <c r="V18" s="56">
        <v>5574000</v>
      </c>
      <c r="W18" s="57" t="e">
        <f t="shared" si="17"/>
        <v>#N/A</v>
      </c>
      <c r="X18" s="120" t="e">
        <f t="shared" si="2"/>
        <v>#N/A</v>
      </c>
      <c r="Y18" s="260">
        <v>1</v>
      </c>
      <c r="Z18" s="260">
        <v>3</v>
      </c>
      <c r="AA18" s="260">
        <v>3</v>
      </c>
      <c r="AB18" s="260">
        <v>2</v>
      </c>
      <c r="AC18" s="260">
        <v>2</v>
      </c>
      <c r="AD18" s="261">
        <f t="shared" si="3"/>
        <v>2.5</v>
      </c>
      <c r="AE18" s="271">
        <v>3</v>
      </c>
      <c r="AF18" s="271">
        <v>2</v>
      </c>
      <c r="AG18" s="260">
        <v>2</v>
      </c>
      <c r="AH18" s="260">
        <v>2</v>
      </c>
      <c r="AI18" s="261">
        <f t="shared" si="4"/>
        <v>2.25</v>
      </c>
      <c r="AJ18" s="260"/>
      <c r="AK18" s="260"/>
      <c r="AL18" s="260"/>
      <c r="AM18" s="260"/>
      <c r="AN18" s="261">
        <f t="shared" si="5"/>
        <v>0</v>
      </c>
      <c r="AO18" s="260">
        <v>2</v>
      </c>
      <c r="AP18" s="260">
        <v>2</v>
      </c>
      <c r="AQ18" s="260">
        <v>2</v>
      </c>
      <c r="AR18" s="260">
        <v>2</v>
      </c>
      <c r="AS18" s="261">
        <f t="shared" si="23"/>
        <v>2</v>
      </c>
      <c r="AT18" s="271">
        <v>4</v>
      </c>
      <c r="AU18" s="271">
        <v>4</v>
      </c>
      <c r="AV18" s="271">
        <v>2</v>
      </c>
      <c r="AW18" s="271">
        <v>2</v>
      </c>
      <c r="AX18" s="261">
        <f t="shared" si="7"/>
        <v>3</v>
      </c>
      <c r="AY18" s="271">
        <v>4</v>
      </c>
      <c r="AZ18" s="271">
        <v>4</v>
      </c>
      <c r="BA18" s="271">
        <v>2</v>
      </c>
      <c r="BB18" s="271">
        <v>2</v>
      </c>
      <c r="BC18" s="261">
        <f t="shared" si="8"/>
        <v>3</v>
      </c>
      <c r="BD18" s="260"/>
      <c r="BE18" s="260"/>
      <c r="BF18" s="260"/>
      <c r="BG18" s="260"/>
      <c r="BH18" s="260"/>
      <c r="BI18" s="260"/>
      <c r="BJ18" s="260"/>
      <c r="BK18" s="260"/>
      <c r="BL18" s="260"/>
      <c r="BM18" s="260"/>
      <c r="BN18" s="260"/>
      <c r="BO18" s="260"/>
      <c r="BP18" s="260"/>
      <c r="BQ18" s="260"/>
      <c r="BR18" s="260"/>
      <c r="BS18" s="260"/>
      <c r="BT18" s="260"/>
      <c r="BU18" s="260"/>
      <c r="BV18" s="260"/>
      <c r="BW18" s="260"/>
    </row>
    <row r="19" spans="1:75" ht="76.5">
      <c r="A19" s="268">
        <v>2</v>
      </c>
      <c r="B19" s="50">
        <f t="shared" si="18"/>
        <v>17</v>
      </c>
      <c r="C19" s="51" t="s">
        <v>2914</v>
      </c>
      <c r="D19" s="45" t="s">
        <v>4061</v>
      </c>
      <c r="E19" s="45" t="s">
        <v>4103</v>
      </c>
      <c r="F19" s="45" t="s">
        <v>4104</v>
      </c>
      <c r="G19" s="45" t="s">
        <v>4105</v>
      </c>
      <c r="H19" s="45" t="s">
        <v>4106</v>
      </c>
      <c r="I19" s="45" t="s">
        <v>4087</v>
      </c>
      <c r="J19" s="45" t="s">
        <v>3575</v>
      </c>
      <c r="K19" s="45"/>
      <c r="L19" s="45"/>
      <c r="M19" s="45" t="s">
        <v>4064</v>
      </c>
      <c r="N19" s="58">
        <f t="shared" si="13"/>
        <v>49500</v>
      </c>
      <c r="O19" s="58" t="e">
        <f t="shared" si="0"/>
        <v>#N/A</v>
      </c>
      <c r="P19" s="58" t="e">
        <f t="shared" si="14"/>
        <v>#N/A</v>
      </c>
      <c r="Q19" s="54" t="e">
        <f>INDEX([5]Timeline!$D$12:$D$24,MATCH(A19,[5]Timeline!$B$12:$B$24,0))</f>
        <v>#N/A</v>
      </c>
      <c r="R19" s="55">
        <v>44561</v>
      </c>
      <c r="S19" s="59">
        <f t="shared" si="15"/>
        <v>2.4500000000000002</v>
      </c>
      <c r="T19" s="60">
        <f t="shared" si="16"/>
        <v>3.1</v>
      </c>
      <c r="U19" s="60">
        <f t="shared" si="20"/>
        <v>1.8</v>
      </c>
      <c r="V19" s="56">
        <v>49500</v>
      </c>
      <c r="W19" s="57" t="e">
        <f t="shared" si="17"/>
        <v>#N/A</v>
      </c>
      <c r="X19" s="56" t="e">
        <f t="shared" si="2"/>
        <v>#N/A</v>
      </c>
      <c r="Y19" s="260">
        <v>1</v>
      </c>
      <c r="Z19" s="260">
        <v>4</v>
      </c>
      <c r="AA19" s="260">
        <v>2</v>
      </c>
      <c r="AB19" s="260">
        <v>2</v>
      </c>
      <c r="AC19" s="260">
        <v>1</v>
      </c>
      <c r="AD19" s="261">
        <f t="shared" si="3"/>
        <v>2.25</v>
      </c>
      <c r="AE19" s="271">
        <v>3</v>
      </c>
      <c r="AF19" s="271">
        <v>3</v>
      </c>
      <c r="AG19" s="260">
        <v>2</v>
      </c>
      <c r="AH19" s="260">
        <v>2</v>
      </c>
      <c r="AI19" s="261">
        <f t="shared" si="4"/>
        <v>2.5</v>
      </c>
      <c r="AJ19" s="260"/>
      <c r="AK19" s="260"/>
      <c r="AL19" s="260"/>
      <c r="AM19" s="260"/>
      <c r="AN19" s="261">
        <f t="shared" si="5"/>
        <v>0</v>
      </c>
      <c r="AO19" s="260">
        <v>3</v>
      </c>
      <c r="AP19" s="260">
        <v>3</v>
      </c>
      <c r="AQ19" s="260">
        <v>2</v>
      </c>
      <c r="AR19" s="260">
        <v>2</v>
      </c>
      <c r="AS19" s="261">
        <f t="shared" si="23"/>
        <v>2.5</v>
      </c>
      <c r="AT19" s="271">
        <v>3</v>
      </c>
      <c r="AU19" s="271">
        <v>3</v>
      </c>
      <c r="AV19" s="271">
        <v>2</v>
      </c>
      <c r="AW19" s="271">
        <v>2</v>
      </c>
      <c r="AX19" s="261">
        <f t="shared" si="7"/>
        <v>2.5</v>
      </c>
      <c r="AY19" s="271">
        <v>4</v>
      </c>
      <c r="AZ19" s="271">
        <v>3</v>
      </c>
      <c r="BA19" s="271">
        <v>2</v>
      </c>
      <c r="BB19" s="271">
        <v>2</v>
      </c>
      <c r="BC19" s="261">
        <f t="shared" si="8"/>
        <v>2.75</v>
      </c>
      <c r="BD19" s="260"/>
      <c r="BE19" s="260"/>
      <c r="BF19" s="260"/>
      <c r="BG19" s="260"/>
      <c r="BH19" s="260"/>
      <c r="BI19" s="260"/>
      <c r="BJ19" s="260"/>
      <c r="BK19" s="260"/>
      <c r="BL19" s="260"/>
      <c r="BM19" s="260"/>
      <c r="BN19" s="260"/>
      <c r="BO19" s="260"/>
      <c r="BP19" s="260"/>
      <c r="BQ19" s="260"/>
      <c r="BR19" s="260"/>
      <c r="BS19" s="260"/>
      <c r="BT19" s="260"/>
      <c r="BU19" s="260"/>
      <c r="BV19" s="260"/>
      <c r="BW19" s="260"/>
    </row>
    <row r="20" spans="1:75" ht="76.5">
      <c r="A20" s="268">
        <v>2</v>
      </c>
      <c r="B20" s="50">
        <f t="shared" si="18"/>
        <v>18</v>
      </c>
      <c r="C20" s="51" t="s">
        <v>2914</v>
      </c>
      <c r="D20" s="45" t="s">
        <v>3487</v>
      </c>
      <c r="E20" s="45" t="s">
        <v>4107</v>
      </c>
      <c r="F20" s="45" t="s">
        <v>4108</v>
      </c>
      <c r="G20" s="45" t="s">
        <v>4109</v>
      </c>
      <c r="H20" s="45" t="s">
        <v>4110</v>
      </c>
      <c r="I20" s="45" t="s">
        <v>4087</v>
      </c>
      <c r="J20" s="45" t="s">
        <v>3575</v>
      </c>
      <c r="K20" s="45"/>
      <c r="L20" s="45"/>
      <c r="M20" s="45" t="str">
        <f t="shared" si="24"/>
        <v>WH Deli Serdang</v>
      </c>
      <c r="N20" s="58">
        <f t="shared" si="13"/>
        <v>19872</v>
      </c>
      <c r="O20" s="58" t="e">
        <f t="shared" si="0"/>
        <v>#N/A</v>
      </c>
      <c r="P20" s="58" t="e">
        <f t="shared" si="14"/>
        <v>#N/A</v>
      </c>
      <c r="Q20" s="54" t="e">
        <f>INDEX([5]Timeline!$D$12:$D$24,MATCH(A20,[5]Timeline!$B$12:$B$24,0))</f>
        <v>#N/A</v>
      </c>
      <c r="R20" s="55">
        <v>44561</v>
      </c>
      <c r="S20" s="59">
        <f t="shared" si="15"/>
        <v>3.0999999999999996</v>
      </c>
      <c r="T20" s="60">
        <f t="shared" si="16"/>
        <v>3.4</v>
      </c>
      <c r="U20" s="60">
        <f t="shared" si="20"/>
        <v>2.8</v>
      </c>
      <c r="V20" s="56">
        <v>19872</v>
      </c>
      <c r="W20" s="57" t="e">
        <f t="shared" si="17"/>
        <v>#N/A</v>
      </c>
      <c r="X20" s="56" t="e">
        <f t="shared" si="2"/>
        <v>#N/A</v>
      </c>
      <c r="Y20" s="260">
        <v>1</v>
      </c>
      <c r="Z20" s="260">
        <v>4</v>
      </c>
      <c r="AA20" s="260">
        <v>3</v>
      </c>
      <c r="AB20" s="260">
        <v>2</v>
      </c>
      <c r="AC20" s="260">
        <v>2</v>
      </c>
      <c r="AD20" s="261">
        <f t="shared" si="3"/>
        <v>2.75</v>
      </c>
      <c r="AE20" s="271">
        <v>4</v>
      </c>
      <c r="AF20" s="271">
        <v>3</v>
      </c>
      <c r="AG20" s="260">
        <v>2</v>
      </c>
      <c r="AH20" s="260">
        <v>2</v>
      </c>
      <c r="AI20" s="261">
        <f t="shared" si="4"/>
        <v>2.75</v>
      </c>
      <c r="AJ20" s="260"/>
      <c r="AK20" s="260"/>
      <c r="AL20" s="260"/>
      <c r="AM20" s="260"/>
      <c r="AN20" s="261">
        <f t="shared" si="5"/>
        <v>0</v>
      </c>
      <c r="AO20" s="260">
        <v>3</v>
      </c>
      <c r="AP20" s="260">
        <v>3</v>
      </c>
      <c r="AQ20" s="260">
        <v>2</v>
      </c>
      <c r="AR20" s="260">
        <v>2</v>
      </c>
      <c r="AS20" s="261">
        <f t="shared" si="23"/>
        <v>2.5</v>
      </c>
      <c r="AT20" s="271">
        <v>4</v>
      </c>
      <c r="AU20" s="271">
        <v>3</v>
      </c>
      <c r="AV20" s="271">
        <v>2</v>
      </c>
      <c r="AW20" s="271">
        <v>4</v>
      </c>
      <c r="AX20" s="261">
        <f t="shared" si="7"/>
        <v>3.25</v>
      </c>
      <c r="AY20" s="271">
        <v>4</v>
      </c>
      <c r="AZ20" s="271">
        <v>3</v>
      </c>
      <c r="BA20" s="271">
        <v>2</v>
      </c>
      <c r="BB20" s="271">
        <v>4</v>
      </c>
      <c r="BC20" s="261">
        <f t="shared" si="8"/>
        <v>3.25</v>
      </c>
      <c r="BD20" s="260"/>
      <c r="BE20" s="260"/>
      <c r="BF20" s="260"/>
      <c r="BG20" s="260"/>
      <c r="BH20" s="260"/>
      <c r="BI20" s="260"/>
      <c r="BJ20" s="260"/>
      <c r="BK20" s="260"/>
      <c r="BL20" s="260"/>
      <c r="BM20" s="260"/>
      <c r="BN20" s="260"/>
      <c r="BO20" s="260"/>
      <c r="BP20" s="260"/>
      <c r="BQ20" s="260"/>
      <c r="BR20" s="260"/>
      <c r="BS20" s="260"/>
      <c r="BT20" s="260"/>
      <c r="BU20" s="260"/>
      <c r="BV20" s="260"/>
      <c r="BW20" s="260"/>
    </row>
    <row r="21" spans="1:75" ht="76.5">
      <c r="A21" s="268">
        <v>2</v>
      </c>
      <c r="B21" s="50">
        <f t="shared" si="18"/>
        <v>19</v>
      </c>
      <c r="C21" s="51" t="s">
        <v>2854</v>
      </c>
      <c r="D21" s="45" t="s">
        <v>3513</v>
      </c>
      <c r="E21" s="45" t="s">
        <v>3762</v>
      </c>
      <c r="F21" s="45" t="s">
        <v>4111</v>
      </c>
      <c r="G21" s="45" t="s">
        <v>4112</v>
      </c>
      <c r="H21" s="45" t="s">
        <v>4113</v>
      </c>
      <c r="I21" s="45" t="s">
        <v>4087</v>
      </c>
      <c r="J21" s="45" t="s">
        <v>3575</v>
      </c>
      <c r="K21" s="45" t="s">
        <v>4114</v>
      </c>
      <c r="L21" s="45"/>
      <c r="M21" s="45" t="s">
        <v>4115</v>
      </c>
      <c r="N21" s="58">
        <f t="shared" si="13"/>
        <v>312160</v>
      </c>
      <c r="O21" s="58" t="e">
        <f t="shared" si="0"/>
        <v>#N/A</v>
      </c>
      <c r="P21" s="58" t="e">
        <f t="shared" si="14"/>
        <v>#N/A</v>
      </c>
      <c r="Q21" s="54" t="e">
        <f>INDEX([5]Timeline!$D$12:$D$24,MATCH(A21,[5]Timeline!$B$12:$B$24,0))</f>
        <v>#N/A</v>
      </c>
      <c r="R21" s="55">
        <v>44561</v>
      </c>
      <c r="S21" s="59">
        <f t="shared" si="15"/>
        <v>2.75</v>
      </c>
      <c r="T21" s="60">
        <f t="shared" si="16"/>
        <v>3.3</v>
      </c>
      <c r="U21" s="60">
        <f t="shared" si="20"/>
        <v>2.2000000000000002</v>
      </c>
      <c r="V21" s="56">
        <f>15608/187296*3745920</f>
        <v>312160</v>
      </c>
      <c r="W21" s="57" t="e">
        <f t="shared" si="17"/>
        <v>#N/A</v>
      </c>
      <c r="X21" s="56" t="e">
        <f t="shared" si="2"/>
        <v>#N/A</v>
      </c>
      <c r="Y21" s="260">
        <v>1</v>
      </c>
      <c r="Z21" s="260">
        <v>4</v>
      </c>
      <c r="AA21" s="260">
        <v>3</v>
      </c>
      <c r="AB21" s="260">
        <v>2</v>
      </c>
      <c r="AC21" s="260">
        <v>2</v>
      </c>
      <c r="AD21" s="261">
        <f t="shared" si="3"/>
        <v>2.75</v>
      </c>
      <c r="AE21" s="271">
        <v>3</v>
      </c>
      <c r="AF21" s="271">
        <v>3</v>
      </c>
      <c r="AG21" s="260">
        <v>2</v>
      </c>
      <c r="AH21" s="260">
        <v>1</v>
      </c>
      <c r="AI21" s="261">
        <f t="shared" si="4"/>
        <v>2.25</v>
      </c>
      <c r="AJ21" s="260"/>
      <c r="AK21" s="260"/>
      <c r="AL21" s="260"/>
      <c r="AM21" s="260"/>
      <c r="AN21" s="261">
        <f t="shared" si="5"/>
        <v>0</v>
      </c>
      <c r="AO21" s="260">
        <v>4</v>
      </c>
      <c r="AP21" s="260">
        <v>3</v>
      </c>
      <c r="AQ21" s="260">
        <v>2</v>
      </c>
      <c r="AR21" s="260">
        <v>4</v>
      </c>
      <c r="AS21" s="261">
        <f t="shared" si="23"/>
        <v>3.25</v>
      </c>
      <c r="AT21" s="271">
        <v>4</v>
      </c>
      <c r="AU21" s="271">
        <v>3</v>
      </c>
      <c r="AV21" s="271">
        <v>4</v>
      </c>
      <c r="AW21" s="271">
        <v>2</v>
      </c>
      <c r="AX21" s="261">
        <f t="shared" si="7"/>
        <v>3.25</v>
      </c>
      <c r="AY21" s="271">
        <v>3</v>
      </c>
      <c r="AZ21" s="271">
        <v>3</v>
      </c>
      <c r="BA21" s="271">
        <v>2</v>
      </c>
      <c r="BB21" s="271">
        <v>2</v>
      </c>
      <c r="BC21" s="261">
        <f t="shared" si="8"/>
        <v>2.5</v>
      </c>
      <c r="BD21" s="260"/>
      <c r="BE21" s="260"/>
      <c r="BF21" s="260"/>
      <c r="BG21" s="260"/>
      <c r="BH21" s="260"/>
      <c r="BI21" s="260"/>
      <c r="BJ21" s="260"/>
      <c r="BK21" s="260"/>
      <c r="BL21" s="260"/>
      <c r="BM21" s="260"/>
      <c r="BN21" s="260"/>
      <c r="BO21" s="260"/>
      <c r="BP21" s="260"/>
      <c r="BQ21" s="260"/>
      <c r="BR21" s="260"/>
      <c r="BS21" s="260"/>
      <c r="BT21" s="260"/>
      <c r="BU21" s="260"/>
      <c r="BV21" s="260"/>
      <c r="BW21" s="260"/>
    </row>
    <row r="22" spans="1:75" ht="76.5">
      <c r="A22" s="268">
        <v>2</v>
      </c>
      <c r="B22" s="50">
        <f t="shared" si="18"/>
        <v>20</v>
      </c>
      <c r="C22" s="51" t="s">
        <v>2773</v>
      </c>
      <c r="D22" s="45" t="s">
        <v>3904</v>
      </c>
      <c r="E22" s="45" t="s">
        <v>4116</v>
      </c>
      <c r="F22" s="45" t="s">
        <v>4117</v>
      </c>
      <c r="G22" s="45" t="s">
        <v>4118</v>
      </c>
      <c r="H22" s="45" t="s">
        <v>4119</v>
      </c>
      <c r="I22" s="45" t="s">
        <v>4087</v>
      </c>
      <c r="J22" s="45" t="s">
        <v>3575</v>
      </c>
      <c r="K22" s="45"/>
      <c r="L22" s="45"/>
      <c r="M22" s="45" t="s">
        <v>2773</v>
      </c>
      <c r="N22" s="58">
        <f t="shared" si="13"/>
        <v>780000</v>
      </c>
      <c r="O22" s="58" t="e">
        <f t="shared" si="0"/>
        <v>#N/A</v>
      </c>
      <c r="P22" s="58" t="e">
        <f t="shared" si="14"/>
        <v>#N/A</v>
      </c>
      <c r="Q22" s="54" t="e">
        <f>INDEX([5]Timeline!$D$12:$D$24,MATCH(A22,[5]Timeline!$B$12:$B$24,0))</f>
        <v>#N/A</v>
      </c>
      <c r="R22" s="55">
        <v>44561</v>
      </c>
      <c r="S22" s="59">
        <f t="shared" si="15"/>
        <v>2.5</v>
      </c>
      <c r="T22" s="60">
        <f t="shared" si="16"/>
        <v>3</v>
      </c>
      <c r="U22" s="60">
        <f t="shared" si="20"/>
        <v>2</v>
      </c>
      <c r="V22" s="56">
        <v>780000</v>
      </c>
      <c r="W22" s="57" t="e">
        <f t="shared" si="17"/>
        <v>#N/A</v>
      </c>
      <c r="X22" s="120" t="e">
        <f t="shared" si="2"/>
        <v>#N/A</v>
      </c>
      <c r="Y22" s="260">
        <v>1</v>
      </c>
      <c r="Z22" s="260">
        <v>4</v>
      </c>
      <c r="AA22" s="260">
        <v>2</v>
      </c>
      <c r="AB22" s="260">
        <v>2</v>
      </c>
      <c r="AC22" s="260">
        <v>2</v>
      </c>
      <c r="AD22" s="261">
        <f t="shared" si="3"/>
        <v>2.5</v>
      </c>
      <c r="AE22" s="271">
        <v>3</v>
      </c>
      <c r="AF22" s="271">
        <v>3</v>
      </c>
      <c r="AG22" s="260">
        <v>2</v>
      </c>
      <c r="AH22" s="260">
        <v>2</v>
      </c>
      <c r="AI22" s="261">
        <f t="shared" si="4"/>
        <v>2.5</v>
      </c>
      <c r="AJ22" s="260"/>
      <c r="AK22" s="260"/>
      <c r="AL22" s="260"/>
      <c r="AM22" s="260"/>
      <c r="AN22" s="261">
        <f t="shared" si="5"/>
        <v>0</v>
      </c>
      <c r="AO22" s="260">
        <v>3</v>
      </c>
      <c r="AP22" s="260">
        <v>3</v>
      </c>
      <c r="AQ22" s="260">
        <v>2</v>
      </c>
      <c r="AR22" s="260">
        <v>2</v>
      </c>
      <c r="AS22" s="261">
        <f t="shared" si="23"/>
        <v>2.5</v>
      </c>
      <c r="AT22" s="271">
        <v>3</v>
      </c>
      <c r="AU22" s="271">
        <v>3</v>
      </c>
      <c r="AV22" s="271">
        <v>2</v>
      </c>
      <c r="AW22" s="271">
        <v>2</v>
      </c>
      <c r="AX22" s="261">
        <f t="shared" si="7"/>
        <v>2.5</v>
      </c>
      <c r="AY22" s="271">
        <v>3</v>
      </c>
      <c r="AZ22" s="271">
        <v>3</v>
      </c>
      <c r="BA22" s="271">
        <v>2</v>
      </c>
      <c r="BB22" s="271">
        <v>2</v>
      </c>
      <c r="BC22" s="261">
        <f t="shared" si="8"/>
        <v>2.5</v>
      </c>
      <c r="BD22" s="260"/>
      <c r="BE22" s="260"/>
      <c r="BF22" s="260"/>
      <c r="BG22" s="260"/>
      <c r="BH22" s="260"/>
      <c r="BI22" s="260"/>
      <c r="BJ22" s="260"/>
      <c r="BK22" s="260"/>
      <c r="BL22" s="260"/>
      <c r="BM22" s="260"/>
      <c r="BN22" s="260"/>
      <c r="BO22" s="260"/>
      <c r="BP22" s="260"/>
      <c r="BQ22" s="260"/>
      <c r="BR22" s="260"/>
      <c r="BS22" s="260"/>
      <c r="BT22" s="260"/>
      <c r="BU22" s="260"/>
      <c r="BV22" s="260"/>
      <c r="BW22" s="260"/>
    </row>
    <row r="23" spans="1:75" ht="76.5">
      <c r="A23" s="268">
        <v>2</v>
      </c>
      <c r="B23" s="50">
        <f t="shared" si="18"/>
        <v>21</v>
      </c>
      <c r="C23" s="51" t="s">
        <v>2773</v>
      </c>
      <c r="D23" s="274" t="s">
        <v>4120</v>
      </c>
      <c r="E23" s="45" t="s">
        <v>4121</v>
      </c>
      <c r="F23" s="45" t="s">
        <v>4122</v>
      </c>
      <c r="G23" s="45" t="s">
        <v>4123</v>
      </c>
      <c r="H23" s="45" t="s">
        <v>4124</v>
      </c>
      <c r="I23" s="45" t="s">
        <v>4087</v>
      </c>
      <c r="J23" s="45" t="s">
        <v>3575</v>
      </c>
      <c r="K23" s="45" t="s">
        <v>4125</v>
      </c>
      <c r="L23" s="45"/>
      <c r="M23" s="45" t="s">
        <v>2773</v>
      </c>
      <c r="N23" s="58">
        <f t="shared" si="13"/>
        <v>132000</v>
      </c>
      <c r="O23" s="58" t="e">
        <f t="shared" si="0"/>
        <v>#N/A</v>
      </c>
      <c r="P23" s="58" t="e">
        <f t="shared" si="14"/>
        <v>#N/A</v>
      </c>
      <c r="Q23" s="54" t="e">
        <f>INDEX([5]Timeline!$D$12:$D$24,MATCH(A23,[5]Timeline!$B$12:$B$24,0))</f>
        <v>#N/A</v>
      </c>
      <c r="R23" s="55">
        <v>44561</v>
      </c>
      <c r="S23" s="59">
        <f t="shared" si="15"/>
        <v>2.6</v>
      </c>
      <c r="T23" s="60">
        <f t="shared" si="16"/>
        <v>3.2</v>
      </c>
      <c r="U23" s="60">
        <f t="shared" si="20"/>
        <v>2</v>
      </c>
      <c r="V23" s="56">
        <v>132000</v>
      </c>
      <c r="W23" s="57" t="e">
        <f t="shared" si="17"/>
        <v>#N/A</v>
      </c>
      <c r="X23" s="275" t="e">
        <f t="shared" si="2"/>
        <v>#N/A</v>
      </c>
      <c r="Y23" s="260">
        <v>1</v>
      </c>
      <c r="Z23" s="260">
        <v>4</v>
      </c>
      <c r="AA23" s="260">
        <v>3</v>
      </c>
      <c r="AB23" s="260">
        <v>2</v>
      </c>
      <c r="AC23" s="260">
        <v>2</v>
      </c>
      <c r="AD23" s="261">
        <f t="shared" si="3"/>
        <v>2.75</v>
      </c>
      <c r="AE23" s="271">
        <v>2</v>
      </c>
      <c r="AF23" s="271">
        <v>2</v>
      </c>
      <c r="AG23" s="260">
        <v>2</v>
      </c>
      <c r="AH23" s="260">
        <v>2</v>
      </c>
      <c r="AI23" s="261">
        <f t="shared" si="4"/>
        <v>2</v>
      </c>
      <c r="AJ23" s="260"/>
      <c r="AK23" s="260"/>
      <c r="AL23" s="260"/>
      <c r="AM23" s="260"/>
      <c r="AN23" s="261">
        <f t="shared" si="5"/>
        <v>0</v>
      </c>
      <c r="AO23" s="260">
        <v>3</v>
      </c>
      <c r="AP23" s="260">
        <v>3</v>
      </c>
      <c r="AQ23" s="260">
        <v>2</v>
      </c>
      <c r="AR23" s="260">
        <v>2</v>
      </c>
      <c r="AS23" s="261">
        <f t="shared" si="23"/>
        <v>2.5</v>
      </c>
      <c r="AT23" s="271">
        <v>4</v>
      </c>
      <c r="AU23" s="271">
        <v>3</v>
      </c>
      <c r="AV23" s="271">
        <v>2</v>
      </c>
      <c r="AW23" s="271">
        <v>2</v>
      </c>
      <c r="AX23" s="261">
        <f t="shared" si="7"/>
        <v>2.75</v>
      </c>
      <c r="AY23" s="271">
        <v>4</v>
      </c>
      <c r="AZ23" s="271">
        <v>4</v>
      </c>
      <c r="BA23" s="271">
        <v>2</v>
      </c>
      <c r="BB23" s="271">
        <v>2</v>
      </c>
      <c r="BC23" s="261">
        <f t="shared" si="8"/>
        <v>3</v>
      </c>
      <c r="BD23" s="260"/>
      <c r="BE23" s="260"/>
      <c r="BF23" s="260"/>
      <c r="BG23" s="260"/>
      <c r="BH23" s="260"/>
      <c r="BI23" s="260"/>
      <c r="BJ23" s="260"/>
      <c r="BK23" s="260"/>
      <c r="BL23" s="260"/>
      <c r="BM23" s="260"/>
      <c r="BN23" s="260"/>
      <c r="BO23" s="260"/>
      <c r="BP23" s="260"/>
      <c r="BQ23" s="260"/>
      <c r="BR23" s="260"/>
      <c r="BS23" s="260"/>
      <c r="BT23" s="260"/>
      <c r="BU23" s="260"/>
      <c r="BV23" s="260"/>
      <c r="BW23" s="260"/>
    </row>
    <row r="24" spans="1:75" ht="91.5">
      <c r="A24" s="276">
        <v>3</v>
      </c>
      <c r="B24" s="50">
        <f t="shared" si="18"/>
        <v>22</v>
      </c>
      <c r="C24" s="51" t="s">
        <v>3619</v>
      </c>
      <c r="D24" s="45" t="s">
        <v>3619</v>
      </c>
      <c r="E24" s="45" t="s">
        <v>4126</v>
      </c>
      <c r="F24" s="45" t="s">
        <v>4127</v>
      </c>
      <c r="G24" s="74" t="s">
        <v>4128</v>
      </c>
      <c r="H24" s="74" t="s">
        <v>4129</v>
      </c>
      <c r="I24" s="52" t="s">
        <v>4130</v>
      </c>
      <c r="J24" s="45" t="s">
        <v>3575</v>
      </c>
      <c r="K24" s="45"/>
      <c r="L24" s="45"/>
      <c r="M24" s="45" t="s">
        <v>3619</v>
      </c>
      <c r="N24" s="58">
        <f t="shared" si="13"/>
        <v>51000</v>
      </c>
      <c r="O24" s="58" t="e">
        <f t="shared" si="0"/>
        <v>#N/A</v>
      </c>
      <c r="P24" s="58" t="e">
        <f t="shared" si="14"/>
        <v>#N/A</v>
      </c>
      <c r="Q24" s="54" t="e">
        <f>INDEX([5]Timeline!$D$12:$D$24,MATCH(A24,[5]Timeline!$B$12:$B$24,0))</f>
        <v>#N/A</v>
      </c>
      <c r="R24" s="55">
        <v>44561</v>
      </c>
      <c r="S24" s="59">
        <f t="shared" si="15"/>
        <v>2.708333333333333</v>
      </c>
      <c r="T24" s="59">
        <f t="shared" si="16"/>
        <v>3.4166666666666665</v>
      </c>
      <c r="U24" s="60">
        <f t="shared" si="20"/>
        <v>2</v>
      </c>
      <c r="V24" s="56">
        <f>1.7*30000</f>
        <v>51000</v>
      </c>
      <c r="W24" s="57" t="e">
        <f t="shared" si="17"/>
        <v>#N/A</v>
      </c>
      <c r="X24" s="56" t="e">
        <f t="shared" si="2"/>
        <v>#N/A</v>
      </c>
      <c r="Y24" s="45">
        <v>1</v>
      </c>
      <c r="Z24" s="45">
        <v>3</v>
      </c>
      <c r="AA24" s="45">
        <v>3</v>
      </c>
      <c r="AB24" s="45">
        <v>2</v>
      </c>
      <c r="AC24" s="45">
        <v>2</v>
      </c>
      <c r="AD24" s="46">
        <f t="shared" si="3"/>
        <v>2.5</v>
      </c>
      <c r="AE24" s="45">
        <v>4</v>
      </c>
      <c r="AF24" s="45">
        <v>4</v>
      </c>
      <c r="AG24" s="45">
        <v>2</v>
      </c>
      <c r="AH24" s="45">
        <v>2</v>
      </c>
      <c r="AI24" s="45"/>
      <c r="AJ24" s="45">
        <v>4</v>
      </c>
      <c r="AK24" s="45">
        <v>4</v>
      </c>
      <c r="AL24" s="45">
        <v>1</v>
      </c>
      <c r="AM24" s="45">
        <v>2</v>
      </c>
      <c r="AN24" s="46">
        <f>IFERROR(SUM(AJ24:AM24)/4,0)</f>
        <v>2.75</v>
      </c>
      <c r="AO24" s="45">
        <v>4</v>
      </c>
      <c r="AP24" s="45">
        <v>3</v>
      </c>
      <c r="AQ24" s="45">
        <v>1</v>
      </c>
      <c r="AR24" s="45">
        <v>2</v>
      </c>
      <c r="AS24" s="46">
        <f>IFERROR(SUM(AO24:AR24)/4,0)</f>
        <v>2.5</v>
      </c>
      <c r="AT24" s="45">
        <v>3</v>
      </c>
      <c r="AU24" s="45">
        <v>3</v>
      </c>
      <c r="AV24" s="45">
        <v>1</v>
      </c>
      <c r="AW24" s="45">
        <v>2</v>
      </c>
      <c r="AX24" s="46">
        <f>IFERROR(SUM(AT24:AW24)/4,0)</f>
        <v>2.25</v>
      </c>
      <c r="AY24" s="45">
        <v>3</v>
      </c>
      <c r="AZ24" s="45">
        <v>3</v>
      </c>
      <c r="BA24" s="45">
        <v>2</v>
      </c>
      <c r="BB24" s="45">
        <v>2</v>
      </c>
      <c r="BC24" s="45">
        <f t="shared" si="8"/>
        <v>2.5</v>
      </c>
      <c r="BD24" s="45"/>
      <c r="BE24" s="45"/>
      <c r="BF24" s="45"/>
      <c r="BG24" s="45"/>
      <c r="BH24" s="45"/>
      <c r="BI24" s="45"/>
      <c r="BJ24" s="45"/>
      <c r="BK24" s="45"/>
      <c r="BL24" s="45"/>
      <c r="BM24" s="45"/>
      <c r="BN24" s="45"/>
      <c r="BO24" s="45"/>
      <c r="BP24" s="45"/>
      <c r="BQ24" s="45"/>
      <c r="BR24" s="45"/>
      <c r="BS24" s="45"/>
      <c r="BT24" s="45"/>
      <c r="BU24" s="45"/>
      <c r="BV24" s="45"/>
      <c r="BW24" s="45"/>
    </row>
    <row r="25" spans="1:75" ht="106.5">
      <c r="A25" s="276">
        <v>3</v>
      </c>
      <c r="B25" s="50">
        <f t="shared" si="18"/>
        <v>23</v>
      </c>
      <c r="C25" s="51" t="s">
        <v>2817</v>
      </c>
      <c r="D25" s="45" t="s">
        <v>4131</v>
      </c>
      <c r="E25" s="45" t="s">
        <v>4132</v>
      </c>
      <c r="F25" s="45" t="s">
        <v>3347</v>
      </c>
      <c r="G25" s="277" t="s">
        <v>4133</v>
      </c>
      <c r="H25" s="45" t="s">
        <v>4134</v>
      </c>
      <c r="I25" s="52" t="s">
        <v>4130</v>
      </c>
      <c r="J25" s="45" t="s">
        <v>3575</v>
      </c>
      <c r="K25" s="45"/>
      <c r="L25" s="45"/>
      <c r="M25" s="45" t="s">
        <v>2817</v>
      </c>
      <c r="N25" s="58">
        <f t="shared" si="13"/>
        <v>74100</v>
      </c>
      <c r="O25" s="58" t="e">
        <f t="shared" si="0"/>
        <v>#N/A</v>
      </c>
      <c r="P25" s="58" t="e">
        <f t="shared" si="14"/>
        <v>#N/A</v>
      </c>
      <c r="Q25" s="54" t="e">
        <f>INDEX([5]Timeline!$D$12:$D$24,MATCH(A25,[5]Timeline!$B$12:$B$24,0))</f>
        <v>#N/A</v>
      </c>
      <c r="R25" s="55">
        <v>44561</v>
      </c>
      <c r="S25" s="59">
        <f t="shared" si="15"/>
        <v>2.125</v>
      </c>
      <c r="T25" s="59">
        <f t="shared" si="16"/>
        <v>2.25</v>
      </c>
      <c r="U25" s="60">
        <f t="shared" si="20"/>
        <v>2</v>
      </c>
      <c r="V25" s="56">
        <v>74100</v>
      </c>
      <c r="W25" s="57" t="e">
        <f t="shared" si="17"/>
        <v>#N/A</v>
      </c>
      <c r="X25" s="56" t="e">
        <f t="shared" si="2"/>
        <v>#N/A</v>
      </c>
      <c r="Y25" s="45">
        <v>1</v>
      </c>
      <c r="Z25" s="45">
        <v>3</v>
      </c>
      <c r="AA25" s="45">
        <v>3</v>
      </c>
      <c r="AB25" s="45">
        <v>1</v>
      </c>
      <c r="AC25" s="45">
        <v>2</v>
      </c>
      <c r="AD25" s="46">
        <f t="shared" si="3"/>
        <v>2.25</v>
      </c>
      <c r="AE25" s="45">
        <v>4</v>
      </c>
      <c r="AF25" s="45">
        <v>4</v>
      </c>
      <c r="AG25" s="45">
        <v>2</v>
      </c>
      <c r="AH25" s="45">
        <v>2</v>
      </c>
      <c r="AI25" s="45"/>
      <c r="AJ25" s="45">
        <v>1</v>
      </c>
      <c r="AK25" s="45">
        <v>1</v>
      </c>
      <c r="AL25" s="45">
        <v>1</v>
      </c>
      <c r="AM25" s="45">
        <v>2</v>
      </c>
      <c r="AN25" s="46">
        <f>IFERROR(SUM(AJ25:AM25)/4,0)</f>
        <v>1.25</v>
      </c>
      <c r="AO25" s="45">
        <v>2</v>
      </c>
      <c r="AP25" s="45">
        <v>1</v>
      </c>
      <c r="AQ25" s="45">
        <v>1</v>
      </c>
      <c r="AR25" s="45">
        <v>2</v>
      </c>
      <c r="AS25" s="46">
        <f>IFERROR(SUM(AO25:AR25)/4,0)</f>
        <v>1.5</v>
      </c>
      <c r="AT25" s="45">
        <v>1</v>
      </c>
      <c r="AU25" s="45">
        <v>1</v>
      </c>
      <c r="AV25" s="45">
        <v>1</v>
      </c>
      <c r="AW25" s="45">
        <v>2</v>
      </c>
      <c r="AX25" s="46">
        <f>IFERROR(SUM(AT25:AW25)/4,0)</f>
        <v>1.25</v>
      </c>
      <c r="AY25" s="45">
        <v>3</v>
      </c>
      <c r="AZ25" s="45">
        <v>3</v>
      </c>
      <c r="BA25" s="45">
        <v>1</v>
      </c>
      <c r="BB25" s="45">
        <v>2</v>
      </c>
      <c r="BC25" s="45">
        <f t="shared" si="8"/>
        <v>2.25</v>
      </c>
      <c r="BD25" s="45"/>
      <c r="BE25" s="45"/>
      <c r="BF25" s="45"/>
      <c r="BG25" s="45"/>
      <c r="BH25" s="45"/>
      <c r="BI25" s="45"/>
      <c r="BJ25" s="45"/>
      <c r="BK25" s="45"/>
      <c r="BL25" s="45"/>
      <c r="BM25" s="45"/>
      <c r="BN25" s="45"/>
      <c r="BO25" s="45"/>
      <c r="BP25" s="45"/>
      <c r="BQ25" s="45"/>
      <c r="BR25" s="45"/>
      <c r="BS25" s="45"/>
      <c r="BT25" s="45"/>
      <c r="BU25" s="45"/>
      <c r="BV25" s="45"/>
      <c r="BW25" s="45"/>
    </row>
    <row r="26" spans="1:75" ht="45.75">
      <c r="A26" s="263">
        <v>3</v>
      </c>
      <c r="B26" s="264">
        <f t="shared" si="18"/>
        <v>24</v>
      </c>
      <c r="C26" s="265" t="s">
        <v>2914</v>
      </c>
      <c r="D26" s="266" t="s">
        <v>3662</v>
      </c>
      <c r="E26" s="266" t="s">
        <v>4135</v>
      </c>
      <c r="F26" s="266" t="s">
        <v>4136</v>
      </c>
      <c r="G26" s="266"/>
      <c r="H26" s="266"/>
      <c r="I26" s="272"/>
      <c r="J26" s="266" t="s">
        <v>4054</v>
      </c>
      <c r="K26" s="266" t="s">
        <v>4137</v>
      </c>
      <c r="L26" s="45"/>
      <c r="M26" s="45" t="str">
        <f t="shared" ref="M26:M27" si="25">D26</f>
        <v>WH Sidoarjo</v>
      </c>
      <c r="N26" s="58">
        <f t="shared" si="13"/>
        <v>0</v>
      </c>
      <c r="O26" s="58" t="e">
        <f t="shared" si="0"/>
        <v>#N/A</v>
      </c>
      <c r="P26" s="58" t="e">
        <f t="shared" si="14"/>
        <v>#N/A</v>
      </c>
      <c r="Q26" s="54" t="e">
        <f>INDEX([5]Timeline!$D$12:$D$24,MATCH(A26,[5]Timeline!$B$12:$B$24,0))</f>
        <v>#N/A</v>
      </c>
      <c r="R26" s="55">
        <v>44561</v>
      </c>
      <c r="S26" s="59">
        <f t="shared" si="15"/>
        <v>0</v>
      </c>
      <c r="T26" s="59">
        <f t="shared" si="16"/>
        <v>0</v>
      </c>
      <c r="U26" s="60">
        <f t="shared" si="20"/>
        <v>0</v>
      </c>
      <c r="V26" s="56"/>
      <c r="W26" s="57" t="e">
        <f t="shared" si="17"/>
        <v>#N/A</v>
      </c>
      <c r="X26" s="56" t="e">
        <f t="shared" si="2"/>
        <v>#N/A</v>
      </c>
      <c r="Y26" s="45"/>
      <c r="Z26" s="45"/>
      <c r="AA26" s="45"/>
      <c r="AB26" s="45"/>
      <c r="AC26" s="45"/>
      <c r="AD26" s="46">
        <f t="shared" si="3"/>
        <v>0</v>
      </c>
      <c r="AE26" s="45"/>
      <c r="AF26" s="45"/>
      <c r="AG26" s="45"/>
      <c r="AH26" s="45"/>
      <c r="AI26" s="45"/>
      <c r="AJ26" s="45"/>
      <c r="AK26" s="45"/>
      <c r="AL26" s="45"/>
      <c r="AM26" s="45"/>
      <c r="AN26" s="45"/>
      <c r="AO26" s="45"/>
      <c r="AP26" s="45"/>
      <c r="AQ26" s="45"/>
      <c r="AR26" s="45"/>
      <c r="AS26" s="46">
        <f>IFERROR(SUM(AO26:AR26)/4,0)</f>
        <v>0</v>
      </c>
      <c r="AT26" s="45"/>
      <c r="AU26" s="45"/>
      <c r="AV26" s="45"/>
      <c r="AW26" s="45"/>
      <c r="AX26" s="45"/>
      <c r="AY26" s="45"/>
      <c r="AZ26" s="45"/>
      <c r="BA26" s="45"/>
      <c r="BB26" s="45"/>
      <c r="BC26" s="45">
        <f t="shared" si="8"/>
        <v>0</v>
      </c>
      <c r="BD26" s="45"/>
      <c r="BE26" s="45"/>
      <c r="BF26" s="45"/>
      <c r="BG26" s="45"/>
      <c r="BH26" s="45"/>
      <c r="BI26" s="45"/>
      <c r="BJ26" s="45"/>
      <c r="BK26" s="45"/>
      <c r="BL26" s="45"/>
      <c r="BM26" s="45"/>
      <c r="BN26" s="45"/>
      <c r="BO26" s="45"/>
      <c r="BP26" s="45"/>
      <c r="BQ26" s="45"/>
      <c r="BR26" s="45"/>
      <c r="BS26" s="45"/>
      <c r="BT26" s="45"/>
      <c r="BU26" s="45"/>
      <c r="BV26" s="45"/>
      <c r="BW26" s="45"/>
    </row>
    <row r="27" spans="1:75" ht="76.5">
      <c r="A27" s="276">
        <v>3</v>
      </c>
      <c r="B27" s="50">
        <f t="shared" si="18"/>
        <v>25</v>
      </c>
      <c r="C27" s="51" t="s">
        <v>2914</v>
      </c>
      <c r="D27" s="262" t="s">
        <v>3900</v>
      </c>
      <c r="E27" s="45" t="s">
        <v>4138</v>
      </c>
      <c r="F27" s="45" t="s">
        <v>4139</v>
      </c>
      <c r="G27" s="45" t="s">
        <v>4140</v>
      </c>
      <c r="H27" s="45" t="s">
        <v>4141</v>
      </c>
      <c r="I27" s="52" t="s">
        <v>4130</v>
      </c>
      <c r="J27" s="45" t="s">
        <v>4142</v>
      </c>
      <c r="K27" s="45" t="s">
        <v>4143</v>
      </c>
      <c r="L27" s="45"/>
      <c r="M27" s="45" t="str">
        <f t="shared" si="25"/>
        <v>WH Bandung</v>
      </c>
      <c r="N27" s="58">
        <f t="shared" si="13"/>
        <v>600000</v>
      </c>
      <c r="O27" s="58" t="e">
        <f t="shared" si="0"/>
        <v>#N/A</v>
      </c>
      <c r="P27" s="58" t="e">
        <f t="shared" si="14"/>
        <v>#N/A</v>
      </c>
      <c r="Q27" s="54" t="e">
        <f>INDEX([5]Timeline!$D$12:$D$24,MATCH(A27,[5]Timeline!$B$12:$B$24,0))</f>
        <v>#N/A</v>
      </c>
      <c r="R27" s="55">
        <v>44561</v>
      </c>
      <c r="S27" s="59">
        <f t="shared" si="15"/>
        <v>2.75</v>
      </c>
      <c r="T27" s="59">
        <f t="shared" si="16"/>
        <v>2.5</v>
      </c>
      <c r="U27" s="60">
        <f t="shared" si="20"/>
        <v>3</v>
      </c>
      <c r="V27" s="56">
        <v>600000</v>
      </c>
      <c r="W27" s="57" t="e">
        <f t="shared" si="17"/>
        <v>#N/A</v>
      </c>
      <c r="X27" s="56" t="e">
        <f t="shared" si="2"/>
        <v>#N/A</v>
      </c>
      <c r="Y27" s="45">
        <v>1</v>
      </c>
      <c r="Z27" s="45">
        <v>4</v>
      </c>
      <c r="AA27" s="45">
        <v>3</v>
      </c>
      <c r="AB27" s="45">
        <v>2</v>
      </c>
      <c r="AC27" s="45">
        <v>2</v>
      </c>
      <c r="AD27" s="46">
        <f t="shared" si="3"/>
        <v>2.75</v>
      </c>
      <c r="AE27" s="45">
        <v>2</v>
      </c>
      <c r="AF27" s="45">
        <v>2</v>
      </c>
      <c r="AG27" s="45">
        <v>2</v>
      </c>
      <c r="AH27" s="45">
        <v>4</v>
      </c>
      <c r="AI27" s="45"/>
      <c r="AJ27" s="45"/>
      <c r="AK27" s="45"/>
      <c r="AL27" s="45"/>
      <c r="AM27" s="45"/>
      <c r="AN27" s="45"/>
      <c r="AO27" s="45"/>
      <c r="AP27" s="45"/>
      <c r="AQ27" s="45"/>
      <c r="AR27" s="45"/>
      <c r="AS27" s="46"/>
      <c r="AT27" s="45"/>
      <c r="AU27" s="45"/>
      <c r="AV27" s="45"/>
      <c r="AW27" s="45"/>
      <c r="AX27" s="45"/>
      <c r="AY27" s="45">
        <v>2</v>
      </c>
      <c r="AZ27" s="45">
        <v>2</v>
      </c>
      <c r="BA27" s="45">
        <v>2</v>
      </c>
      <c r="BB27" s="45">
        <v>3</v>
      </c>
      <c r="BC27" s="45">
        <f t="shared" si="8"/>
        <v>2.25</v>
      </c>
      <c r="BD27" s="45"/>
      <c r="BE27" s="45"/>
      <c r="BF27" s="45"/>
      <c r="BG27" s="45"/>
      <c r="BH27" s="45"/>
      <c r="BI27" s="45"/>
      <c r="BJ27" s="45"/>
      <c r="BK27" s="45"/>
      <c r="BL27" s="45"/>
      <c r="BM27" s="45"/>
      <c r="BN27" s="45"/>
      <c r="BO27" s="45"/>
      <c r="BP27" s="45"/>
      <c r="BQ27" s="45"/>
      <c r="BR27" s="45"/>
      <c r="BS27" s="45"/>
      <c r="BT27" s="45"/>
      <c r="BU27" s="45"/>
      <c r="BV27" s="45"/>
      <c r="BW27" s="45"/>
    </row>
    <row r="28" spans="1:75" ht="76.5">
      <c r="A28" s="276">
        <v>3</v>
      </c>
      <c r="B28" s="50">
        <f t="shared" si="18"/>
        <v>26</v>
      </c>
      <c r="C28" s="51" t="s">
        <v>2854</v>
      </c>
      <c r="D28" s="45" t="s">
        <v>3785</v>
      </c>
      <c r="E28" s="45" t="s">
        <v>4144</v>
      </c>
      <c r="F28" s="45" t="s">
        <v>4145</v>
      </c>
      <c r="G28" s="45" t="s">
        <v>4146</v>
      </c>
      <c r="H28" s="45" t="s">
        <v>4147</v>
      </c>
      <c r="I28" s="52" t="s">
        <v>4130</v>
      </c>
      <c r="J28" s="45" t="s">
        <v>3575</v>
      </c>
      <c r="K28" s="45"/>
      <c r="L28" s="45"/>
      <c r="M28" s="45" t="s">
        <v>4071</v>
      </c>
      <c r="N28" s="58">
        <f>V28/3</f>
        <v>68666.666666666672</v>
      </c>
      <c r="O28" s="58" t="e">
        <f t="shared" si="0"/>
        <v>#N/A</v>
      </c>
      <c r="P28" s="58" t="e">
        <f t="shared" si="14"/>
        <v>#N/A</v>
      </c>
      <c r="Q28" s="54" t="e">
        <f>INDEX([5]Timeline!$D$12:$D$24,MATCH(A28,[5]Timeline!$B$12:$B$24,0))</f>
        <v>#N/A</v>
      </c>
      <c r="R28" s="55">
        <v>44561</v>
      </c>
      <c r="S28" s="59">
        <f t="shared" si="15"/>
        <v>2.125</v>
      </c>
      <c r="T28" s="59">
        <f t="shared" si="16"/>
        <v>3.0833333333333335</v>
      </c>
      <c r="U28" s="60">
        <f t="shared" si="20"/>
        <v>1.1666666666666667</v>
      </c>
      <c r="V28" s="56">
        <v>206000</v>
      </c>
      <c r="W28" s="57" t="e">
        <f t="shared" si="17"/>
        <v>#N/A</v>
      </c>
      <c r="X28" s="56" t="e">
        <f t="shared" si="2"/>
        <v>#N/A</v>
      </c>
      <c r="Y28" s="45">
        <v>1</v>
      </c>
      <c r="Z28" s="45">
        <v>3</v>
      </c>
      <c r="AA28" s="45">
        <v>3</v>
      </c>
      <c r="AB28" s="45">
        <v>2</v>
      </c>
      <c r="AC28" s="45">
        <v>2</v>
      </c>
      <c r="AD28" s="46">
        <f t="shared" si="3"/>
        <v>2.5</v>
      </c>
      <c r="AE28" s="45">
        <v>3</v>
      </c>
      <c r="AF28" s="45">
        <v>3</v>
      </c>
      <c r="AG28" s="45">
        <v>2</v>
      </c>
      <c r="AH28" s="45">
        <v>1</v>
      </c>
      <c r="AI28" s="45"/>
      <c r="AJ28" s="45">
        <v>2</v>
      </c>
      <c r="AK28" s="45">
        <v>2</v>
      </c>
      <c r="AL28" s="45">
        <v>2</v>
      </c>
      <c r="AM28" s="45">
        <v>1</v>
      </c>
      <c r="AN28" s="46">
        <f>IFERROR(SUM(AJ28:AM28)/4,0)</f>
        <v>1.75</v>
      </c>
      <c r="AO28" s="45">
        <v>4</v>
      </c>
      <c r="AP28" s="45">
        <v>3</v>
      </c>
      <c r="AQ28" s="45">
        <v>2</v>
      </c>
      <c r="AR28" s="45">
        <v>1</v>
      </c>
      <c r="AS28" s="46">
        <f>IFERROR(SUM(AO28:AR28)/4,0)</f>
        <v>2.5</v>
      </c>
      <c r="AT28" s="45">
        <v>3</v>
      </c>
      <c r="AU28" s="45">
        <v>4</v>
      </c>
      <c r="AV28" s="45">
        <v>2</v>
      </c>
      <c r="AW28" s="45">
        <v>1</v>
      </c>
      <c r="AX28" s="46">
        <f>IFERROR(SUM(AT28:AW28)/4,0)</f>
        <v>2.5</v>
      </c>
      <c r="AY28" s="45">
        <v>3</v>
      </c>
      <c r="AZ28" s="45">
        <v>4</v>
      </c>
      <c r="BA28" s="45">
        <v>3</v>
      </c>
      <c r="BB28" s="45">
        <v>1</v>
      </c>
      <c r="BC28" s="45">
        <f t="shared" si="8"/>
        <v>2.75</v>
      </c>
      <c r="BD28" s="45"/>
      <c r="BE28" s="45"/>
      <c r="BF28" s="45"/>
      <c r="BG28" s="45"/>
      <c r="BH28" s="45"/>
      <c r="BI28" s="45"/>
      <c r="BJ28" s="45"/>
      <c r="BK28" s="45"/>
      <c r="BL28" s="45"/>
      <c r="BM28" s="45"/>
      <c r="BN28" s="45"/>
      <c r="BO28" s="45"/>
      <c r="BP28" s="45"/>
      <c r="BQ28" s="45"/>
      <c r="BR28" s="45"/>
      <c r="BS28" s="45"/>
      <c r="BT28" s="45"/>
      <c r="BU28" s="45"/>
      <c r="BV28" s="45"/>
      <c r="BW28" s="45"/>
    </row>
    <row r="29" spans="1:75" ht="43.5" customHeight="1">
      <c r="A29" s="276">
        <v>3</v>
      </c>
      <c r="B29" s="50">
        <f t="shared" si="18"/>
        <v>27</v>
      </c>
      <c r="C29" s="51" t="s">
        <v>2773</v>
      </c>
      <c r="D29" s="45" t="s">
        <v>4148</v>
      </c>
      <c r="E29" s="45" t="s">
        <v>4149</v>
      </c>
      <c r="F29" s="45" t="s">
        <v>4150</v>
      </c>
      <c r="G29" s="45" t="s">
        <v>4151</v>
      </c>
      <c r="H29" s="45" t="s">
        <v>4152</v>
      </c>
      <c r="I29" s="52" t="s">
        <v>4130</v>
      </c>
      <c r="J29" s="45" t="s">
        <v>3575</v>
      </c>
      <c r="K29" s="45"/>
      <c r="L29" s="45"/>
      <c r="M29" s="45" t="s">
        <v>2773</v>
      </c>
      <c r="N29" s="58">
        <f t="shared" si="13"/>
        <v>1596000</v>
      </c>
      <c r="O29" s="58" t="e">
        <f t="shared" si="0"/>
        <v>#N/A</v>
      </c>
      <c r="P29" s="58" t="e">
        <f t="shared" si="14"/>
        <v>#N/A</v>
      </c>
      <c r="Q29" s="54" t="e">
        <f>INDEX([5]Timeline!$D$12:$D$24,MATCH(A29,[5]Timeline!$B$12:$B$24,0))</f>
        <v>#N/A</v>
      </c>
      <c r="R29" s="55">
        <v>44561</v>
      </c>
      <c r="S29" s="59">
        <f t="shared" si="15"/>
        <v>3</v>
      </c>
      <c r="T29" s="59">
        <f t="shared" si="16"/>
        <v>4</v>
      </c>
      <c r="U29" s="60">
        <f t="shared" si="20"/>
        <v>2</v>
      </c>
      <c r="V29" s="56">
        <v>1596000</v>
      </c>
      <c r="W29" s="57" t="e">
        <f t="shared" si="17"/>
        <v>#N/A</v>
      </c>
      <c r="X29" s="56" t="e">
        <f t="shared" si="2"/>
        <v>#N/A</v>
      </c>
      <c r="Y29" s="45">
        <v>1</v>
      </c>
      <c r="Z29" s="45">
        <v>4</v>
      </c>
      <c r="AA29" s="45">
        <v>4</v>
      </c>
      <c r="AB29" s="45">
        <v>2</v>
      </c>
      <c r="AC29" s="45">
        <v>2</v>
      </c>
      <c r="AD29" s="46">
        <f t="shared" si="3"/>
        <v>3</v>
      </c>
      <c r="AE29" s="45">
        <v>4</v>
      </c>
      <c r="AF29" s="45">
        <v>4</v>
      </c>
      <c r="AG29" s="45">
        <v>2</v>
      </c>
      <c r="AH29" s="45">
        <v>2</v>
      </c>
      <c r="AI29" s="45"/>
      <c r="AJ29" s="45">
        <v>4</v>
      </c>
      <c r="AK29" s="45">
        <v>4</v>
      </c>
      <c r="AL29" s="45">
        <v>1</v>
      </c>
      <c r="AM29" s="45">
        <v>2</v>
      </c>
      <c r="AN29" s="46">
        <f>IFERROR(SUM(AJ29:AM29)/4,0)</f>
        <v>2.75</v>
      </c>
      <c r="AO29" s="45">
        <v>4</v>
      </c>
      <c r="AP29" s="45">
        <v>4</v>
      </c>
      <c r="AQ29" s="45">
        <v>1</v>
      </c>
      <c r="AR29" s="45">
        <v>2</v>
      </c>
      <c r="AS29" s="46">
        <f>IFERROR(SUM(AO29:AR29)/4,0)</f>
        <v>2.75</v>
      </c>
      <c r="AT29" s="45">
        <v>4</v>
      </c>
      <c r="AU29" s="45">
        <v>4</v>
      </c>
      <c r="AV29" s="45">
        <v>1</v>
      </c>
      <c r="AW29" s="45">
        <v>2</v>
      </c>
      <c r="AX29" s="46">
        <f>IFERROR(SUM(AT29:AW29)/4,0)</f>
        <v>2.75</v>
      </c>
      <c r="AY29" s="45">
        <v>4</v>
      </c>
      <c r="AZ29" s="45">
        <v>4</v>
      </c>
      <c r="BA29" s="45">
        <v>1</v>
      </c>
      <c r="BB29" s="45">
        <v>2</v>
      </c>
      <c r="BC29" s="45">
        <f t="shared" si="8"/>
        <v>2.75</v>
      </c>
      <c r="BD29" s="45"/>
      <c r="BE29" s="45"/>
      <c r="BF29" s="45"/>
      <c r="BG29" s="45"/>
      <c r="BH29" s="45"/>
      <c r="BI29" s="45"/>
      <c r="BJ29" s="45"/>
      <c r="BK29" s="45"/>
      <c r="BL29" s="45"/>
      <c r="BM29" s="45"/>
      <c r="BN29" s="45"/>
      <c r="BO29" s="45"/>
      <c r="BP29" s="45"/>
      <c r="BQ29" s="45"/>
      <c r="BR29" s="45"/>
      <c r="BS29" s="45"/>
      <c r="BT29" s="45"/>
      <c r="BU29" s="45"/>
      <c r="BV29" s="45"/>
      <c r="BW29" s="45"/>
    </row>
    <row r="30" spans="1:75" ht="76.5">
      <c r="A30" s="276">
        <v>3</v>
      </c>
      <c r="B30" s="50">
        <f t="shared" si="18"/>
        <v>28</v>
      </c>
      <c r="C30" s="51" t="s">
        <v>2773</v>
      </c>
      <c r="D30" s="262" t="s">
        <v>3740</v>
      </c>
      <c r="E30" s="45" t="s">
        <v>4153</v>
      </c>
      <c r="F30" s="45" t="s">
        <v>4154</v>
      </c>
      <c r="G30" s="45" t="s">
        <v>4155</v>
      </c>
      <c r="H30" s="45" t="s">
        <v>4156</v>
      </c>
      <c r="I30" s="52" t="s">
        <v>4130</v>
      </c>
      <c r="J30" s="45" t="s">
        <v>4157</v>
      </c>
      <c r="K30" s="45"/>
      <c r="L30" s="45"/>
      <c r="M30" s="45" t="s">
        <v>2773</v>
      </c>
      <c r="N30" s="58">
        <f t="shared" si="13"/>
        <v>248985</v>
      </c>
      <c r="O30" s="58" t="e">
        <f t="shared" si="0"/>
        <v>#N/A</v>
      </c>
      <c r="P30" s="58" t="e">
        <f t="shared" si="14"/>
        <v>#N/A</v>
      </c>
      <c r="Q30" s="54" t="e">
        <f>INDEX([5]Timeline!$D$12:$D$24,MATCH(A30,[5]Timeline!$B$12:$B$24,0))</f>
        <v>#N/A</v>
      </c>
      <c r="R30" s="55">
        <v>44561</v>
      </c>
      <c r="S30" s="59">
        <f t="shared" si="15"/>
        <v>3.5</v>
      </c>
      <c r="T30" s="59">
        <f t="shared" si="16"/>
        <v>4</v>
      </c>
      <c r="U30" s="60">
        <f t="shared" si="20"/>
        <v>3</v>
      </c>
      <c r="V30" s="56">
        <v>248985</v>
      </c>
      <c r="W30" s="57" t="e">
        <f t="shared" si="17"/>
        <v>#N/A</v>
      </c>
      <c r="X30" s="56" t="e">
        <f t="shared" si="2"/>
        <v>#N/A</v>
      </c>
      <c r="Y30" s="45">
        <v>1</v>
      </c>
      <c r="Z30" s="45">
        <v>4</v>
      </c>
      <c r="AA30" s="45">
        <v>4</v>
      </c>
      <c r="AB30" s="45">
        <v>3</v>
      </c>
      <c r="AC30" s="45">
        <v>3</v>
      </c>
      <c r="AD30" s="46">
        <f t="shared" si="3"/>
        <v>3.5</v>
      </c>
      <c r="AE30" s="45">
        <v>4</v>
      </c>
      <c r="AF30" s="45">
        <v>4</v>
      </c>
      <c r="AG30" s="45">
        <v>4</v>
      </c>
      <c r="AH30" s="45">
        <v>4</v>
      </c>
      <c r="AI30" s="46">
        <f t="shared" ref="AI30:AI93" si="26">IFERROR(SUM(AE30:AH30)/4,0)</f>
        <v>4</v>
      </c>
      <c r="AJ30" s="45">
        <v>4</v>
      </c>
      <c r="AK30" s="45">
        <v>4</v>
      </c>
      <c r="AL30" s="45">
        <v>3</v>
      </c>
      <c r="AM30" s="45">
        <v>4</v>
      </c>
      <c r="AN30" s="46">
        <f t="shared" ref="AN30:AN93" si="27">IFERROR(SUM(AJ30:AM30)/4,0)</f>
        <v>3.75</v>
      </c>
      <c r="AO30" s="45">
        <v>4</v>
      </c>
      <c r="AP30" s="45">
        <v>4</v>
      </c>
      <c r="AQ30" s="45">
        <v>3</v>
      </c>
      <c r="AR30" s="45">
        <v>3</v>
      </c>
      <c r="AS30" s="46">
        <f>IFERROR(SUM(AO30:AR30)/4,0)</f>
        <v>3.5</v>
      </c>
      <c r="AT30" s="45">
        <v>4</v>
      </c>
      <c r="AU30" s="45">
        <v>4</v>
      </c>
      <c r="AV30" s="45">
        <v>4</v>
      </c>
      <c r="AW30" s="45">
        <v>2</v>
      </c>
      <c r="AX30" s="46">
        <f t="shared" ref="AX30:AX93" si="28">IFERROR(SUM(AT30:AW30)/4,0)</f>
        <v>3.5</v>
      </c>
      <c r="AY30" s="45">
        <v>4</v>
      </c>
      <c r="AZ30" s="45">
        <v>4</v>
      </c>
      <c r="BA30" s="45">
        <v>4</v>
      </c>
      <c r="BB30" s="45">
        <v>2</v>
      </c>
      <c r="BC30" s="46">
        <f t="shared" si="8"/>
        <v>3.5</v>
      </c>
      <c r="BD30" s="45"/>
      <c r="BE30" s="45"/>
      <c r="BF30" s="45"/>
      <c r="BG30" s="45"/>
      <c r="BH30" s="45"/>
      <c r="BI30" s="45"/>
      <c r="BJ30" s="45"/>
      <c r="BK30" s="45"/>
      <c r="BL30" s="45"/>
      <c r="BM30" s="45"/>
      <c r="BN30" s="45"/>
      <c r="BO30" s="45"/>
      <c r="BP30" s="45"/>
      <c r="BQ30" s="45"/>
      <c r="BR30" s="45"/>
      <c r="BS30" s="45"/>
      <c r="BT30" s="45"/>
      <c r="BU30" s="45"/>
      <c r="BV30" s="45"/>
      <c r="BW30" s="45"/>
    </row>
    <row r="31" spans="1:75" ht="91.5">
      <c r="A31" s="276">
        <v>4</v>
      </c>
      <c r="B31" s="50">
        <f t="shared" si="18"/>
        <v>29</v>
      </c>
      <c r="C31" s="51" t="s">
        <v>2914</v>
      </c>
      <c r="D31" s="45" t="s">
        <v>4061</v>
      </c>
      <c r="E31" s="45" t="s">
        <v>4158</v>
      </c>
      <c r="F31" s="278" t="s">
        <v>4159</v>
      </c>
      <c r="G31" s="45" t="s">
        <v>4160</v>
      </c>
      <c r="H31" s="45" t="s">
        <v>4161</v>
      </c>
      <c r="I31" s="52" t="s">
        <v>4162</v>
      </c>
      <c r="J31" s="45" t="s">
        <v>4163</v>
      </c>
      <c r="K31" s="45" t="s">
        <v>4164</v>
      </c>
      <c r="L31" s="45"/>
      <c r="M31" s="45" t="s">
        <v>4064</v>
      </c>
      <c r="N31" s="58">
        <f t="shared" si="13"/>
        <v>2719500</v>
      </c>
      <c r="O31" s="58" t="e">
        <f t="shared" si="0"/>
        <v>#N/A</v>
      </c>
      <c r="P31" s="58" t="e">
        <f t="shared" si="14"/>
        <v>#N/A</v>
      </c>
      <c r="Q31" s="54" t="e">
        <f>INDEX([5]Timeline!$D$12:$D$24,MATCH(A31,[5]Timeline!$B$12:$B$24,0))</f>
        <v>#N/A</v>
      </c>
      <c r="R31" s="55">
        <v>44561</v>
      </c>
      <c r="S31" s="59">
        <f t="shared" si="15"/>
        <v>2.75</v>
      </c>
      <c r="T31" s="59">
        <f t="shared" si="16"/>
        <v>4</v>
      </c>
      <c r="U31" s="60">
        <f t="shared" ref="U31:U57" si="29">IF(Y31&gt;0,AVERAGE(AB31:AC31,AG31:AH31,AL31:AM31,AQ31:AR31,AV31:AW31,BA31:BB31,BF31:BG31),0)</f>
        <v>1.5</v>
      </c>
      <c r="V31" s="120">
        <v>2719500</v>
      </c>
      <c r="W31" s="57" t="e">
        <f t="shared" si="17"/>
        <v>#N/A</v>
      </c>
      <c r="X31" s="56" t="e">
        <f t="shared" si="2"/>
        <v>#N/A</v>
      </c>
      <c r="Y31" s="45">
        <v>1</v>
      </c>
      <c r="Z31" s="45"/>
      <c r="AA31" s="45"/>
      <c r="AB31" s="45"/>
      <c r="AC31" s="45"/>
      <c r="AD31" s="46">
        <f t="shared" si="3"/>
        <v>0</v>
      </c>
      <c r="AE31" s="45">
        <v>4</v>
      </c>
      <c r="AF31" s="45">
        <v>4</v>
      </c>
      <c r="AG31" s="45">
        <v>2</v>
      </c>
      <c r="AH31" s="45">
        <v>1</v>
      </c>
      <c r="AI31" s="46">
        <f t="shared" si="26"/>
        <v>2.75</v>
      </c>
      <c r="AJ31" s="45"/>
      <c r="AK31" s="45"/>
      <c r="AL31" s="45"/>
      <c r="AM31" s="45"/>
      <c r="AN31" s="46">
        <f t="shared" si="27"/>
        <v>0</v>
      </c>
      <c r="AO31" s="45"/>
      <c r="AP31" s="45"/>
      <c r="AQ31" s="45"/>
      <c r="AR31" s="45"/>
      <c r="AS31" s="45"/>
      <c r="AT31" s="45"/>
      <c r="AU31" s="45"/>
      <c r="AV31" s="45"/>
      <c r="AW31" s="45"/>
      <c r="AX31" s="46">
        <f t="shared" si="28"/>
        <v>0</v>
      </c>
      <c r="AY31" s="45"/>
      <c r="AZ31" s="45"/>
      <c r="BA31" s="45"/>
      <c r="BB31" s="45"/>
      <c r="BC31" s="46">
        <f t="shared" si="8"/>
        <v>0</v>
      </c>
      <c r="BD31" s="45"/>
      <c r="BE31" s="45"/>
      <c r="BF31" s="45"/>
      <c r="BG31" s="45"/>
      <c r="BH31" s="45"/>
      <c r="BI31" s="45"/>
      <c r="BJ31" s="45"/>
      <c r="BK31" s="45"/>
      <c r="BL31" s="45"/>
      <c r="BM31" s="45"/>
      <c r="BN31" s="45"/>
      <c r="BO31" s="45"/>
      <c r="BP31" s="45"/>
      <c r="BQ31" s="45"/>
      <c r="BR31" s="45"/>
      <c r="BS31" s="45"/>
      <c r="BT31" s="45"/>
      <c r="BU31" s="45"/>
      <c r="BV31" s="45"/>
      <c r="BW31" s="45"/>
    </row>
    <row r="32" spans="1:75" ht="76.5">
      <c r="A32" s="276">
        <v>4</v>
      </c>
      <c r="B32" s="50">
        <f t="shared" si="18"/>
        <v>30</v>
      </c>
      <c r="C32" s="51" t="s">
        <v>2914</v>
      </c>
      <c r="D32" s="45" t="s">
        <v>3432</v>
      </c>
      <c r="E32" s="45" t="s">
        <v>4165</v>
      </c>
      <c r="F32" s="45" t="s">
        <v>4166</v>
      </c>
      <c r="G32" s="45" t="s">
        <v>4167</v>
      </c>
      <c r="H32" s="45" t="s">
        <v>4168</v>
      </c>
      <c r="I32" s="52" t="s">
        <v>4162</v>
      </c>
      <c r="J32" s="45" t="s">
        <v>3575</v>
      </c>
      <c r="K32" s="45" t="s">
        <v>4169</v>
      </c>
      <c r="L32" s="45"/>
      <c r="M32" s="45" t="str">
        <f t="shared" ref="M32:M33" si="30">D32</f>
        <v>DPIM</v>
      </c>
      <c r="N32" s="58">
        <f t="shared" si="13"/>
        <v>1800000</v>
      </c>
      <c r="O32" s="58" t="e">
        <f t="shared" si="0"/>
        <v>#N/A</v>
      </c>
      <c r="P32" s="58" t="e">
        <f t="shared" si="14"/>
        <v>#N/A</v>
      </c>
      <c r="Q32" s="54" t="e">
        <f>INDEX([5]Timeline!$D$12:$D$24,MATCH(A32,[5]Timeline!$B$12:$B$24,0))</f>
        <v>#N/A</v>
      </c>
      <c r="R32" s="55">
        <v>44561</v>
      </c>
      <c r="S32" s="59">
        <f t="shared" si="15"/>
        <v>2.75</v>
      </c>
      <c r="T32" s="59">
        <f t="shared" si="16"/>
        <v>4</v>
      </c>
      <c r="U32" s="60">
        <f t="shared" si="29"/>
        <v>1.5</v>
      </c>
      <c r="V32" s="56">
        <v>1800000</v>
      </c>
      <c r="W32" s="57" t="e">
        <f t="shared" si="17"/>
        <v>#N/A</v>
      </c>
      <c r="X32" s="56" t="e">
        <f t="shared" si="2"/>
        <v>#N/A</v>
      </c>
      <c r="Y32" s="45">
        <v>1</v>
      </c>
      <c r="Z32" s="45">
        <v>4</v>
      </c>
      <c r="AA32" s="45">
        <v>4</v>
      </c>
      <c r="AB32" s="45">
        <v>1</v>
      </c>
      <c r="AC32" s="45">
        <v>2</v>
      </c>
      <c r="AD32" s="46">
        <f t="shared" si="3"/>
        <v>2.75</v>
      </c>
      <c r="AE32" s="45">
        <v>4</v>
      </c>
      <c r="AF32" s="45">
        <v>4</v>
      </c>
      <c r="AG32" s="45">
        <v>1</v>
      </c>
      <c r="AH32" s="45">
        <v>2</v>
      </c>
      <c r="AI32" s="46">
        <f t="shared" si="26"/>
        <v>2.75</v>
      </c>
      <c r="AJ32" s="45">
        <v>4</v>
      </c>
      <c r="AK32" s="45">
        <v>4</v>
      </c>
      <c r="AL32" s="45">
        <v>1</v>
      </c>
      <c r="AM32" s="45">
        <v>2</v>
      </c>
      <c r="AN32" s="46">
        <f t="shared" si="27"/>
        <v>2.75</v>
      </c>
      <c r="AO32" s="45">
        <v>4</v>
      </c>
      <c r="AP32" s="45">
        <v>4</v>
      </c>
      <c r="AQ32" s="45">
        <v>1</v>
      </c>
      <c r="AR32" s="45">
        <v>2</v>
      </c>
      <c r="AS32" s="45">
        <f t="shared" ref="AS32:AS37" si="31">IFERROR(SUM(AO32:AR32)/4,"")</f>
        <v>2.75</v>
      </c>
      <c r="AT32" s="45">
        <v>4</v>
      </c>
      <c r="AU32" s="45">
        <v>4</v>
      </c>
      <c r="AV32" s="45">
        <v>1</v>
      </c>
      <c r="AW32" s="45">
        <v>2</v>
      </c>
      <c r="AX32" s="46">
        <f t="shared" si="28"/>
        <v>2.75</v>
      </c>
      <c r="AY32" s="45">
        <v>4</v>
      </c>
      <c r="AZ32" s="45">
        <v>4</v>
      </c>
      <c r="BA32" s="45">
        <v>1</v>
      </c>
      <c r="BB32" s="45">
        <v>2</v>
      </c>
      <c r="BC32" s="46">
        <f t="shared" si="8"/>
        <v>2.75</v>
      </c>
      <c r="BD32" s="45"/>
      <c r="BE32" s="45"/>
      <c r="BF32" s="45"/>
      <c r="BG32" s="45"/>
      <c r="BH32" s="45"/>
      <c r="BI32" s="45"/>
      <c r="BJ32" s="45"/>
      <c r="BK32" s="45"/>
      <c r="BL32" s="45"/>
      <c r="BM32" s="45"/>
      <c r="BN32" s="45"/>
      <c r="BO32" s="45"/>
      <c r="BP32" s="45"/>
      <c r="BQ32" s="45"/>
      <c r="BR32" s="45"/>
      <c r="BS32" s="45"/>
      <c r="BT32" s="45"/>
      <c r="BU32" s="45"/>
      <c r="BV32" s="45"/>
      <c r="BW32" s="45"/>
    </row>
    <row r="33" spans="1:75" ht="76.5">
      <c r="A33" s="276">
        <v>4</v>
      </c>
      <c r="B33" s="50">
        <f t="shared" si="18"/>
        <v>31</v>
      </c>
      <c r="C33" s="51" t="s">
        <v>2914</v>
      </c>
      <c r="D33" s="45" t="s">
        <v>4170</v>
      </c>
      <c r="E33" s="45" t="s">
        <v>4171</v>
      </c>
      <c r="F33" s="45" t="s">
        <v>4172</v>
      </c>
      <c r="G33" s="45" t="s">
        <v>4173</v>
      </c>
      <c r="H33" s="45" t="s">
        <v>4174</v>
      </c>
      <c r="I33" s="52" t="s">
        <v>4162</v>
      </c>
      <c r="J33" s="45" t="s">
        <v>3575</v>
      </c>
      <c r="K33" s="45" t="s">
        <v>4175</v>
      </c>
      <c r="L33" s="45"/>
      <c r="M33" s="45" t="str">
        <f t="shared" si="30"/>
        <v>WH Karanganyar</v>
      </c>
      <c r="N33" s="58">
        <f t="shared" si="13"/>
        <v>4600000</v>
      </c>
      <c r="O33" s="58" t="e">
        <f t="shared" si="0"/>
        <v>#N/A</v>
      </c>
      <c r="P33" s="58" t="e">
        <f t="shared" si="14"/>
        <v>#N/A</v>
      </c>
      <c r="Q33" s="54" t="e">
        <f>INDEX([5]Timeline!$D$12:$D$24,MATCH(A33,[5]Timeline!$B$12:$B$24,0))</f>
        <v>#N/A</v>
      </c>
      <c r="R33" s="55">
        <v>44561</v>
      </c>
      <c r="S33" s="59">
        <f t="shared" si="15"/>
        <v>2.333333333333333</v>
      </c>
      <c r="T33" s="59">
        <f t="shared" si="16"/>
        <v>2.9166666666666665</v>
      </c>
      <c r="U33" s="60">
        <f t="shared" si="29"/>
        <v>1.75</v>
      </c>
      <c r="V33" s="120">
        <v>4600000</v>
      </c>
      <c r="W33" s="57" t="e">
        <f t="shared" si="17"/>
        <v>#N/A</v>
      </c>
      <c r="X33" s="56" t="e">
        <f t="shared" si="2"/>
        <v>#N/A</v>
      </c>
      <c r="Y33" s="45">
        <v>1</v>
      </c>
      <c r="Z33" s="45">
        <v>3</v>
      </c>
      <c r="AA33" s="45">
        <v>3</v>
      </c>
      <c r="AB33" s="45">
        <v>1</v>
      </c>
      <c r="AC33" s="45">
        <v>2</v>
      </c>
      <c r="AD33" s="46">
        <f t="shared" si="3"/>
        <v>2.25</v>
      </c>
      <c r="AE33" s="45">
        <v>4</v>
      </c>
      <c r="AF33" s="45">
        <v>3</v>
      </c>
      <c r="AG33" s="45">
        <v>2</v>
      </c>
      <c r="AH33" s="45">
        <v>4</v>
      </c>
      <c r="AI33" s="46">
        <f t="shared" si="26"/>
        <v>3.25</v>
      </c>
      <c r="AJ33" s="45">
        <v>3</v>
      </c>
      <c r="AK33" s="45">
        <v>3</v>
      </c>
      <c r="AL33" s="45">
        <v>1</v>
      </c>
      <c r="AM33" s="45">
        <v>2</v>
      </c>
      <c r="AN33" s="46">
        <f t="shared" si="27"/>
        <v>2.25</v>
      </c>
      <c r="AO33" s="45">
        <v>3</v>
      </c>
      <c r="AP33" s="45">
        <v>2</v>
      </c>
      <c r="AQ33" s="45">
        <v>1</v>
      </c>
      <c r="AR33" s="45">
        <v>2</v>
      </c>
      <c r="AS33" s="45">
        <f t="shared" si="31"/>
        <v>2</v>
      </c>
      <c r="AT33" s="45">
        <v>3</v>
      </c>
      <c r="AU33" s="45">
        <v>3</v>
      </c>
      <c r="AV33" s="45">
        <v>1</v>
      </c>
      <c r="AW33" s="45">
        <v>2</v>
      </c>
      <c r="AX33" s="46">
        <f t="shared" si="28"/>
        <v>2.25</v>
      </c>
      <c r="AY33" s="45">
        <v>3</v>
      </c>
      <c r="AZ33" s="45">
        <v>2</v>
      </c>
      <c r="BA33" s="45">
        <v>1</v>
      </c>
      <c r="BB33" s="45">
        <v>2</v>
      </c>
      <c r="BC33" s="46">
        <f t="shared" si="8"/>
        <v>2</v>
      </c>
      <c r="BD33" s="45"/>
      <c r="BE33" s="45"/>
      <c r="BF33" s="45"/>
      <c r="BG33" s="45"/>
      <c r="BH33" s="45"/>
      <c r="BI33" s="45"/>
      <c r="BJ33" s="45"/>
      <c r="BK33" s="45"/>
      <c r="BL33" s="45"/>
      <c r="BM33" s="45"/>
      <c r="BN33" s="45"/>
      <c r="BO33" s="45"/>
      <c r="BP33" s="45"/>
      <c r="BQ33" s="45"/>
      <c r="BR33" s="45"/>
      <c r="BS33" s="45"/>
      <c r="BT33" s="45"/>
      <c r="BU33" s="45"/>
      <c r="BV33" s="45"/>
      <c r="BW33" s="45"/>
    </row>
    <row r="34" spans="1:75" ht="76.5">
      <c r="A34" s="276">
        <v>4</v>
      </c>
      <c r="B34" s="50">
        <f t="shared" si="18"/>
        <v>32</v>
      </c>
      <c r="C34" s="51" t="s">
        <v>2854</v>
      </c>
      <c r="D34" s="45" t="s">
        <v>3785</v>
      </c>
      <c r="E34" s="45" t="s">
        <v>4176</v>
      </c>
      <c r="F34" s="45" t="s">
        <v>4177</v>
      </c>
      <c r="G34" s="45" t="s">
        <v>4178</v>
      </c>
      <c r="H34" s="45" t="s">
        <v>4179</v>
      </c>
      <c r="I34" s="52" t="s">
        <v>4162</v>
      </c>
      <c r="J34" s="45" t="s">
        <v>3575</v>
      </c>
      <c r="K34" s="45" t="s">
        <v>4180</v>
      </c>
      <c r="L34" s="45"/>
      <c r="M34" s="45" t="s">
        <v>4071</v>
      </c>
      <c r="N34" s="58">
        <f>V34/3</f>
        <v>257625</v>
      </c>
      <c r="O34" s="58" t="e">
        <f t="shared" si="0"/>
        <v>#N/A</v>
      </c>
      <c r="P34" s="58" t="e">
        <f t="shared" si="14"/>
        <v>#N/A</v>
      </c>
      <c r="Q34" s="54" t="e">
        <f>INDEX([5]Timeline!$D$12:$D$24,MATCH(A34,[5]Timeline!$B$12:$B$24,0))</f>
        <v>#N/A</v>
      </c>
      <c r="R34" s="55">
        <v>44561</v>
      </c>
      <c r="S34" s="59">
        <f t="shared" si="15"/>
        <v>2.125</v>
      </c>
      <c r="T34" s="59">
        <f t="shared" si="16"/>
        <v>2.25</v>
      </c>
      <c r="U34" s="60">
        <f t="shared" si="29"/>
        <v>2</v>
      </c>
      <c r="V34" s="56">
        <f>9274500/12</f>
        <v>772875</v>
      </c>
      <c r="W34" s="57" t="e">
        <f t="shared" si="17"/>
        <v>#N/A</v>
      </c>
      <c r="X34" s="56" t="e">
        <f t="shared" si="2"/>
        <v>#N/A</v>
      </c>
      <c r="Y34" s="45">
        <v>1</v>
      </c>
      <c r="Z34" s="45">
        <v>3</v>
      </c>
      <c r="AA34" s="45">
        <v>3</v>
      </c>
      <c r="AB34" s="45">
        <v>2</v>
      </c>
      <c r="AC34" s="45">
        <v>2</v>
      </c>
      <c r="AD34" s="46">
        <f t="shared" si="3"/>
        <v>2.5</v>
      </c>
      <c r="AE34" s="45">
        <v>2</v>
      </c>
      <c r="AF34" s="45">
        <v>2</v>
      </c>
      <c r="AG34" s="45">
        <v>2</v>
      </c>
      <c r="AH34" s="45">
        <v>2</v>
      </c>
      <c r="AI34" s="46">
        <f t="shared" si="26"/>
        <v>2</v>
      </c>
      <c r="AJ34" s="45">
        <v>2</v>
      </c>
      <c r="AK34" s="45">
        <v>2</v>
      </c>
      <c r="AL34" s="45">
        <v>2</v>
      </c>
      <c r="AM34" s="45">
        <v>2</v>
      </c>
      <c r="AN34" s="46">
        <f t="shared" si="27"/>
        <v>2</v>
      </c>
      <c r="AO34" s="45">
        <v>2</v>
      </c>
      <c r="AP34" s="45">
        <v>2</v>
      </c>
      <c r="AQ34" s="45">
        <v>2</v>
      </c>
      <c r="AR34" s="45">
        <v>2</v>
      </c>
      <c r="AS34" s="45">
        <f t="shared" si="31"/>
        <v>2</v>
      </c>
      <c r="AT34" s="45">
        <v>2</v>
      </c>
      <c r="AU34" s="45">
        <v>3</v>
      </c>
      <c r="AV34" s="45">
        <v>2</v>
      </c>
      <c r="AW34" s="45">
        <v>2</v>
      </c>
      <c r="AX34" s="46">
        <f t="shared" si="28"/>
        <v>2.25</v>
      </c>
      <c r="AY34" s="45">
        <v>2</v>
      </c>
      <c r="AZ34" s="45">
        <v>2</v>
      </c>
      <c r="BA34" s="45">
        <v>2</v>
      </c>
      <c r="BB34" s="45">
        <v>2</v>
      </c>
      <c r="BC34" s="46">
        <f t="shared" si="8"/>
        <v>2</v>
      </c>
      <c r="BD34" s="45"/>
      <c r="BE34" s="45"/>
      <c r="BF34" s="45"/>
      <c r="BG34" s="45"/>
      <c r="BH34" s="45"/>
      <c r="BI34" s="45"/>
      <c r="BJ34" s="45"/>
      <c r="BK34" s="45"/>
      <c r="BL34" s="45"/>
      <c r="BM34" s="45"/>
      <c r="BN34" s="45"/>
      <c r="BO34" s="45"/>
      <c r="BP34" s="45"/>
      <c r="BQ34" s="45"/>
      <c r="BR34" s="45"/>
      <c r="BS34" s="45"/>
      <c r="BT34" s="45"/>
      <c r="BU34" s="45"/>
      <c r="BV34" s="45"/>
      <c r="BW34" s="45"/>
    </row>
    <row r="35" spans="1:75" ht="76.5">
      <c r="A35" s="276">
        <v>4</v>
      </c>
      <c r="B35" s="50">
        <f t="shared" si="18"/>
        <v>33</v>
      </c>
      <c r="C35" s="51" t="s">
        <v>2854</v>
      </c>
      <c r="D35" s="45" t="s">
        <v>3697</v>
      </c>
      <c r="E35" s="45" t="s">
        <v>4181</v>
      </c>
      <c r="F35" s="278" t="s">
        <v>4182</v>
      </c>
      <c r="G35" s="45" t="s">
        <v>4183</v>
      </c>
      <c r="H35" s="45" t="s">
        <v>4184</v>
      </c>
      <c r="I35" s="52" t="s">
        <v>4162</v>
      </c>
      <c r="J35" s="45" t="s">
        <v>3575</v>
      </c>
      <c r="K35" s="45" t="s">
        <v>4185</v>
      </c>
      <c r="L35" s="45"/>
      <c r="M35" s="45" t="s">
        <v>4186</v>
      </c>
      <c r="N35" s="58">
        <f t="shared" si="13"/>
        <v>11970540</v>
      </c>
      <c r="O35" s="58" t="e">
        <f t="shared" si="0"/>
        <v>#N/A</v>
      </c>
      <c r="P35" s="58" t="e">
        <f t="shared" si="14"/>
        <v>#N/A</v>
      </c>
      <c r="Q35" s="54" t="e">
        <f>INDEX([5]Timeline!$D$12:$D$24,MATCH(A35,[5]Timeline!$B$12:$B$24,0))</f>
        <v>#N/A</v>
      </c>
      <c r="R35" s="55">
        <v>44561</v>
      </c>
      <c r="S35" s="59">
        <f t="shared" si="15"/>
        <v>2.7083333333333335</v>
      </c>
      <c r="T35" s="59">
        <f t="shared" si="16"/>
        <v>3.5833333333333335</v>
      </c>
      <c r="U35" s="60">
        <f t="shared" si="29"/>
        <v>1.8333333333333333</v>
      </c>
      <c r="V35" s="120">
        <v>11970540</v>
      </c>
      <c r="W35" s="57" t="e">
        <f t="shared" si="17"/>
        <v>#N/A</v>
      </c>
      <c r="X35" s="56" t="e">
        <f t="shared" si="2"/>
        <v>#N/A</v>
      </c>
      <c r="Y35" s="45">
        <v>1</v>
      </c>
      <c r="Z35" s="45">
        <v>4</v>
      </c>
      <c r="AA35" s="45">
        <v>3</v>
      </c>
      <c r="AB35" s="45">
        <v>2</v>
      </c>
      <c r="AC35" s="45">
        <v>2</v>
      </c>
      <c r="AD35" s="46">
        <f t="shared" si="3"/>
        <v>2.75</v>
      </c>
      <c r="AE35" s="45">
        <v>4</v>
      </c>
      <c r="AF35" s="45">
        <v>4</v>
      </c>
      <c r="AG35" s="45">
        <v>2</v>
      </c>
      <c r="AH35" s="45">
        <v>2</v>
      </c>
      <c r="AI35" s="46">
        <f t="shared" si="26"/>
        <v>3</v>
      </c>
      <c r="AJ35" s="45">
        <v>3</v>
      </c>
      <c r="AK35" s="45">
        <v>4</v>
      </c>
      <c r="AL35" s="45">
        <v>1</v>
      </c>
      <c r="AM35" s="45">
        <v>2</v>
      </c>
      <c r="AN35" s="46">
        <f t="shared" si="27"/>
        <v>2.5</v>
      </c>
      <c r="AO35" s="45">
        <v>4</v>
      </c>
      <c r="AP35" s="45">
        <v>3</v>
      </c>
      <c r="AQ35" s="45">
        <v>1</v>
      </c>
      <c r="AR35" s="45">
        <v>2</v>
      </c>
      <c r="AS35" s="45">
        <f t="shared" si="31"/>
        <v>2.5</v>
      </c>
      <c r="AT35" s="45">
        <v>4</v>
      </c>
      <c r="AU35" s="45">
        <v>3</v>
      </c>
      <c r="AV35" s="45">
        <v>2</v>
      </c>
      <c r="AW35" s="45">
        <v>2</v>
      </c>
      <c r="AX35" s="46">
        <f t="shared" si="28"/>
        <v>2.75</v>
      </c>
      <c r="AY35" s="45">
        <v>4</v>
      </c>
      <c r="AZ35" s="45">
        <v>3</v>
      </c>
      <c r="BA35" s="45">
        <v>2</v>
      </c>
      <c r="BB35" s="45">
        <v>2</v>
      </c>
      <c r="BC35" s="46">
        <f t="shared" si="8"/>
        <v>2.75</v>
      </c>
      <c r="BD35" s="45"/>
      <c r="BE35" s="45"/>
      <c r="BF35" s="45"/>
      <c r="BG35" s="45"/>
      <c r="BH35" s="45"/>
      <c r="BI35" s="45"/>
      <c r="BJ35" s="45"/>
      <c r="BK35" s="45"/>
      <c r="BL35" s="45"/>
      <c r="BM35" s="45"/>
      <c r="BN35" s="45"/>
      <c r="BO35" s="45"/>
      <c r="BP35" s="45"/>
      <c r="BQ35" s="45"/>
      <c r="BR35" s="45"/>
      <c r="BS35" s="45"/>
      <c r="BT35" s="45"/>
      <c r="BU35" s="45"/>
      <c r="BV35" s="45"/>
      <c r="BW35" s="45"/>
    </row>
    <row r="36" spans="1:75" ht="76.5">
      <c r="A36" s="276">
        <v>4</v>
      </c>
      <c r="B36" s="50">
        <f t="shared" si="18"/>
        <v>34</v>
      </c>
      <c r="C36" s="51" t="s">
        <v>2773</v>
      </c>
      <c r="D36" s="45" t="s">
        <v>3737</v>
      </c>
      <c r="E36" s="45" t="s">
        <v>4187</v>
      </c>
      <c r="F36" s="45" t="s">
        <v>4188</v>
      </c>
      <c r="G36" s="45" t="s">
        <v>4189</v>
      </c>
      <c r="H36" s="45" t="s">
        <v>4190</v>
      </c>
      <c r="I36" s="52" t="s">
        <v>4162</v>
      </c>
      <c r="J36" s="45" t="s">
        <v>3575</v>
      </c>
      <c r="K36" s="45" t="s">
        <v>4164</v>
      </c>
      <c r="L36" s="45"/>
      <c r="M36" s="45" t="s">
        <v>2773</v>
      </c>
      <c r="N36" s="58">
        <f t="shared" si="13"/>
        <v>450000</v>
      </c>
      <c r="O36" s="58" t="e">
        <f t="shared" si="0"/>
        <v>#N/A</v>
      </c>
      <c r="P36" s="58" t="e">
        <f t="shared" si="14"/>
        <v>#N/A</v>
      </c>
      <c r="Q36" s="54" t="e">
        <f>INDEX([5]Timeline!$D$12:$D$24,MATCH(A36,[5]Timeline!$B$12:$B$24,0))</f>
        <v>#N/A</v>
      </c>
      <c r="R36" s="55">
        <v>44561</v>
      </c>
      <c r="S36" s="59">
        <f t="shared" si="15"/>
        <v>2.4166666666666665</v>
      </c>
      <c r="T36" s="59">
        <f t="shared" si="16"/>
        <v>3.1666666666666665</v>
      </c>
      <c r="U36" s="60">
        <f t="shared" si="29"/>
        <v>1.6666666666666667</v>
      </c>
      <c r="V36" s="57">
        <v>450000</v>
      </c>
      <c r="W36" s="57" t="e">
        <f t="shared" si="17"/>
        <v>#N/A</v>
      </c>
      <c r="X36" s="56" t="e">
        <f t="shared" si="2"/>
        <v>#N/A</v>
      </c>
      <c r="Y36" s="45">
        <v>1</v>
      </c>
      <c r="Z36" s="45">
        <v>4</v>
      </c>
      <c r="AA36" s="45">
        <v>4</v>
      </c>
      <c r="AB36" s="45">
        <v>1</v>
      </c>
      <c r="AC36" s="45">
        <v>2</v>
      </c>
      <c r="AD36" s="46">
        <f t="shared" si="3"/>
        <v>2.75</v>
      </c>
      <c r="AE36" s="45">
        <v>4</v>
      </c>
      <c r="AF36" s="45">
        <v>4</v>
      </c>
      <c r="AG36" s="45">
        <v>2</v>
      </c>
      <c r="AH36" s="45">
        <v>2</v>
      </c>
      <c r="AI36" s="46">
        <f t="shared" si="26"/>
        <v>3</v>
      </c>
      <c r="AJ36" s="45">
        <v>4</v>
      </c>
      <c r="AK36" s="45">
        <v>3</v>
      </c>
      <c r="AL36" s="45">
        <v>1</v>
      </c>
      <c r="AM36" s="45">
        <v>2</v>
      </c>
      <c r="AN36" s="46">
        <f t="shared" si="27"/>
        <v>2.5</v>
      </c>
      <c r="AO36" s="45">
        <v>3</v>
      </c>
      <c r="AP36" s="45">
        <v>2</v>
      </c>
      <c r="AQ36" s="45">
        <v>2</v>
      </c>
      <c r="AR36" s="45">
        <v>1</v>
      </c>
      <c r="AS36" s="45">
        <f t="shared" si="31"/>
        <v>2</v>
      </c>
      <c r="AT36" s="45">
        <v>3</v>
      </c>
      <c r="AU36" s="45">
        <v>2</v>
      </c>
      <c r="AV36" s="45">
        <v>2</v>
      </c>
      <c r="AW36" s="45">
        <v>1</v>
      </c>
      <c r="AX36" s="46">
        <f t="shared" si="28"/>
        <v>2</v>
      </c>
      <c r="AY36" s="45">
        <v>3</v>
      </c>
      <c r="AZ36" s="45">
        <v>2</v>
      </c>
      <c r="BA36" s="45">
        <v>2</v>
      </c>
      <c r="BB36" s="45">
        <v>2</v>
      </c>
      <c r="BC36" s="46">
        <f t="shared" si="8"/>
        <v>2.25</v>
      </c>
      <c r="BD36" s="45"/>
      <c r="BE36" s="45"/>
      <c r="BF36" s="45"/>
      <c r="BG36" s="45"/>
      <c r="BH36" s="45"/>
      <c r="BI36" s="45"/>
      <c r="BJ36" s="45"/>
      <c r="BK36" s="45"/>
      <c r="BL36" s="45"/>
      <c r="BM36" s="45"/>
      <c r="BN36" s="45"/>
      <c r="BO36" s="45"/>
      <c r="BP36" s="45"/>
      <c r="BQ36" s="45"/>
      <c r="BR36" s="45"/>
      <c r="BS36" s="45"/>
      <c r="BT36" s="45"/>
      <c r="BU36" s="45"/>
      <c r="BV36" s="45"/>
      <c r="BW36" s="45"/>
    </row>
    <row r="37" spans="1:75" ht="92.65" customHeight="1">
      <c r="A37" s="276">
        <v>4</v>
      </c>
      <c r="B37" s="50">
        <f t="shared" si="18"/>
        <v>35</v>
      </c>
      <c r="C37" s="51" t="s">
        <v>2773</v>
      </c>
      <c r="D37" s="45" t="s">
        <v>4191</v>
      </c>
      <c r="E37" s="45" t="s">
        <v>4192</v>
      </c>
      <c r="F37" s="45" t="s">
        <v>4193</v>
      </c>
      <c r="G37" s="74" t="s">
        <v>4194</v>
      </c>
      <c r="H37" s="74" t="s">
        <v>4195</v>
      </c>
      <c r="I37" s="52" t="s">
        <v>4162</v>
      </c>
      <c r="J37" s="45" t="s">
        <v>3575</v>
      </c>
      <c r="K37" s="45" t="s">
        <v>4196</v>
      </c>
      <c r="L37" s="45"/>
      <c r="M37" s="45" t="s">
        <v>2773</v>
      </c>
      <c r="N37" s="58">
        <f t="shared" si="13"/>
        <v>0</v>
      </c>
      <c r="O37" s="58" t="e">
        <f t="shared" si="0"/>
        <v>#N/A</v>
      </c>
      <c r="P37" s="58" t="e">
        <f t="shared" si="14"/>
        <v>#N/A</v>
      </c>
      <c r="Q37" s="54" t="e">
        <f>INDEX([5]Timeline!$D$12:$D$24,MATCH(A37,[5]Timeline!$B$12:$B$24,0))</f>
        <v>#N/A</v>
      </c>
      <c r="R37" s="55">
        <v>44561</v>
      </c>
      <c r="S37" s="59">
        <f t="shared" si="15"/>
        <v>2.666666666666667</v>
      </c>
      <c r="T37" s="59">
        <f t="shared" si="16"/>
        <v>3.5833333333333335</v>
      </c>
      <c r="U37" s="60">
        <f t="shared" si="29"/>
        <v>1.75</v>
      </c>
      <c r="V37" s="56">
        <v>0</v>
      </c>
      <c r="W37" s="57" t="e">
        <f t="shared" si="17"/>
        <v>#N/A</v>
      </c>
      <c r="X37" s="56">
        <v>0</v>
      </c>
      <c r="Y37" s="45">
        <v>1</v>
      </c>
      <c r="Z37" s="45">
        <v>4</v>
      </c>
      <c r="AA37" s="45">
        <v>4</v>
      </c>
      <c r="AB37" s="45">
        <v>1</v>
      </c>
      <c r="AC37" s="45">
        <v>2</v>
      </c>
      <c r="AD37" s="46">
        <f t="shared" si="3"/>
        <v>2.75</v>
      </c>
      <c r="AE37" s="45">
        <v>4</v>
      </c>
      <c r="AF37" s="45">
        <v>3</v>
      </c>
      <c r="AG37" s="45">
        <v>2</v>
      </c>
      <c r="AH37" s="45">
        <v>2</v>
      </c>
      <c r="AI37" s="46">
        <f t="shared" si="26"/>
        <v>2.75</v>
      </c>
      <c r="AJ37" s="45">
        <v>4</v>
      </c>
      <c r="AK37" s="45">
        <v>3</v>
      </c>
      <c r="AL37" s="45">
        <v>1</v>
      </c>
      <c r="AM37" s="45">
        <v>2</v>
      </c>
      <c r="AN37" s="46">
        <f t="shared" si="27"/>
        <v>2.5</v>
      </c>
      <c r="AO37" s="45">
        <v>4</v>
      </c>
      <c r="AP37" s="45">
        <v>3</v>
      </c>
      <c r="AQ37" s="45">
        <v>1</v>
      </c>
      <c r="AR37" s="45">
        <v>2</v>
      </c>
      <c r="AS37" s="45">
        <f t="shared" si="31"/>
        <v>2.5</v>
      </c>
      <c r="AT37" s="45">
        <v>4</v>
      </c>
      <c r="AU37" s="45">
        <v>3</v>
      </c>
      <c r="AV37" s="45">
        <v>2</v>
      </c>
      <c r="AW37" s="45">
        <v>2</v>
      </c>
      <c r="AX37" s="46">
        <f t="shared" si="28"/>
        <v>2.75</v>
      </c>
      <c r="AY37" s="45">
        <v>4</v>
      </c>
      <c r="AZ37" s="45">
        <v>3</v>
      </c>
      <c r="BA37" s="45">
        <v>2</v>
      </c>
      <c r="BB37" s="45">
        <v>2</v>
      </c>
      <c r="BC37" s="46">
        <f t="shared" si="8"/>
        <v>2.75</v>
      </c>
      <c r="BD37" s="45"/>
      <c r="BE37" s="45"/>
      <c r="BF37" s="45"/>
      <c r="BG37" s="45"/>
      <c r="BH37" s="45"/>
      <c r="BI37" s="45"/>
      <c r="BJ37" s="45"/>
      <c r="BK37" s="45"/>
      <c r="BL37" s="45"/>
      <c r="BM37" s="45"/>
      <c r="BN37" s="45"/>
      <c r="BO37" s="45"/>
      <c r="BP37" s="45"/>
      <c r="BQ37" s="45"/>
      <c r="BR37" s="45"/>
      <c r="BS37" s="45"/>
      <c r="BT37" s="45"/>
      <c r="BU37" s="45"/>
      <c r="BV37" s="45"/>
      <c r="BW37" s="45"/>
    </row>
    <row r="38" spans="1:75" ht="72.599999999999994" customHeight="1">
      <c r="A38" s="263">
        <v>4</v>
      </c>
      <c r="B38" s="264">
        <f t="shared" si="18"/>
        <v>36</v>
      </c>
      <c r="C38" s="265" t="s">
        <v>2914</v>
      </c>
      <c r="D38" s="266" t="s">
        <v>4197</v>
      </c>
      <c r="E38" s="266" t="s">
        <v>4198</v>
      </c>
      <c r="F38" s="266" t="s">
        <v>4199</v>
      </c>
      <c r="G38" s="266"/>
      <c r="H38" s="266"/>
      <c r="I38" s="272" t="s">
        <v>4162</v>
      </c>
      <c r="J38" s="266" t="s">
        <v>4200</v>
      </c>
      <c r="K38" s="266"/>
      <c r="L38" s="45"/>
      <c r="M38" s="45" t="str">
        <f>D38</f>
        <v>WH Makassar</v>
      </c>
      <c r="N38" s="58">
        <f t="shared" si="13"/>
        <v>0</v>
      </c>
      <c r="O38" s="58" t="e">
        <f t="shared" si="0"/>
        <v>#N/A</v>
      </c>
      <c r="P38" s="58" t="e">
        <f t="shared" si="14"/>
        <v>#N/A</v>
      </c>
      <c r="Q38" s="54" t="e">
        <f>INDEX([5]Timeline!$D$12:$D$24,MATCH(A38,[5]Timeline!$B$12:$B$24,0))</f>
        <v>#N/A</v>
      </c>
      <c r="R38" s="55">
        <v>44561</v>
      </c>
      <c r="S38" s="59" t="e">
        <f t="shared" si="15"/>
        <v>#DIV/0!</v>
      </c>
      <c r="T38" s="59" t="e">
        <f t="shared" si="16"/>
        <v>#DIV/0!</v>
      </c>
      <c r="U38" s="60" t="e">
        <f t="shared" si="29"/>
        <v>#DIV/0!</v>
      </c>
      <c r="V38" s="56"/>
      <c r="W38" s="57" t="e">
        <f t="shared" si="17"/>
        <v>#N/A</v>
      </c>
      <c r="X38" s="56" t="e">
        <f t="shared" ref="X38:X57" si="32">(MONTH(R38)-MONTH(Q38)+1)*V38</f>
        <v>#N/A</v>
      </c>
      <c r="Y38" s="45">
        <v>1</v>
      </c>
      <c r="Z38" s="45"/>
      <c r="AA38" s="45"/>
      <c r="AB38" s="45"/>
      <c r="AC38" s="45"/>
      <c r="AD38" s="46">
        <f t="shared" si="3"/>
        <v>0</v>
      </c>
      <c r="AE38" s="45"/>
      <c r="AF38" s="45"/>
      <c r="AG38" s="45"/>
      <c r="AH38" s="45"/>
      <c r="AI38" s="46">
        <f t="shared" si="26"/>
        <v>0</v>
      </c>
      <c r="AJ38" s="45"/>
      <c r="AK38" s="45"/>
      <c r="AL38" s="45"/>
      <c r="AM38" s="45"/>
      <c r="AN38" s="46">
        <f t="shared" si="27"/>
        <v>0</v>
      </c>
      <c r="AO38" s="45"/>
      <c r="AP38" s="45"/>
      <c r="AQ38" s="45"/>
      <c r="AR38" s="45"/>
      <c r="AS38" s="46">
        <f t="shared" ref="AS38:AS101" si="33">IFERROR(SUM(AO38:AR38)/4,0)</f>
        <v>0</v>
      </c>
      <c r="AT38" s="45"/>
      <c r="AU38" s="45"/>
      <c r="AV38" s="45"/>
      <c r="AW38" s="45"/>
      <c r="AX38" s="46">
        <f t="shared" si="28"/>
        <v>0</v>
      </c>
      <c r="AY38" s="45"/>
      <c r="AZ38" s="45"/>
      <c r="BA38" s="45"/>
      <c r="BB38" s="45"/>
      <c r="BC38" s="46">
        <f t="shared" si="8"/>
        <v>0</v>
      </c>
      <c r="BD38" s="45"/>
      <c r="BE38" s="45"/>
      <c r="BF38" s="45"/>
      <c r="BG38" s="45"/>
      <c r="BH38" s="45"/>
      <c r="BI38" s="45"/>
      <c r="BJ38" s="45"/>
      <c r="BK38" s="45"/>
      <c r="BL38" s="45"/>
      <c r="BM38" s="45"/>
      <c r="BN38" s="45"/>
      <c r="BO38" s="45"/>
      <c r="BP38" s="45"/>
      <c r="BQ38" s="45"/>
      <c r="BR38" s="45"/>
      <c r="BS38" s="45"/>
      <c r="BT38" s="45"/>
      <c r="BU38" s="45"/>
      <c r="BV38" s="45"/>
      <c r="BW38" s="45"/>
    </row>
    <row r="39" spans="1:75" ht="72.599999999999994" customHeight="1">
      <c r="A39" s="263">
        <v>4</v>
      </c>
      <c r="B39" s="264">
        <f t="shared" si="18"/>
        <v>37</v>
      </c>
      <c r="C39" s="265" t="s">
        <v>2854</v>
      </c>
      <c r="D39" s="266" t="s">
        <v>4201</v>
      </c>
      <c r="E39" s="266" t="s">
        <v>4198</v>
      </c>
      <c r="F39" s="266" t="s">
        <v>4202</v>
      </c>
      <c r="G39" s="266"/>
      <c r="H39" s="266"/>
      <c r="I39" s="272" t="s">
        <v>4162</v>
      </c>
      <c r="J39" s="266" t="s">
        <v>4203</v>
      </c>
      <c r="K39" s="266"/>
      <c r="L39" s="45"/>
      <c r="M39" s="45" t="s">
        <v>4186</v>
      </c>
      <c r="N39" s="58">
        <f t="shared" si="13"/>
        <v>0</v>
      </c>
      <c r="O39" s="58" t="e">
        <f t="shared" si="0"/>
        <v>#N/A</v>
      </c>
      <c r="P39" s="58" t="e">
        <f t="shared" si="14"/>
        <v>#N/A</v>
      </c>
      <c r="Q39" s="54" t="e">
        <f>INDEX([5]Timeline!$D$12:$D$24,MATCH(A39,[5]Timeline!$B$12:$B$24,0))</f>
        <v>#N/A</v>
      </c>
      <c r="R39" s="55">
        <v>44561</v>
      </c>
      <c r="S39" s="59" t="e">
        <f t="shared" si="15"/>
        <v>#DIV/0!</v>
      </c>
      <c r="T39" s="59" t="e">
        <f t="shared" si="16"/>
        <v>#DIV/0!</v>
      </c>
      <c r="U39" s="60" t="e">
        <f t="shared" si="29"/>
        <v>#DIV/0!</v>
      </c>
      <c r="V39" s="56"/>
      <c r="W39" s="57" t="e">
        <f t="shared" si="17"/>
        <v>#N/A</v>
      </c>
      <c r="X39" s="56" t="e">
        <f t="shared" si="32"/>
        <v>#N/A</v>
      </c>
      <c r="Y39" s="45">
        <v>1</v>
      </c>
      <c r="Z39" s="45"/>
      <c r="AA39" s="45"/>
      <c r="AB39" s="45"/>
      <c r="AC39" s="45"/>
      <c r="AD39" s="46">
        <f t="shared" si="3"/>
        <v>0</v>
      </c>
      <c r="AE39" s="45"/>
      <c r="AF39" s="45"/>
      <c r="AG39" s="45"/>
      <c r="AH39" s="45"/>
      <c r="AI39" s="46">
        <f t="shared" si="26"/>
        <v>0</v>
      </c>
      <c r="AJ39" s="45"/>
      <c r="AK39" s="45"/>
      <c r="AL39" s="45"/>
      <c r="AM39" s="45"/>
      <c r="AN39" s="46">
        <f t="shared" si="27"/>
        <v>0</v>
      </c>
      <c r="AO39" s="45"/>
      <c r="AP39" s="45"/>
      <c r="AQ39" s="45"/>
      <c r="AR39" s="45"/>
      <c r="AS39" s="46">
        <f t="shared" si="33"/>
        <v>0</v>
      </c>
      <c r="AT39" s="45"/>
      <c r="AU39" s="45"/>
      <c r="AV39" s="45"/>
      <c r="AW39" s="45"/>
      <c r="AX39" s="46">
        <f t="shared" si="28"/>
        <v>0</v>
      </c>
      <c r="AY39" s="45"/>
      <c r="AZ39" s="45"/>
      <c r="BA39" s="45"/>
      <c r="BB39" s="45"/>
      <c r="BC39" s="46">
        <f t="shared" si="8"/>
        <v>0</v>
      </c>
      <c r="BD39" s="45"/>
      <c r="BE39" s="45"/>
      <c r="BF39" s="45"/>
      <c r="BG39" s="45"/>
      <c r="BH39" s="45"/>
      <c r="BI39" s="45"/>
      <c r="BJ39" s="45"/>
      <c r="BK39" s="45"/>
      <c r="BL39" s="45"/>
      <c r="BM39" s="45"/>
      <c r="BN39" s="45"/>
      <c r="BO39" s="45"/>
      <c r="BP39" s="45"/>
      <c r="BQ39" s="45"/>
      <c r="BR39" s="45"/>
      <c r="BS39" s="45"/>
      <c r="BT39" s="45"/>
      <c r="BU39" s="45"/>
      <c r="BV39" s="45"/>
      <c r="BW39" s="45"/>
    </row>
    <row r="40" spans="1:75" ht="76.5">
      <c r="A40" s="276">
        <v>5</v>
      </c>
      <c r="B40" s="50">
        <f t="shared" si="18"/>
        <v>38</v>
      </c>
      <c r="C40" s="51" t="s">
        <v>4082</v>
      </c>
      <c r="D40" s="45" t="s">
        <v>4082</v>
      </c>
      <c r="E40" s="45" t="s">
        <v>4204</v>
      </c>
      <c r="F40" s="45" t="s">
        <v>4205</v>
      </c>
      <c r="G40" s="74" t="s">
        <v>4206</v>
      </c>
      <c r="H40" s="45" t="s">
        <v>4207</v>
      </c>
      <c r="I40" s="52" t="s">
        <v>4208</v>
      </c>
      <c r="J40" s="45" t="s">
        <v>3575</v>
      </c>
      <c r="K40" s="45" t="s">
        <v>4209</v>
      </c>
      <c r="L40" s="45"/>
      <c r="M40" s="45" t="s">
        <v>4082</v>
      </c>
      <c r="N40" s="58">
        <f t="shared" si="13"/>
        <v>302000</v>
      </c>
      <c r="O40" s="58" t="e">
        <f t="shared" si="0"/>
        <v>#N/A</v>
      </c>
      <c r="P40" s="58" t="e">
        <f t="shared" si="14"/>
        <v>#N/A</v>
      </c>
      <c r="Q40" s="54" t="e">
        <f>INDEX([5]Timeline!$D$12:$D$24,MATCH(A40,[5]Timeline!$B$12:$B$24,0))</f>
        <v>#N/A</v>
      </c>
      <c r="R40" s="55">
        <v>44561</v>
      </c>
      <c r="S40" s="59">
        <f>AVERAGE(T40:U40)</f>
        <v>2.9</v>
      </c>
      <c r="T40" s="59">
        <f>IF(Y40&gt;0,AVERAGE(Z40:AA40,AE40:AF40,AJ40:AK40,AO40:AP40,AT40:AU40,AY40:AZ40,BD40:BE40),0)</f>
        <v>4</v>
      </c>
      <c r="U40" s="60">
        <f>IF(Y40&gt;0,AVERAGE(AB40:AC40,AG40:AH40,AL40:AM40,AQ40:AR40,AV40:AW40,BA40:BB40,BF40:BG40),0)</f>
        <v>1.8</v>
      </c>
      <c r="V40" s="120">
        <f>604/60*30000</f>
        <v>302000</v>
      </c>
      <c r="W40" s="57" t="e">
        <f t="shared" si="17"/>
        <v>#N/A</v>
      </c>
      <c r="X40" s="56" t="e">
        <f t="shared" si="32"/>
        <v>#N/A</v>
      </c>
      <c r="Y40" s="45">
        <v>1</v>
      </c>
      <c r="Z40" s="45">
        <v>4</v>
      </c>
      <c r="AA40" s="45">
        <v>4</v>
      </c>
      <c r="AB40" s="45">
        <v>2</v>
      </c>
      <c r="AC40" s="45">
        <v>2</v>
      </c>
      <c r="AD40" s="46">
        <f>IFERROR(SUM(Z40:AC40)/4,0)</f>
        <v>3</v>
      </c>
      <c r="AE40" s="45">
        <v>4</v>
      </c>
      <c r="AF40" s="45">
        <v>4</v>
      </c>
      <c r="AG40" s="45">
        <v>2</v>
      </c>
      <c r="AH40" s="45">
        <v>2</v>
      </c>
      <c r="AI40" s="46">
        <f t="shared" si="26"/>
        <v>3</v>
      </c>
      <c r="AJ40" s="45">
        <v>4</v>
      </c>
      <c r="AK40" s="45">
        <v>4</v>
      </c>
      <c r="AL40" s="45">
        <v>2</v>
      </c>
      <c r="AM40" s="45">
        <v>2</v>
      </c>
      <c r="AN40" s="46">
        <f>IFERROR(SUM(AJ40:AM40)/4,0)</f>
        <v>3</v>
      </c>
      <c r="AO40" s="45">
        <v>4</v>
      </c>
      <c r="AP40" s="45">
        <v>4</v>
      </c>
      <c r="AQ40" s="45">
        <v>2</v>
      </c>
      <c r="AR40" s="45">
        <v>1</v>
      </c>
      <c r="AS40" s="46">
        <f>IFERROR(SUM(AO40:AR40)/4,0)</f>
        <v>2.75</v>
      </c>
      <c r="AT40" s="45">
        <v>4</v>
      </c>
      <c r="AU40" s="45">
        <v>4</v>
      </c>
      <c r="AV40" s="45">
        <v>2</v>
      </c>
      <c r="AW40" s="45">
        <v>1</v>
      </c>
      <c r="AX40" s="46">
        <f t="shared" si="28"/>
        <v>2.75</v>
      </c>
      <c r="AY40" s="45"/>
      <c r="AZ40" s="45"/>
      <c r="BA40" s="45"/>
      <c r="BB40" s="45"/>
      <c r="BC40" s="46">
        <f t="shared" si="8"/>
        <v>0</v>
      </c>
      <c r="BD40" s="45"/>
      <c r="BE40" s="45"/>
      <c r="BF40" s="45"/>
      <c r="BG40" s="45"/>
      <c r="BH40" s="45"/>
      <c r="BI40" s="45"/>
      <c r="BJ40" s="45"/>
      <c r="BK40" s="45"/>
      <c r="BL40" s="45"/>
      <c r="BM40" s="46">
        <f t="shared" ref="BM40:BM103" si="34">IFERROR(SUM(BI40:BL40)/4,0)</f>
        <v>0</v>
      </c>
      <c r="BN40" s="45"/>
      <c r="BO40" s="45"/>
      <c r="BP40" s="45"/>
      <c r="BQ40" s="45"/>
      <c r="BR40" s="46">
        <f t="shared" ref="BR40:BR103" si="35">IFERROR(SUM(BN40:BQ40)/4,0)</f>
        <v>0</v>
      </c>
      <c r="BS40" s="45"/>
      <c r="BT40" s="45"/>
      <c r="BU40" s="45"/>
      <c r="BV40" s="45"/>
      <c r="BW40" s="46">
        <f t="shared" ref="BW40:BW103" si="36">IFERROR(SUM(BS40:BV40)/4,0)</f>
        <v>0</v>
      </c>
    </row>
    <row r="41" spans="1:75" ht="121.5">
      <c r="A41" s="276">
        <v>5</v>
      </c>
      <c r="B41" s="50">
        <f t="shared" si="18"/>
        <v>39</v>
      </c>
      <c r="C41" s="51" t="s">
        <v>2817</v>
      </c>
      <c r="D41" s="45" t="s">
        <v>4210</v>
      </c>
      <c r="E41" s="45" t="s">
        <v>4211</v>
      </c>
      <c r="F41" s="45" t="s">
        <v>4212</v>
      </c>
      <c r="G41" s="45" t="s">
        <v>4213</v>
      </c>
      <c r="H41" s="74" t="s">
        <v>4214</v>
      </c>
      <c r="I41" s="52" t="s">
        <v>4208</v>
      </c>
      <c r="J41" s="45" t="s">
        <v>3575</v>
      </c>
      <c r="K41" s="45" t="s">
        <v>4215</v>
      </c>
      <c r="L41" s="45"/>
      <c r="M41" s="45" t="s">
        <v>2817</v>
      </c>
      <c r="N41" s="58">
        <f t="shared" si="13"/>
        <v>773850</v>
      </c>
      <c r="O41" s="58" t="e">
        <f t="shared" si="0"/>
        <v>#N/A</v>
      </c>
      <c r="P41" s="58" t="e">
        <f t="shared" si="14"/>
        <v>#N/A</v>
      </c>
      <c r="Q41" s="54" t="e">
        <f>INDEX([5]Timeline!$D$12:$D$24,MATCH(A41,[5]Timeline!$B$12:$B$24,0))</f>
        <v>#N/A</v>
      </c>
      <c r="R41" s="55">
        <v>44561</v>
      </c>
      <c r="S41" s="59">
        <f t="shared" si="15"/>
        <v>2.65</v>
      </c>
      <c r="T41" s="59">
        <f t="shared" si="16"/>
        <v>3.8</v>
      </c>
      <c r="U41" s="60">
        <f t="shared" si="29"/>
        <v>1.5</v>
      </c>
      <c r="V41" s="56">
        <v>773850</v>
      </c>
      <c r="W41" s="57" t="e">
        <f t="shared" si="17"/>
        <v>#N/A</v>
      </c>
      <c r="X41" s="56" t="e">
        <f t="shared" si="32"/>
        <v>#N/A</v>
      </c>
      <c r="Y41" s="45">
        <v>1</v>
      </c>
      <c r="Z41" s="45">
        <v>4</v>
      </c>
      <c r="AA41" s="45">
        <v>3</v>
      </c>
      <c r="AB41" s="45">
        <v>2</v>
      </c>
      <c r="AC41" s="45">
        <v>1</v>
      </c>
      <c r="AD41" s="46">
        <f t="shared" si="3"/>
        <v>2.5</v>
      </c>
      <c r="AE41" s="45">
        <v>4</v>
      </c>
      <c r="AF41" s="45">
        <v>4</v>
      </c>
      <c r="AG41" s="45">
        <v>2</v>
      </c>
      <c r="AH41" s="45">
        <v>1</v>
      </c>
      <c r="AI41" s="46">
        <f t="shared" si="26"/>
        <v>2.75</v>
      </c>
      <c r="AJ41" s="45">
        <v>4</v>
      </c>
      <c r="AK41" s="45">
        <v>4</v>
      </c>
      <c r="AL41" s="45">
        <v>2</v>
      </c>
      <c r="AM41" s="45">
        <v>1</v>
      </c>
      <c r="AN41" s="46">
        <f t="shared" si="27"/>
        <v>2.75</v>
      </c>
      <c r="AO41" s="45">
        <v>4</v>
      </c>
      <c r="AP41" s="45">
        <v>4</v>
      </c>
      <c r="AQ41" s="45">
        <v>2</v>
      </c>
      <c r="AR41" s="45">
        <v>1</v>
      </c>
      <c r="AS41" s="46">
        <f>IFERROR(SUM(AO41:AR41)/4,0)</f>
        <v>2.75</v>
      </c>
      <c r="AT41" s="45">
        <v>4</v>
      </c>
      <c r="AU41" s="45">
        <v>3</v>
      </c>
      <c r="AV41" s="45">
        <v>2</v>
      </c>
      <c r="AW41" s="45">
        <v>1</v>
      </c>
      <c r="AX41" s="46">
        <f t="shared" si="28"/>
        <v>2.5</v>
      </c>
      <c r="AY41" s="45"/>
      <c r="AZ41" s="45"/>
      <c r="BA41" s="45"/>
      <c r="BB41" s="45"/>
      <c r="BC41" s="46">
        <f t="shared" si="8"/>
        <v>0</v>
      </c>
      <c r="BD41" s="45"/>
      <c r="BE41" s="45"/>
      <c r="BF41" s="45"/>
      <c r="BG41" s="45"/>
      <c r="BH41" s="45"/>
      <c r="BI41" s="45"/>
      <c r="BJ41" s="45"/>
      <c r="BK41" s="45"/>
      <c r="BL41" s="45"/>
      <c r="BM41" s="46">
        <f t="shared" si="34"/>
        <v>0</v>
      </c>
      <c r="BN41" s="45"/>
      <c r="BO41" s="45"/>
      <c r="BP41" s="45"/>
      <c r="BQ41" s="45"/>
      <c r="BR41" s="46">
        <f t="shared" si="35"/>
        <v>0</v>
      </c>
      <c r="BS41" s="45"/>
      <c r="BT41" s="45"/>
      <c r="BU41" s="45"/>
      <c r="BV41" s="45"/>
      <c r="BW41" s="46">
        <f t="shared" si="36"/>
        <v>0</v>
      </c>
    </row>
    <row r="42" spans="1:75" ht="91.5">
      <c r="A42" s="276">
        <v>5</v>
      </c>
      <c r="B42" s="50">
        <f t="shared" si="18"/>
        <v>40</v>
      </c>
      <c r="C42" s="51" t="s">
        <v>2914</v>
      </c>
      <c r="D42" s="45" t="s">
        <v>4050</v>
      </c>
      <c r="E42" s="45" t="s">
        <v>4216</v>
      </c>
      <c r="F42" s="278" t="s">
        <v>4217</v>
      </c>
      <c r="G42" s="45" t="s">
        <v>4218</v>
      </c>
      <c r="H42" s="45" t="s">
        <v>4219</v>
      </c>
      <c r="I42" s="52" t="s">
        <v>4208</v>
      </c>
      <c r="J42" s="45" t="s">
        <v>4163</v>
      </c>
      <c r="K42" s="45" t="s">
        <v>4164</v>
      </c>
      <c r="L42" s="45"/>
      <c r="M42" s="45" t="str">
        <f t="shared" ref="M42:M43" si="37">D42</f>
        <v>WH Kramat jati</v>
      </c>
      <c r="N42" s="58">
        <f t="shared" si="13"/>
        <v>7230000</v>
      </c>
      <c r="O42" s="58" t="e">
        <f t="shared" si="0"/>
        <v>#N/A</v>
      </c>
      <c r="P42" s="58" t="e">
        <f t="shared" si="14"/>
        <v>#N/A</v>
      </c>
      <c r="Q42" s="54" t="e">
        <f>INDEX([5]Timeline!$D$12:$D$24,MATCH(A42,[5]Timeline!$B$12:$B$24,0))</f>
        <v>#N/A</v>
      </c>
      <c r="R42" s="55">
        <v>44561</v>
      </c>
      <c r="S42" s="59">
        <f t="shared" si="15"/>
        <v>3</v>
      </c>
      <c r="T42" s="59">
        <f t="shared" si="16"/>
        <v>3.5</v>
      </c>
      <c r="U42" s="60">
        <f t="shared" si="29"/>
        <v>2.5</v>
      </c>
      <c r="V42" s="120">
        <f>14460000/2</f>
        <v>7230000</v>
      </c>
      <c r="W42" s="57" t="e">
        <f t="shared" si="17"/>
        <v>#N/A</v>
      </c>
      <c r="X42" s="56" t="e">
        <f t="shared" si="32"/>
        <v>#N/A</v>
      </c>
      <c r="Y42" s="45">
        <v>1</v>
      </c>
      <c r="Z42" s="45">
        <v>4</v>
      </c>
      <c r="AA42" s="45">
        <v>3</v>
      </c>
      <c r="AB42" s="45">
        <v>2</v>
      </c>
      <c r="AC42" s="45">
        <v>3</v>
      </c>
      <c r="AD42" s="46">
        <f t="shared" si="3"/>
        <v>3</v>
      </c>
      <c r="AE42" s="45">
        <v>4</v>
      </c>
      <c r="AF42" s="45">
        <v>3</v>
      </c>
      <c r="AG42" s="45">
        <v>2</v>
      </c>
      <c r="AH42" s="45">
        <v>4</v>
      </c>
      <c r="AI42" s="46">
        <f t="shared" si="26"/>
        <v>3.25</v>
      </c>
      <c r="AJ42" s="45">
        <v>4</v>
      </c>
      <c r="AK42" s="45">
        <v>3</v>
      </c>
      <c r="AL42" s="45">
        <v>2</v>
      </c>
      <c r="AM42" s="45">
        <v>4</v>
      </c>
      <c r="AN42" s="46">
        <f t="shared" si="27"/>
        <v>3.25</v>
      </c>
      <c r="AO42" s="45">
        <v>4</v>
      </c>
      <c r="AP42" s="45">
        <v>3</v>
      </c>
      <c r="AQ42" s="45">
        <v>2</v>
      </c>
      <c r="AR42" s="45">
        <v>2</v>
      </c>
      <c r="AS42" s="46">
        <f t="shared" si="33"/>
        <v>2.75</v>
      </c>
      <c r="AT42" s="45">
        <v>4</v>
      </c>
      <c r="AU42" s="45">
        <v>3</v>
      </c>
      <c r="AV42" s="45">
        <v>2</v>
      </c>
      <c r="AW42" s="45">
        <v>2</v>
      </c>
      <c r="AX42" s="46">
        <f t="shared" si="28"/>
        <v>2.75</v>
      </c>
      <c r="AY42" s="45"/>
      <c r="AZ42" s="45"/>
      <c r="BA42" s="45"/>
      <c r="BB42" s="45"/>
      <c r="BC42" s="46">
        <f t="shared" si="8"/>
        <v>0</v>
      </c>
      <c r="BD42" s="45"/>
      <c r="BE42" s="45"/>
      <c r="BF42" s="45"/>
      <c r="BG42" s="45"/>
      <c r="BH42" s="45"/>
      <c r="BI42" s="45"/>
      <c r="BJ42" s="45"/>
      <c r="BK42" s="45"/>
      <c r="BL42" s="45"/>
      <c r="BM42" s="46">
        <f t="shared" si="34"/>
        <v>0</v>
      </c>
      <c r="BN42" s="45"/>
      <c r="BO42" s="45"/>
      <c r="BP42" s="45"/>
      <c r="BQ42" s="45"/>
      <c r="BR42" s="46">
        <f t="shared" si="35"/>
        <v>0</v>
      </c>
      <c r="BS42" s="45"/>
      <c r="BT42" s="45"/>
      <c r="BU42" s="45"/>
      <c r="BV42" s="45"/>
      <c r="BW42" s="46">
        <f t="shared" si="36"/>
        <v>0</v>
      </c>
    </row>
    <row r="43" spans="1:75" ht="76.5">
      <c r="A43" s="276">
        <v>5</v>
      </c>
      <c r="B43" s="50">
        <f t="shared" si="18"/>
        <v>41</v>
      </c>
      <c r="C43" s="51" t="s">
        <v>2914</v>
      </c>
      <c r="D43" s="45" t="s">
        <v>4220</v>
      </c>
      <c r="E43" s="45" t="s">
        <v>4221</v>
      </c>
      <c r="F43" s="278" t="s">
        <v>4222</v>
      </c>
      <c r="G43" s="45" t="s">
        <v>4223</v>
      </c>
      <c r="H43" s="45" t="s">
        <v>4224</v>
      </c>
      <c r="I43" s="52" t="s">
        <v>4208</v>
      </c>
      <c r="J43" s="45" t="s">
        <v>4163</v>
      </c>
      <c r="K43" s="45" t="s">
        <v>4225</v>
      </c>
      <c r="L43" s="45"/>
      <c r="M43" s="45" t="str">
        <f t="shared" si="37"/>
        <v>WH Semarang</v>
      </c>
      <c r="N43" s="58">
        <f t="shared" si="13"/>
        <v>420451</v>
      </c>
      <c r="O43" s="58" t="e">
        <f t="shared" si="0"/>
        <v>#N/A</v>
      </c>
      <c r="P43" s="58" t="e">
        <f t="shared" si="14"/>
        <v>#N/A</v>
      </c>
      <c r="Q43" s="54" t="e">
        <f>INDEX([5]Timeline!$D$12:$D$24,MATCH(A43,[5]Timeline!$B$12:$B$24,0))</f>
        <v>#N/A</v>
      </c>
      <c r="R43" s="55">
        <v>44561</v>
      </c>
      <c r="S43" s="59">
        <f t="shared" si="15"/>
        <v>3.35</v>
      </c>
      <c r="T43" s="59">
        <f t="shared" si="16"/>
        <v>3.6</v>
      </c>
      <c r="U43" s="60">
        <f t="shared" si="29"/>
        <v>3.1</v>
      </c>
      <c r="V43" s="120">
        <v>420451</v>
      </c>
      <c r="W43" s="57" t="e">
        <f t="shared" si="17"/>
        <v>#N/A</v>
      </c>
      <c r="X43" s="56" t="e">
        <f t="shared" si="32"/>
        <v>#N/A</v>
      </c>
      <c r="Y43" s="45">
        <v>1</v>
      </c>
      <c r="Z43" s="45">
        <v>4</v>
      </c>
      <c r="AA43" s="45">
        <v>3</v>
      </c>
      <c r="AB43" s="45">
        <v>2</v>
      </c>
      <c r="AC43" s="45">
        <v>2</v>
      </c>
      <c r="AD43" s="46">
        <f t="shared" si="3"/>
        <v>2.75</v>
      </c>
      <c r="AE43" s="45">
        <v>4</v>
      </c>
      <c r="AF43" s="45">
        <v>3</v>
      </c>
      <c r="AG43" s="45">
        <v>4</v>
      </c>
      <c r="AH43" s="45">
        <v>4</v>
      </c>
      <c r="AI43" s="46">
        <f t="shared" si="26"/>
        <v>3.75</v>
      </c>
      <c r="AJ43" s="45">
        <v>4</v>
      </c>
      <c r="AK43" s="45">
        <v>4</v>
      </c>
      <c r="AL43" s="45">
        <v>4</v>
      </c>
      <c r="AM43" s="45">
        <v>2</v>
      </c>
      <c r="AN43" s="46">
        <f t="shared" si="27"/>
        <v>3.5</v>
      </c>
      <c r="AO43" s="45">
        <v>4</v>
      </c>
      <c r="AP43" s="45">
        <v>3</v>
      </c>
      <c r="AQ43" s="45">
        <v>3</v>
      </c>
      <c r="AR43" s="45">
        <v>4</v>
      </c>
      <c r="AS43" s="46">
        <f t="shared" si="33"/>
        <v>3.5</v>
      </c>
      <c r="AT43" s="45">
        <v>4</v>
      </c>
      <c r="AU43" s="45">
        <v>3</v>
      </c>
      <c r="AV43" s="45">
        <v>4</v>
      </c>
      <c r="AW43" s="45">
        <v>2</v>
      </c>
      <c r="AX43" s="46">
        <f t="shared" si="28"/>
        <v>3.25</v>
      </c>
      <c r="AY43" s="45"/>
      <c r="AZ43" s="45"/>
      <c r="BA43" s="45"/>
      <c r="BB43" s="45"/>
      <c r="BC43" s="46">
        <f t="shared" si="8"/>
        <v>0</v>
      </c>
      <c r="BD43" s="45"/>
      <c r="BE43" s="45"/>
      <c r="BF43" s="45"/>
      <c r="BG43" s="45"/>
      <c r="BH43" s="45"/>
      <c r="BI43" s="45"/>
      <c r="BJ43" s="45"/>
      <c r="BK43" s="45"/>
      <c r="BL43" s="45"/>
      <c r="BM43" s="46">
        <f t="shared" si="34"/>
        <v>0</v>
      </c>
      <c r="BN43" s="45"/>
      <c r="BO43" s="45"/>
      <c r="BP43" s="45"/>
      <c r="BQ43" s="45"/>
      <c r="BR43" s="46">
        <f t="shared" si="35"/>
        <v>0</v>
      </c>
      <c r="BS43" s="45"/>
      <c r="BT43" s="45"/>
      <c r="BU43" s="45"/>
      <c r="BV43" s="45"/>
      <c r="BW43" s="46">
        <f t="shared" si="36"/>
        <v>0</v>
      </c>
    </row>
    <row r="44" spans="1:75" ht="137.25">
      <c r="A44" s="276">
        <v>5</v>
      </c>
      <c r="B44" s="50">
        <f t="shared" si="18"/>
        <v>42</v>
      </c>
      <c r="C44" s="51" t="s">
        <v>2854</v>
      </c>
      <c r="D44" s="45" t="s">
        <v>3785</v>
      </c>
      <c r="E44" s="45" t="s">
        <v>4226</v>
      </c>
      <c r="F44" s="278" t="s">
        <v>4227</v>
      </c>
      <c r="G44" s="45" t="s">
        <v>4228</v>
      </c>
      <c r="H44" s="45" t="s">
        <v>4229</v>
      </c>
      <c r="I44" s="52" t="s">
        <v>4208</v>
      </c>
      <c r="J44" s="45" t="s">
        <v>4163</v>
      </c>
      <c r="K44" s="45" t="s">
        <v>4230</v>
      </c>
      <c r="L44" s="45"/>
      <c r="M44" s="45" t="s">
        <v>4071</v>
      </c>
      <c r="N44" s="58">
        <f>V44/3</f>
        <v>520000</v>
      </c>
      <c r="O44" s="58" t="e">
        <f t="shared" si="0"/>
        <v>#N/A</v>
      </c>
      <c r="P44" s="58" t="e">
        <f t="shared" si="14"/>
        <v>#N/A</v>
      </c>
      <c r="Q44" s="54" t="e">
        <f>INDEX([5]Timeline!$D$12:$D$24,MATCH(A44,[5]Timeline!$B$12:$B$24,0))</f>
        <v>#N/A</v>
      </c>
      <c r="R44" s="55">
        <v>44561</v>
      </c>
      <c r="S44" s="59">
        <f t="shared" si="15"/>
        <v>3.5</v>
      </c>
      <c r="T44" s="59">
        <f t="shared" si="16"/>
        <v>4</v>
      </c>
      <c r="U44" s="60">
        <f t="shared" si="29"/>
        <v>3</v>
      </c>
      <c r="V44" s="120">
        <v>1560000</v>
      </c>
      <c r="W44" s="57" t="e">
        <f t="shared" si="17"/>
        <v>#N/A</v>
      </c>
      <c r="X44" s="56" t="e">
        <f t="shared" si="32"/>
        <v>#N/A</v>
      </c>
      <c r="Y44" s="45">
        <v>1</v>
      </c>
      <c r="Z44" s="45">
        <v>4</v>
      </c>
      <c r="AA44" s="45">
        <v>4</v>
      </c>
      <c r="AB44" s="45">
        <v>2</v>
      </c>
      <c r="AC44" s="45">
        <v>4</v>
      </c>
      <c r="AD44" s="46">
        <f t="shared" si="3"/>
        <v>3.5</v>
      </c>
      <c r="AE44" s="45">
        <v>4</v>
      </c>
      <c r="AF44" s="45">
        <v>4</v>
      </c>
      <c r="AG44" s="45">
        <v>2</v>
      </c>
      <c r="AH44" s="45">
        <v>4</v>
      </c>
      <c r="AI44" s="46">
        <f t="shared" si="26"/>
        <v>3.5</v>
      </c>
      <c r="AJ44" s="45">
        <v>4</v>
      </c>
      <c r="AK44" s="45">
        <v>4</v>
      </c>
      <c r="AL44" s="45">
        <v>2</v>
      </c>
      <c r="AM44" s="45">
        <v>4</v>
      </c>
      <c r="AN44" s="46">
        <f t="shared" si="27"/>
        <v>3.5</v>
      </c>
      <c r="AO44" s="45">
        <v>4</v>
      </c>
      <c r="AP44" s="45">
        <v>4</v>
      </c>
      <c r="AQ44" s="45">
        <v>2</v>
      </c>
      <c r="AR44" s="45">
        <v>4</v>
      </c>
      <c r="AS44" s="46">
        <f t="shared" si="33"/>
        <v>3.5</v>
      </c>
      <c r="AT44" s="45">
        <v>4</v>
      </c>
      <c r="AU44" s="45">
        <v>4</v>
      </c>
      <c r="AV44" s="45">
        <v>2</v>
      </c>
      <c r="AW44" s="45">
        <v>4</v>
      </c>
      <c r="AX44" s="46">
        <f t="shared" si="28"/>
        <v>3.5</v>
      </c>
      <c r="AY44" s="45"/>
      <c r="AZ44" s="45"/>
      <c r="BA44" s="45"/>
      <c r="BB44" s="45"/>
      <c r="BC44" s="46">
        <f t="shared" si="8"/>
        <v>0</v>
      </c>
      <c r="BD44" s="45"/>
      <c r="BE44" s="45"/>
      <c r="BF44" s="45"/>
      <c r="BG44" s="45"/>
      <c r="BH44" s="45"/>
      <c r="BI44" s="45"/>
      <c r="BJ44" s="45"/>
      <c r="BK44" s="45"/>
      <c r="BL44" s="45"/>
      <c r="BM44" s="46">
        <f t="shared" si="34"/>
        <v>0</v>
      </c>
      <c r="BN44" s="45"/>
      <c r="BO44" s="45"/>
      <c r="BP44" s="45"/>
      <c r="BQ44" s="45"/>
      <c r="BR44" s="46">
        <f t="shared" si="35"/>
        <v>0</v>
      </c>
      <c r="BS44" s="45"/>
      <c r="BT44" s="45"/>
      <c r="BU44" s="45"/>
      <c r="BV44" s="45"/>
      <c r="BW44" s="46">
        <f t="shared" si="36"/>
        <v>0</v>
      </c>
    </row>
    <row r="45" spans="1:75" ht="76.5">
      <c r="A45" s="276">
        <v>5</v>
      </c>
      <c r="B45" s="50">
        <f t="shared" si="18"/>
        <v>43</v>
      </c>
      <c r="C45" s="51" t="s">
        <v>2854</v>
      </c>
      <c r="D45" s="45" t="s">
        <v>4231</v>
      </c>
      <c r="E45" s="45" t="s">
        <v>4232</v>
      </c>
      <c r="F45" s="45" t="s">
        <v>4233</v>
      </c>
      <c r="G45" s="45" t="s">
        <v>4234</v>
      </c>
      <c r="H45" s="45" t="s">
        <v>4235</v>
      </c>
      <c r="I45" s="52" t="s">
        <v>4208</v>
      </c>
      <c r="J45" s="45" t="s">
        <v>3575</v>
      </c>
      <c r="K45" s="45" t="s">
        <v>4185</v>
      </c>
      <c r="L45" s="45"/>
      <c r="M45" s="45" t="s">
        <v>4236</v>
      </c>
      <c r="N45" s="58">
        <f>V45/2</f>
        <v>1121400</v>
      </c>
      <c r="O45" s="58" t="e">
        <f t="shared" si="0"/>
        <v>#N/A</v>
      </c>
      <c r="P45" s="58" t="e">
        <f t="shared" si="14"/>
        <v>#N/A</v>
      </c>
      <c r="Q45" s="54" t="e">
        <f>INDEX([5]Timeline!$D$12:$D$24,MATCH(A45,[5]Timeline!$B$12:$B$24,0))</f>
        <v>#N/A</v>
      </c>
      <c r="R45" s="55">
        <v>44561</v>
      </c>
      <c r="S45" s="59">
        <f t="shared" si="15"/>
        <v>2.65</v>
      </c>
      <c r="T45" s="59">
        <f t="shared" si="16"/>
        <v>3.6</v>
      </c>
      <c r="U45" s="60">
        <f t="shared" si="29"/>
        <v>1.7</v>
      </c>
      <c r="V45" s="120">
        <v>2242800</v>
      </c>
      <c r="W45" s="57" t="e">
        <f t="shared" si="17"/>
        <v>#N/A</v>
      </c>
      <c r="X45" s="56" t="e">
        <f t="shared" si="32"/>
        <v>#N/A</v>
      </c>
      <c r="Y45" s="45">
        <v>1</v>
      </c>
      <c r="Z45" s="45">
        <v>4</v>
      </c>
      <c r="AA45" s="45">
        <v>4</v>
      </c>
      <c r="AB45" s="45">
        <v>2</v>
      </c>
      <c r="AC45" s="45">
        <v>4</v>
      </c>
      <c r="AD45" s="46">
        <f t="shared" si="3"/>
        <v>3.5</v>
      </c>
      <c r="AE45" s="45">
        <v>4</v>
      </c>
      <c r="AF45" s="45">
        <v>4</v>
      </c>
      <c r="AG45" s="45">
        <v>2</v>
      </c>
      <c r="AH45" s="45">
        <v>1</v>
      </c>
      <c r="AI45" s="46">
        <f t="shared" si="26"/>
        <v>2.75</v>
      </c>
      <c r="AJ45" s="45">
        <v>3</v>
      </c>
      <c r="AK45" s="45">
        <v>3</v>
      </c>
      <c r="AL45" s="45">
        <v>1</v>
      </c>
      <c r="AM45" s="45">
        <v>1</v>
      </c>
      <c r="AN45" s="46">
        <f t="shared" si="27"/>
        <v>2</v>
      </c>
      <c r="AO45" s="45">
        <v>4</v>
      </c>
      <c r="AP45" s="45">
        <v>2</v>
      </c>
      <c r="AQ45" s="45">
        <v>2</v>
      </c>
      <c r="AR45" s="45">
        <v>1</v>
      </c>
      <c r="AS45" s="46">
        <f t="shared" si="33"/>
        <v>2.25</v>
      </c>
      <c r="AT45" s="45">
        <v>4</v>
      </c>
      <c r="AU45" s="45">
        <v>4</v>
      </c>
      <c r="AV45" s="45">
        <v>2</v>
      </c>
      <c r="AW45" s="45">
        <v>1</v>
      </c>
      <c r="AX45" s="46">
        <f t="shared" si="28"/>
        <v>2.75</v>
      </c>
      <c r="AY45" s="45"/>
      <c r="AZ45" s="45"/>
      <c r="BA45" s="45"/>
      <c r="BB45" s="45"/>
      <c r="BC45" s="46">
        <f t="shared" si="8"/>
        <v>0</v>
      </c>
      <c r="BD45" s="45"/>
      <c r="BE45" s="45"/>
      <c r="BF45" s="45"/>
      <c r="BG45" s="45"/>
      <c r="BH45" s="45"/>
      <c r="BI45" s="45"/>
      <c r="BJ45" s="45"/>
      <c r="BK45" s="45"/>
      <c r="BL45" s="45"/>
      <c r="BM45" s="46">
        <f t="shared" si="34"/>
        <v>0</v>
      </c>
      <c r="BN45" s="45"/>
      <c r="BO45" s="45"/>
      <c r="BP45" s="45"/>
      <c r="BQ45" s="45"/>
      <c r="BR45" s="46">
        <f t="shared" si="35"/>
        <v>0</v>
      </c>
      <c r="BS45" s="45"/>
      <c r="BT45" s="45"/>
      <c r="BU45" s="45"/>
      <c r="BV45" s="45"/>
      <c r="BW45" s="46">
        <f t="shared" si="36"/>
        <v>0</v>
      </c>
    </row>
    <row r="46" spans="1:75" ht="106.5">
      <c r="A46" s="276">
        <v>5</v>
      </c>
      <c r="B46" s="50">
        <f t="shared" si="18"/>
        <v>44</v>
      </c>
      <c r="C46" s="51" t="s">
        <v>2773</v>
      </c>
      <c r="D46" s="45" t="s">
        <v>4237</v>
      </c>
      <c r="E46" s="45" t="s">
        <v>4238</v>
      </c>
      <c r="F46" s="45" t="s">
        <v>4239</v>
      </c>
      <c r="G46" s="45" t="s">
        <v>4240</v>
      </c>
      <c r="H46" s="45" t="s">
        <v>4241</v>
      </c>
      <c r="I46" s="52" t="s">
        <v>4208</v>
      </c>
      <c r="J46" s="45" t="s">
        <v>3575</v>
      </c>
      <c r="K46" s="45" t="s">
        <v>4242</v>
      </c>
      <c r="L46" s="45"/>
      <c r="M46" s="45" t="s">
        <v>2773</v>
      </c>
      <c r="N46" s="58">
        <f t="shared" si="13"/>
        <v>217500</v>
      </c>
      <c r="O46" s="58" t="e">
        <f t="shared" si="0"/>
        <v>#N/A</v>
      </c>
      <c r="P46" s="58" t="e">
        <f t="shared" si="14"/>
        <v>#N/A</v>
      </c>
      <c r="Q46" s="54" t="e">
        <f>INDEX([5]Timeline!$D$12:$D$24,MATCH(A46,[5]Timeline!$B$12:$B$24,0))</f>
        <v>#N/A</v>
      </c>
      <c r="R46" s="55">
        <v>44561</v>
      </c>
      <c r="S46" s="59">
        <f t="shared" si="15"/>
        <v>3.6</v>
      </c>
      <c r="T46" s="59">
        <f t="shared" si="16"/>
        <v>4</v>
      </c>
      <c r="U46" s="60">
        <f t="shared" si="29"/>
        <v>3.2</v>
      </c>
      <c r="V46" s="56">
        <v>217500</v>
      </c>
      <c r="W46" s="57" t="e">
        <f t="shared" si="17"/>
        <v>#N/A</v>
      </c>
      <c r="X46" s="56" t="e">
        <f t="shared" si="32"/>
        <v>#N/A</v>
      </c>
      <c r="Y46" s="45">
        <v>1</v>
      </c>
      <c r="Z46" s="45">
        <v>4</v>
      </c>
      <c r="AA46" s="45">
        <v>4</v>
      </c>
      <c r="AB46" s="45">
        <v>4</v>
      </c>
      <c r="AC46" s="45">
        <v>2</v>
      </c>
      <c r="AD46" s="46">
        <f t="shared" si="3"/>
        <v>3.5</v>
      </c>
      <c r="AE46" s="45">
        <v>4</v>
      </c>
      <c r="AF46" s="45">
        <v>4</v>
      </c>
      <c r="AG46" s="45">
        <v>4</v>
      </c>
      <c r="AH46" s="45">
        <v>2</v>
      </c>
      <c r="AI46" s="46">
        <f t="shared" si="26"/>
        <v>3.5</v>
      </c>
      <c r="AJ46" s="45">
        <v>4</v>
      </c>
      <c r="AK46" s="45">
        <v>4</v>
      </c>
      <c r="AL46" s="45">
        <v>2</v>
      </c>
      <c r="AM46" s="45">
        <v>4</v>
      </c>
      <c r="AN46" s="46">
        <f t="shared" si="27"/>
        <v>3.5</v>
      </c>
      <c r="AO46" s="45">
        <v>4</v>
      </c>
      <c r="AP46" s="45">
        <v>4</v>
      </c>
      <c r="AQ46" s="45">
        <v>4</v>
      </c>
      <c r="AR46" s="45">
        <v>4</v>
      </c>
      <c r="AS46" s="46">
        <f t="shared" si="33"/>
        <v>4</v>
      </c>
      <c r="AT46" s="45">
        <v>4</v>
      </c>
      <c r="AU46" s="45">
        <v>4</v>
      </c>
      <c r="AV46" s="45">
        <v>4</v>
      </c>
      <c r="AW46" s="45">
        <v>2</v>
      </c>
      <c r="AX46" s="46">
        <f t="shared" si="28"/>
        <v>3.5</v>
      </c>
      <c r="AY46" s="45"/>
      <c r="AZ46" s="45"/>
      <c r="BA46" s="45"/>
      <c r="BB46" s="45"/>
      <c r="BC46" s="46">
        <f t="shared" si="8"/>
        <v>0</v>
      </c>
      <c r="BD46" s="45"/>
      <c r="BE46" s="45"/>
      <c r="BF46" s="45"/>
      <c r="BG46" s="45"/>
      <c r="BH46" s="45"/>
      <c r="BI46" s="45"/>
      <c r="BJ46" s="45"/>
      <c r="BK46" s="45"/>
      <c r="BL46" s="45"/>
      <c r="BM46" s="46">
        <f t="shared" si="34"/>
        <v>0</v>
      </c>
      <c r="BN46" s="45"/>
      <c r="BO46" s="45"/>
      <c r="BP46" s="45"/>
      <c r="BQ46" s="45"/>
      <c r="BR46" s="46">
        <f t="shared" si="35"/>
        <v>0</v>
      </c>
      <c r="BS46" s="45"/>
      <c r="BT46" s="45"/>
      <c r="BU46" s="45"/>
      <c r="BV46" s="45"/>
      <c r="BW46" s="46">
        <f t="shared" si="36"/>
        <v>0</v>
      </c>
    </row>
    <row r="47" spans="1:75" ht="76.5">
      <c r="A47" s="276">
        <v>5</v>
      </c>
      <c r="B47" s="50">
        <f t="shared" si="18"/>
        <v>45</v>
      </c>
      <c r="C47" s="51" t="s">
        <v>2773</v>
      </c>
      <c r="D47" s="45" t="s">
        <v>4243</v>
      </c>
      <c r="E47" s="262" t="s">
        <v>4244</v>
      </c>
      <c r="F47" s="45" t="s">
        <v>4245</v>
      </c>
      <c r="G47" s="45" t="s">
        <v>4246</v>
      </c>
      <c r="H47" s="45" t="s">
        <v>4247</v>
      </c>
      <c r="I47" s="52" t="s">
        <v>4208</v>
      </c>
      <c r="J47" s="45" t="s">
        <v>3575</v>
      </c>
      <c r="K47" s="45" t="s">
        <v>4248</v>
      </c>
      <c r="L47" s="45"/>
      <c r="M47" s="45" t="s">
        <v>2773</v>
      </c>
      <c r="N47" s="58">
        <f t="shared" si="13"/>
        <v>244000</v>
      </c>
      <c r="O47" s="58" t="e">
        <f t="shared" si="0"/>
        <v>#N/A</v>
      </c>
      <c r="P47" s="58" t="e">
        <f t="shared" si="14"/>
        <v>#N/A</v>
      </c>
      <c r="Q47" s="54" t="e">
        <f>INDEX([5]Timeline!$D$12:$D$24,MATCH(A47,[5]Timeline!$B$12:$B$24,0))</f>
        <v>#N/A</v>
      </c>
      <c r="R47" s="55">
        <v>44561</v>
      </c>
      <c r="S47" s="59">
        <f t="shared" si="15"/>
        <v>3</v>
      </c>
      <c r="T47" s="59">
        <f t="shared" si="16"/>
        <v>3.9</v>
      </c>
      <c r="U47" s="60">
        <f t="shared" si="29"/>
        <v>2.1</v>
      </c>
      <c r="V47" s="120">
        <v>244000</v>
      </c>
      <c r="W47" s="57" t="e">
        <f t="shared" si="17"/>
        <v>#N/A</v>
      </c>
      <c r="X47" s="56" t="e">
        <f t="shared" si="32"/>
        <v>#N/A</v>
      </c>
      <c r="Y47" s="45">
        <v>1</v>
      </c>
      <c r="Z47" s="45">
        <v>4</v>
      </c>
      <c r="AA47" s="45">
        <v>4</v>
      </c>
      <c r="AB47" s="45">
        <v>4</v>
      </c>
      <c r="AC47" s="45">
        <v>1</v>
      </c>
      <c r="AD47" s="46">
        <f t="shared" si="3"/>
        <v>3.25</v>
      </c>
      <c r="AE47" s="45">
        <v>4</v>
      </c>
      <c r="AF47" s="45">
        <v>4</v>
      </c>
      <c r="AG47" s="45">
        <v>4</v>
      </c>
      <c r="AH47" s="45">
        <v>1</v>
      </c>
      <c r="AI47" s="46">
        <f t="shared" si="26"/>
        <v>3.25</v>
      </c>
      <c r="AJ47" s="45">
        <v>4</v>
      </c>
      <c r="AK47" s="45">
        <v>4</v>
      </c>
      <c r="AL47" s="45">
        <v>2</v>
      </c>
      <c r="AM47" s="45">
        <v>1</v>
      </c>
      <c r="AN47" s="46">
        <f t="shared" si="27"/>
        <v>2.75</v>
      </c>
      <c r="AO47" s="45">
        <v>4</v>
      </c>
      <c r="AP47" s="45">
        <v>4</v>
      </c>
      <c r="AQ47" s="45">
        <v>2</v>
      </c>
      <c r="AR47" s="45">
        <v>1</v>
      </c>
      <c r="AS47" s="46">
        <f t="shared" si="33"/>
        <v>2.75</v>
      </c>
      <c r="AT47" s="45">
        <v>4</v>
      </c>
      <c r="AU47" s="45">
        <v>3</v>
      </c>
      <c r="AV47" s="45">
        <v>4</v>
      </c>
      <c r="AW47" s="45">
        <v>1</v>
      </c>
      <c r="AX47" s="46">
        <f t="shared" si="28"/>
        <v>3</v>
      </c>
      <c r="AY47" s="45"/>
      <c r="AZ47" s="45"/>
      <c r="BA47" s="45"/>
      <c r="BB47" s="45"/>
      <c r="BC47" s="46">
        <f t="shared" si="8"/>
        <v>0</v>
      </c>
      <c r="BD47" s="45"/>
      <c r="BE47" s="45"/>
      <c r="BF47" s="45"/>
      <c r="BG47" s="45"/>
      <c r="BH47" s="45"/>
      <c r="BI47" s="45"/>
      <c r="BJ47" s="45"/>
      <c r="BK47" s="45"/>
      <c r="BL47" s="45"/>
      <c r="BM47" s="46">
        <f t="shared" si="34"/>
        <v>0</v>
      </c>
      <c r="BN47" s="45"/>
      <c r="BO47" s="45"/>
      <c r="BP47" s="45"/>
      <c r="BQ47" s="45"/>
      <c r="BR47" s="46">
        <f t="shared" si="35"/>
        <v>0</v>
      </c>
      <c r="BS47" s="45"/>
      <c r="BT47" s="45"/>
      <c r="BU47" s="45"/>
      <c r="BV47" s="45"/>
      <c r="BW47" s="46">
        <f t="shared" si="36"/>
        <v>0</v>
      </c>
    </row>
    <row r="48" spans="1:75" ht="91.5">
      <c r="A48" s="276">
        <v>5</v>
      </c>
      <c r="B48" s="50">
        <f t="shared" si="18"/>
        <v>46</v>
      </c>
      <c r="C48" s="51" t="s">
        <v>2817</v>
      </c>
      <c r="D48" s="45" t="s">
        <v>4249</v>
      </c>
      <c r="E48" s="45" t="s">
        <v>4250</v>
      </c>
      <c r="F48" s="45" t="s">
        <v>4251</v>
      </c>
      <c r="G48" s="74" t="s">
        <v>4252</v>
      </c>
      <c r="H48" s="45" t="s">
        <v>4253</v>
      </c>
      <c r="I48" s="52" t="s">
        <v>4208</v>
      </c>
      <c r="J48" s="45" t="s">
        <v>3575</v>
      </c>
      <c r="K48" s="45" t="s">
        <v>4196</v>
      </c>
      <c r="L48" s="45"/>
      <c r="M48" s="45" t="s">
        <v>2817</v>
      </c>
      <c r="N48" s="58">
        <f t="shared" si="13"/>
        <v>0</v>
      </c>
      <c r="O48" s="58" t="e">
        <f t="shared" si="0"/>
        <v>#N/A</v>
      </c>
      <c r="P48" s="58" t="e">
        <f t="shared" si="14"/>
        <v>#N/A</v>
      </c>
      <c r="Q48" s="54" t="e">
        <f>INDEX([5]Timeline!$D$12:$D$24,MATCH(A48,[5]Timeline!$B$12:$B$24,0))</f>
        <v>#N/A</v>
      </c>
      <c r="R48" s="55">
        <v>44561</v>
      </c>
      <c r="S48" s="59">
        <f t="shared" si="15"/>
        <v>2.25</v>
      </c>
      <c r="T48" s="59">
        <f t="shared" si="16"/>
        <v>3</v>
      </c>
      <c r="U48" s="60">
        <f t="shared" si="29"/>
        <v>1.5</v>
      </c>
      <c r="V48" s="56">
        <v>0</v>
      </c>
      <c r="W48" s="57" t="e">
        <f t="shared" si="17"/>
        <v>#N/A</v>
      </c>
      <c r="X48" s="56" t="e">
        <f t="shared" si="32"/>
        <v>#N/A</v>
      </c>
      <c r="Y48" s="45">
        <v>1</v>
      </c>
      <c r="Z48" s="45">
        <v>4</v>
      </c>
      <c r="AA48" s="45">
        <v>3</v>
      </c>
      <c r="AB48" s="45">
        <v>2</v>
      </c>
      <c r="AC48" s="45">
        <v>1</v>
      </c>
      <c r="AD48" s="46">
        <f t="shared" si="3"/>
        <v>2.5</v>
      </c>
      <c r="AE48" s="45">
        <v>3</v>
      </c>
      <c r="AF48" s="45">
        <v>2</v>
      </c>
      <c r="AG48" s="45">
        <v>2</v>
      </c>
      <c r="AH48" s="45">
        <v>1</v>
      </c>
      <c r="AI48" s="46">
        <f t="shared" si="26"/>
        <v>2</v>
      </c>
      <c r="AJ48" s="45">
        <v>4</v>
      </c>
      <c r="AK48" s="45">
        <v>3</v>
      </c>
      <c r="AL48" s="45">
        <v>2</v>
      </c>
      <c r="AM48" s="45">
        <v>1</v>
      </c>
      <c r="AN48" s="46">
        <f t="shared" si="27"/>
        <v>2.5</v>
      </c>
      <c r="AO48" s="45">
        <v>3</v>
      </c>
      <c r="AP48" s="45">
        <v>3</v>
      </c>
      <c r="AQ48" s="45">
        <v>2</v>
      </c>
      <c r="AR48" s="45">
        <v>1</v>
      </c>
      <c r="AS48" s="46">
        <f t="shared" si="33"/>
        <v>2.25</v>
      </c>
      <c r="AT48" s="45">
        <v>3</v>
      </c>
      <c r="AU48" s="45">
        <v>2</v>
      </c>
      <c r="AV48" s="45">
        <v>2</v>
      </c>
      <c r="AW48" s="45">
        <v>1</v>
      </c>
      <c r="AX48" s="46">
        <f t="shared" si="28"/>
        <v>2</v>
      </c>
      <c r="AY48" s="45"/>
      <c r="AZ48" s="45"/>
      <c r="BA48" s="45"/>
      <c r="BB48" s="45"/>
      <c r="BC48" s="46">
        <f t="shared" si="8"/>
        <v>0</v>
      </c>
      <c r="BD48" s="45"/>
      <c r="BE48" s="45"/>
      <c r="BF48" s="45"/>
      <c r="BG48" s="45"/>
      <c r="BH48" s="45"/>
      <c r="BI48" s="45"/>
      <c r="BJ48" s="45"/>
      <c r="BK48" s="45"/>
      <c r="BL48" s="45"/>
      <c r="BM48" s="46">
        <f t="shared" si="34"/>
        <v>0</v>
      </c>
      <c r="BN48" s="45"/>
      <c r="BO48" s="45"/>
      <c r="BP48" s="45"/>
      <c r="BQ48" s="45"/>
      <c r="BR48" s="46">
        <f t="shared" si="35"/>
        <v>0</v>
      </c>
      <c r="BS48" s="45"/>
      <c r="BT48" s="45"/>
      <c r="BU48" s="45"/>
      <c r="BV48" s="45"/>
      <c r="BW48" s="46">
        <f t="shared" si="36"/>
        <v>0</v>
      </c>
    </row>
    <row r="49" spans="1:75" customFormat="1" ht="76.5">
      <c r="A49" s="276">
        <v>6</v>
      </c>
      <c r="B49" s="50">
        <f t="shared" si="18"/>
        <v>47</v>
      </c>
      <c r="C49" s="51" t="s">
        <v>3619</v>
      </c>
      <c r="D49" s="45" t="s">
        <v>3619</v>
      </c>
      <c r="E49" s="45" t="s">
        <v>4254</v>
      </c>
      <c r="F49" s="45" t="s">
        <v>4255</v>
      </c>
      <c r="G49" s="53" t="s">
        <v>4256</v>
      </c>
      <c r="H49" s="53" t="s">
        <v>4257</v>
      </c>
      <c r="I49" s="279" t="s">
        <v>4258</v>
      </c>
      <c r="J49" s="45" t="s">
        <v>3575</v>
      </c>
      <c r="K49" s="189" t="s">
        <v>4259</v>
      </c>
      <c r="L49" s="189"/>
      <c r="M49" s="45" t="s">
        <v>3619</v>
      </c>
      <c r="N49" s="58">
        <f t="shared" si="13"/>
        <v>51000</v>
      </c>
      <c r="O49" s="58" t="e">
        <f t="shared" si="0"/>
        <v>#N/A</v>
      </c>
      <c r="P49" s="58" t="e">
        <f t="shared" si="14"/>
        <v>#N/A</v>
      </c>
      <c r="Q49" s="54" t="e">
        <f>INDEX([5]Timeline!$D$12:$D$24,MATCH(A49,[5]Timeline!$B$12:$B$24,0))</f>
        <v>#N/A</v>
      </c>
      <c r="R49" s="55">
        <v>44561</v>
      </c>
      <c r="S49" s="59">
        <f t="shared" si="15"/>
        <v>3</v>
      </c>
      <c r="T49" s="59">
        <f t="shared" si="16"/>
        <v>3.75</v>
      </c>
      <c r="U49" s="60">
        <f t="shared" si="29"/>
        <v>2.25</v>
      </c>
      <c r="V49" s="56">
        <v>51000</v>
      </c>
      <c r="W49" s="57" t="e">
        <f t="shared" si="17"/>
        <v>#N/A</v>
      </c>
      <c r="X49" s="56" t="e">
        <f t="shared" si="32"/>
        <v>#N/A</v>
      </c>
      <c r="Y49" s="45">
        <v>1</v>
      </c>
      <c r="Z49" s="45">
        <v>4</v>
      </c>
      <c r="AA49" s="45">
        <v>4</v>
      </c>
      <c r="AB49" s="45">
        <v>2</v>
      </c>
      <c r="AC49" s="45">
        <v>2</v>
      </c>
      <c r="AD49" s="46">
        <f t="shared" si="3"/>
        <v>3</v>
      </c>
      <c r="AE49" s="45">
        <v>4</v>
      </c>
      <c r="AF49" s="45">
        <v>4</v>
      </c>
      <c r="AG49" s="45">
        <v>2</v>
      </c>
      <c r="AH49" s="45">
        <v>3</v>
      </c>
      <c r="AI49" s="46">
        <f t="shared" si="26"/>
        <v>3.25</v>
      </c>
      <c r="AJ49" s="45">
        <v>4</v>
      </c>
      <c r="AK49" s="45">
        <v>4</v>
      </c>
      <c r="AL49" s="45">
        <v>2</v>
      </c>
      <c r="AM49" s="45">
        <v>4</v>
      </c>
      <c r="AN49" s="46">
        <f t="shared" si="27"/>
        <v>3.5</v>
      </c>
      <c r="AO49" s="45">
        <v>3</v>
      </c>
      <c r="AP49" s="45">
        <v>3</v>
      </c>
      <c r="AQ49" s="45">
        <v>1</v>
      </c>
      <c r="AR49" s="45">
        <v>2</v>
      </c>
      <c r="AS49" s="46">
        <f t="shared" si="33"/>
        <v>2.25</v>
      </c>
      <c r="AT49" s="45"/>
      <c r="AU49" s="45"/>
      <c r="AV49" s="45"/>
      <c r="AW49" s="45"/>
      <c r="AX49" s="46">
        <f t="shared" si="28"/>
        <v>0</v>
      </c>
      <c r="AY49" s="45"/>
      <c r="AZ49" s="45"/>
      <c r="BA49" s="45"/>
      <c r="BB49" s="45"/>
      <c r="BC49" s="46">
        <f t="shared" si="8"/>
        <v>0</v>
      </c>
      <c r="BD49" s="45"/>
      <c r="BE49" s="45"/>
      <c r="BF49" s="45"/>
      <c r="BG49" s="45"/>
      <c r="BH49" s="45"/>
      <c r="BI49" s="45"/>
      <c r="BJ49" s="45"/>
      <c r="BK49" s="45"/>
      <c r="BL49" s="45"/>
      <c r="BM49" s="46">
        <f t="shared" si="34"/>
        <v>0</v>
      </c>
      <c r="BN49" s="45"/>
      <c r="BO49" s="45"/>
      <c r="BP49" s="45"/>
      <c r="BQ49" s="45"/>
      <c r="BR49" s="46">
        <f t="shared" si="35"/>
        <v>0</v>
      </c>
      <c r="BS49" s="45"/>
      <c r="BT49" s="45"/>
      <c r="BU49" s="45"/>
      <c r="BV49" s="45"/>
      <c r="BW49" s="46">
        <f t="shared" si="36"/>
        <v>0</v>
      </c>
    </row>
    <row r="50" spans="1:75" customFormat="1" ht="76.5">
      <c r="A50" s="276">
        <v>6</v>
      </c>
      <c r="B50" s="50">
        <f t="shared" si="18"/>
        <v>48</v>
      </c>
      <c r="C50" s="51" t="s">
        <v>2817</v>
      </c>
      <c r="D50" s="45" t="s">
        <v>2817</v>
      </c>
      <c r="E50" s="45" t="s">
        <v>4260</v>
      </c>
      <c r="F50" s="45" t="s">
        <v>4261</v>
      </c>
      <c r="G50" s="53" t="s">
        <v>4262</v>
      </c>
      <c r="H50" s="53" t="s">
        <v>4263</v>
      </c>
      <c r="I50" s="279" t="s">
        <v>4258</v>
      </c>
      <c r="J50" s="45" t="s">
        <v>3575</v>
      </c>
      <c r="K50" s="189" t="s">
        <v>4264</v>
      </c>
      <c r="L50" s="189"/>
      <c r="M50" s="45" t="s">
        <v>2817</v>
      </c>
      <c r="N50" s="58">
        <f t="shared" si="13"/>
        <v>525000</v>
      </c>
      <c r="O50" s="58" t="e">
        <f t="shared" si="0"/>
        <v>#N/A</v>
      </c>
      <c r="P50" s="58" t="e">
        <f t="shared" si="14"/>
        <v>#N/A</v>
      </c>
      <c r="Q50" s="54" t="e">
        <f>INDEX([5]Timeline!$D$12:$D$24,MATCH(A50,[5]Timeline!$B$12:$B$24,0))</f>
        <v>#N/A</v>
      </c>
      <c r="R50" s="55">
        <v>44561</v>
      </c>
      <c r="S50" s="59">
        <f t="shared" si="15"/>
        <v>2.875</v>
      </c>
      <c r="T50" s="59">
        <f t="shared" si="16"/>
        <v>3.75</v>
      </c>
      <c r="U50" s="60">
        <f t="shared" si="29"/>
        <v>2</v>
      </c>
      <c r="V50" s="56">
        <v>525000</v>
      </c>
      <c r="W50" s="57" t="e">
        <f t="shared" si="17"/>
        <v>#N/A</v>
      </c>
      <c r="X50" s="56" t="e">
        <f t="shared" si="32"/>
        <v>#N/A</v>
      </c>
      <c r="Y50" s="45">
        <v>1</v>
      </c>
      <c r="Z50" s="45">
        <v>4</v>
      </c>
      <c r="AA50" s="45">
        <v>4</v>
      </c>
      <c r="AB50" s="45">
        <v>2</v>
      </c>
      <c r="AC50" s="45">
        <v>2</v>
      </c>
      <c r="AD50" s="46">
        <f t="shared" si="3"/>
        <v>3</v>
      </c>
      <c r="AE50" s="45">
        <v>4</v>
      </c>
      <c r="AF50" s="45">
        <v>4</v>
      </c>
      <c r="AG50" s="45">
        <v>2</v>
      </c>
      <c r="AH50" s="45">
        <v>2</v>
      </c>
      <c r="AI50" s="46">
        <f t="shared" si="26"/>
        <v>3</v>
      </c>
      <c r="AJ50" s="45">
        <v>4</v>
      </c>
      <c r="AK50" s="45">
        <v>4</v>
      </c>
      <c r="AL50" s="45">
        <v>2</v>
      </c>
      <c r="AM50" s="45">
        <v>2</v>
      </c>
      <c r="AN50" s="46">
        <f t="shared" si="27"/>
        <v>3</v>
      </c>
      <c r="AO50" s="45">
        <v>3</v>
      </c>
      <c r="AP50" s="45">
        <v>3</v>
      </c>
      <c r="AQ50" s="45">
        <v>3</v>
      </c>
      <c r="AR50" s="45">
        <v>1</v>
      </c>
      <c r="AS50" s="46">
        <f t="shared" si="33"/>
        <v>2.5</v>
      </c>
      <c r="AT50" s="45"/>
      <c r="AU50" s="45"/>
      <c r="AV50" s="45"/>
      <c r="AW50" s="45"/>
      <c r="AX50" s="46">
        <f t="shared" si="28"/>
        <v>0</v>
      </c>
      <c r="AY50" s="45"/>
      <c r="AZ50" s="45"/>
      <c r="BA50" s="45"/>
      <c r="BB50" s="45"/>
      <c r="BC50" s="46">
        <f t="shared" si="8"/>
        <v>0</v>
      </c>
      <c r="BD50" s="45"/>
      <c r="BE50" s="45"/>
      <c r="BF50" s="45"/>
      <c r="BG50" s="45"/>
      <c r="BH50" s="45"/>
      <c r="BI50" s="45"/>
      <c r="BJ50" s="45"/>
      <c r="BK50" s="45"/>
      <c r="BL50" s="45"/>
      <c r="BM50" s="46">
        <f t="shared" si="34"/>
        <v>0</v>
      </c>
      <c r="BN50" s="45"/>
      <c r="BO50" s="45"/>
      <c r="BP50" s="45"/>
      <c r="BQ50" s="45"/>
      <c r="BR50" s="46">
        <f t="shared" si="35"/>
        <v>0</v>
      </c>
      <c r="BS50" s="45"/>
      <c r="BT50" s="45"/>
      <c r="BU50" s="45"/>
      <c r="BV50" s="45"/>
      <c r="BW50" s="46">
        <f t="shared" si="36"/>
        <v>0</v>
      </c>
    </row>
    <row r="51" spans="1:75" customFormat="1" ht="106.5">
      <c r="A51" s="276">
        <v>6</v>
      </c>
      <c r="B51" s="50">
        <f t="shared" si="18"/>
        <v>49</v>
      </c>
      <c r="C51" s="51" t="s">
        <v>2914</v>
      </c>
      <c r="D51" s="45" t="s">
        <v>4265</v>
      </c>
      <c r="E51" s="45" t="s">
        <v>4266</v>
      </c>
      <c r="F51" s="45" t="s">
        <v>4267</v>
      </c>
      <c r="G51" s="53" t="s">
        <v>4268</v>
      </c>
      <c r="H51" s="53" t="s">
        <v>4269</v>
      </c>
      <c r="I51" s="279" t="s">
        <v>4258</v>
      </c>
      <c r="J51" s="45" t="s">
        <v>3575</v>
      </c>
      <c r="K51" s="189" t="s">
        <v>4196</v>
      </c>
      <c r="L51" s="189"/>
      <c r="M51" s="45" t="str">
        <f t="shared" ref="M51:M53" si="38">D51</f>
        <v>WH Neglasari</v>
      </c>
      <c r="N51" s="58">
        <f t="shared" si="13"/>
        <v>0</v>
      </c>
      <c r="O51" s="58" t="e">
        <f t="shared" si="0"/>
        <v>#N/A</v>
      </c>
      <c r="P51" s="58" t="e">
        <f t="shared" si="14"/>
        <v>#N/A</v>
      </c>
      <c r="Q51" s="54" t="e">
        <f>INDEX([5]Timeline!$D$12:$D$24,MATCH(A51,[5]Timeline!$B$12:$B$24,0))</f>
        <v>#N/A</v>
      </c>
      <c r="R51" s="55">
        <v>44561</v>
      </c>
      <c r="S51" s="59">
        <f t="shared" si="15"/>
        <v>2.8125</v>
      </c>
      <c r="T51" s="59">
        <f t="shared" si="16"/>
        <v>3.625</v>
      </c>
      <c r="U51" s="60">
        <f t="shared" si="29"/>
        <v>2</v>
      </c>
      <c r="V51" s="56">
        <v>0</v>
      </c>
      <c r="W51" s="57" t="e">
        <f t="shared" si="17"/>
        <v>#N/A</v>
      </c>
      <c r="X51" s="56" t="e">
        <f t="shared" si="32"/>
        <v>#N/A</v>
      </c>
      <c r="Y51" s="45">
        <v>1</v>
      </c>
      <c r="Z51" s="45">
        <v>4</v>
      </c>
      <c r="AA51" s="45">
        <v>4</v>
      </c>
      <c r="AB51" s="45">
        <v>2</v>
      </c>
      <c r="AC51" s="45">
        <v>2</v>
      </c>
      <c r="AD51" s="46">
        <f t="shared" si="3"/>
        <v>3</v>
      </c>
      <c r="AE51" s="45">
        <v>4</v>
      </c>
      <c r="AF51" s="45">
        <v>4</v>
      </c>
      <c r="AG51" s="45">
        <v>2</v>
      </c>
      <c r="AH51" s="45">
        <v>2</v>
      </c>
      <c r="AI51" s="46">
        <f t="shared" si="26"/>
        <v>3</v>
      </c>
      <c r="AJ51" s="45">
        <v>3</v>
      </c>
      <c r="AK51" s="45">
        <v>3</v>
      </c>
      <c r="AL51" s="45">
        <v>2</v>
      </c>
      <c r="AM51" s="45">
        <v>2</v>
      </c>
      <c r="AN51" s="46">
        <f t="shared" si="27"/>
        <v>2.5</v>
      </c>
      <c r="AO51" s="45">
        <v>4</v>
      </c>
      <c r="AP51" s="45">
        <v>3</v>
      </c>
      <c r="AQ51" s="45">
        <v>2</v>
      </c>
      <c r="AR51" s="45">
        <v>2</v>
      </c>
      <c r="AS51" s="46">
        <f t="shared" si="33"/>
        <v>2.75</v>
      </c>
      <c r="AT51" s="45"/>
      <c r="AU51" s="45"/>
      <c r="AV51" s="45"/>
      <c r="AW51" s="45"/>
      <c r="AX51" s="46">
        <f t="shared" si="28"/>
        <v>0</v>
      </c>
      <c r="AY51" s="45"/>
      <c r="AZ51" s="45"/>
      <c r="BA51" s="45"/>
      <c r="BB51" s="45"/>
      <c r="BC51" s="46">
        <f t="shared" si="8"/>
        <v>0</v>
      </c>
      <c r="BD51" s="45"/>
      <c r="BE51" s="45"/>
      <c r="BF51" s="45"/>
      <c r="BG51" s="45"/>
      <c r="BH51" s="45"/>
      <c r="BI51" s="45"/>
      <c r="BJ51" s="45"/>
      <c r="BK51" s="45"/>
      <c r="BL51" s="45"/>
      <c r="BM51" s="46">
        <f t="shared" si="34"/>
        <v>0</v>
      </c>
      <c r="BN51" s="45"/>
      <c r="BO51" s="45"/>
      <c r="BP51" s="45"/>
      <c r="BQ51" s="45"/>
      <c r="BR51" s="46">
        <f t="shared" si="35"/>
        <v>0</v>
      </c>
      <c r="BS51" s="45"/>
      <c r="BT51" s="45"/>
      <c r="BU51" s="45"/>
      <c r="BV51" s="45"/>
      <c r="BW51" s="46">
        <f t="shared" si="36"/>
        <v>0</v>
      </c>
    </row>
    <row r="52" spans="1:75" ht="76.5">
      <c r="A52" s="45">
        <v>6</v>
      </c>
      <c r="B52" s="50">
        <f t="shared" si="18"/>
        <v>50</v>
      </c>
      <c r="C52" s="51" t="s">
        <v>2914</v>
      </c>
      <c r="D52" s="45" t="s">
        <v>4265</v>
      </c>
      <c r="E52" s="45" t="s">
        <v>4270</v>
      </c>
      <c r="F52" s="45" t="s">
        <v>4271</v>
      </c>
      <c r="G52" s="45" t="s">
        <v>4272</v>
      </c>
      <c r="H52" s="45" t="s">
        <v>4273</v>
      </c>
      <c r="I52" s="279" t="s">
        <v>4258</v>
      </c>
      <c r="J52" s="45" t="s">
        <v>3575</v>
      </c>
      <c r="K52" s="45" t="s">
        <v>4259</v>
      </c>
      <c r="L52" s="45"/>
      <c r="M52" s="45" t="str">
        <f t="shared" si="38"/>
        <v>WH Neglasari</v>
      </c>
      <c r="N52" s="58">
        <f t="shared" si="13"/>
        <v>22000</v>
      </c>
      <c r="O52" s="58" t="e">
        <f t="shared" si="0"/>
        <v>#N/A</v>
      </c>
      <c r="P52" s="58" t="e">
        <f t="shared" si="14"/>
        <v>#N/A</v>
      </c>
      <c r="Q52" s="54" t="e">
        <f>INDEX([5]Timeline!$D$12:$D$24,MATCH(A52,[5]Timeline!$B$12:$B$24,0))</f>
        <v>#N/A</v>
      </c>
      <c r="R52" s="55">
        <v>44561</v>
      </c>
      <c r="S52" s="59">
        <f t="shared" si="15"/>
        <v>2.6875</v>
      </c>
      <c r="T52" s="59">
        <f t="shared" si="16"/>
        <v>3.375</v>
      </c>
      <c r="U52" s="60">
        <f t="shared" si="29"/>
        <v>2</v>
      </c>
      <c r="V52" s="56">
        <v>22000</v>
      </c>
      <c r="W52" s="57" t="e">
        <f t="shared" si="17"/>
        <v>#N/A</v>
      </c>
      <c r="X52" s="56" t="e">
        <f t="shared" si="32"/>
        <v>#N/A</v>
      </c>
      <c r="Y52" s="45">
        <v>1</v>
      </c>
      <c r="Z52" s="45">
        <v>4</v>
      </c>
      <c r="AA52" s="45">
        <v>3</v>
      </c>
      <c r="AB52" s="45">
        <v>2</v>
      </c>
      <c r="AC52" s="45">
        <v>2</v>
      </c>
      <c r="AD52" s="46">
        <f t="shared" si="3"/>
        <v>2.75</v>
      </c>
      <c r="AE52" s="45">
        <v>4</v>
      </c>
      <c r="AF52" s="45">
        <v>3</v>
      </c>
      <c r="AG52" s="45">
        <v>2</v>
      </c>
      <c r="AH52" s="45">
        <v>2</v>
      </c>
      <c r="AI52" s="46">
        <f t="shared" si="26"/>
        <v>2.75</v>
      </c>
      <c r="AJ52" s="45">
        <v>3</v>
      </c>
      <c r="AK52" s="45">
        <v>3</v>
      </c>
      <c r="AL52" s="45">
        <v>2</v>
      </c>
      <c r="AM52" s="45">
        <v>2</v>
      </c>
      <c r="AN52" s="46">
        <f t="shared" si="27"/>
        <v>2.5</v>
      </c>
      <c r="AO52" s="45">
        <v>4</v>
      </c>
      <c r="AP52" s="45">
        <v>3</v>
      </c>
      <c r="AQ52" s="45">
        <v>2</v>
      </c>
      <c r="AR52" s="45">
        <v>2</v>
      </c>
      <c r="AS52" s="46">
        <f t="shared" si="33"/>
        <v>2.75</v>
      </c>
      <c r="AT52" s="45"/>
      <c r="AU52" s="45"/>
      <c r="AV52" s="45"/>
      <c r="AW52" s="45"/>
      <c r="AX52" s="46">
        <f t="shared" si="28"/>
        <v>0</v>
      </c>
      <c r="AY52" s="45"/>
      <c r="AZ52" s="45"/>
      <c r="BA52" s="45"/>
      <c r="BB52" s="45"/>
      <c r="BC52" s="46">
        <f t="shared" si="8"/>
        <v>0</v>
      </c>
      <c r="BD52" s="45"/>
      <c r="BE52" s="45"/>
      <c r="BF52" s="45"/>
      <c r="BG52" s="45"/>
      <c r="BH52" s="45"/>
      <c r="BI52" s="45"/>
      <c r="BJ52" s="45"/>
      <c r="BK52" s="45"/>
      <c r="BL52" s="45"/>
      <c r="BM52" s="46">
        <f t="shared" si="34"/>
        <v>0</v>
      </c>
      <c r="BN52" s="45"/>
      <c r="BO52" s="45"/>
      <c r="BP52" s="45"/>
      <c r="BQ52" s="45"/>
      <c r="BR52" s="46">
        <f t="shared" si="35"/>
        <v>0</v>
      </c>
      <c r="BS52" s="45"/>
      <c r="BT52" s="45"/>
      <c r="BU52" s="45"/>
      <c r="BV52" s="45"/>
      <c r="BW52" s="46">
        <f t="shared" si="36"/>
        <v>0</v>
      </c>
    </row>
    <row r="53" spans="1:75" ht="76.5">
      <c r="A53" s="45">
        <v>6</v>
      </c>
      <c r="B53" s="50">
        <f t="shared" si="18"/>
        <v>51</v>
      </c>
      <c r="C53" s="51" t="s">
        <v>2914</v>
      </c>
      <c r="D53" s="45" t="s">
        <v>4274</v>
      </c>
      <c r="E53" s="45" t="s">
        <v>774</v>
      </c>
      <c r="F53" s="45" t="s">
        <v>4275</v>
      </c>
      <c r="G53" s="45" t="s">
        <v>4276</v>
      </c>
      <c r="H53" s="45" t="s">
        <v>4277</v>
      </c>
      <c r="I53" s="279" t="s">
        <v>4258</v>
      </c>
      <c r="J53" s="45" t="s">
        <v>3575</v>
      </c>
      <c r="K53" s="45" t="s">
        <v>4259</v>
      </c>
      <c r="L53" s="45"/>
      <c r="M53" s="45" t="str">
        <f t="shared" si="38"/>
        <v>WH Sleman</v>
      </c>
      <c r="N53" s="58">
        <f t="shared" si="13"/>
        <v>9712.3333333333339</v>
      </c>
      <c r="O53" s="58" t="e">
        <f t="shared" si="0"/>
        <v>#N/A</v>
      </c>
      <c r="P53" s="58" t="e">
        <f t="shared" si="14"/>
        <v>#N/A</v>
      </c>
      <c r="Q53" s="54" t="e">
        <f>INDEX([5]Timeline!$D$12:$D$24,MATCH(A53,[5]Timeline!$B$12:$B$24,0))</f>
        <v>#N/A</v>
      </c>
      <c r="R53" s="55">
        <v>44561</v>
      </c>
      <c r="S53" s="59">
        <f t="shared" si="15"/>
        <v>3.875</v>
      </c>
      <c r="T53" s="59">
        <f t="shared" si="16"/>
        <v>3.875</v>
      </c>
      <c r="U53" s="60">
        <f t="shared" si="29"/>
        <v>3.875</v>
      </c>
      <c r="V53" s="56">
        <f>116548/12</f>
        <v>9712.3333333333339</v>
      </c>
      <c r="W53" s="57" t="e">
        <f t="shared" si="17"/>
        <v>#N/A</v>
      </c>
      <c r="X53" s="56" t="e">
        <f t="shared" si="32"/>
        <v>#N/A</v>
      </c>
      <c r="Y53" s="45">
        <v>1</v>
      </c>
      <c r="Z53" s="45">
        <v>4</v>
      </c>
      <c r="AA53" s="45">
        <v>3</v>
      </c>
      <c r="AB53" s="45">
        <v>4</v>
      </c>
      <c r="AC53" s="45">
        <v>4</v>
      </c>
      <c r="AD53" s="46">
        <f t="shared" si="3"/>
        <v>3.75</v>
      </c>
      <c r="AE53" s="45">
        <v>4</v>
      </c>
      <c r="AF53" s="45">
        <v>4</v>
      </c>
      <c r="AG53" s="45">
        <v>4</v>
      </c>
      <c r="AH53" s="45">
        <v>4</v>
      </c>
      <c r="AI53" s="46">
        <f t="shared" si="26"/>
        <v>4</v>
      </c>
      <c r="AJ53" s="45">
        <v>4</v>
      </c>
      <c r="AK53" s="45">
        <v>4</v>
      </c>
      <c r="AL53" s="45">
        <v>4</v>
      </c>
      <c r="AM53" s="45">
        <v>4</v>
      </c>
      <c r="AN53" s="46">
        <f t="shared" si="27"/>
        <v>4</v>
      </c>
      <c r="AO53" s="45">
        <v>4</v>
      </c>
      <c r="AP53" s="45">
        <v>4</v>
      </c>
      <c r="AQ53" s="45">
        <v>3</v>
      </c>
      <c r="AR53" s="45">
        <v>4</v>
      </c>
      <c r="AS53" s="46">
        <f t="shared" si="33"/>
        <v>3.75</v>
      </c>
      <c r="AT53" s="45"/>
      <c r="AU53" s="45"/>
      <c r="AV53" s="45"/>
      <c r="AW53" s="45"/>
      <c r="AX53" s="46">
        <f t="shared" si="28"/>
        <v>0</v>
      </c>
      <c r="AY53" s="45"/>
      <c r="AZ53" s="45"/>
      <c r="BA53" s="45"/>
      <c r="BB53" s="45"/>
      <c r="BC53" s="46">
        <f t="shared" si="8"/>
        <v>0</v>
      </c>
      <c r="BD53" s="45"/>
      <c r="BE53" s="45"/>
      <c r="BF53" s="45"/>
      <c r="BG53" s="45"/>
      <c r="BH53" s="45"/>
      <c r="BI53" s="45"/>
      <c r="BJ53" s="45"/>
      <c r="BK53" s="45"/>
      <c r="BL53" s="45"/>
      <c r="BM53" s="46">
        <f t="shared" si="34"/>
        <v>0</v>
      </c>
      <c r="BN53" s="45"/>
      <c r="BO53" s="45"/>
      <c r="BP53" s="45"/>
      <c r="BQ53" s="45"/>
      <c r="BR53" s="46">
        <f t="shared" si="35"/>
        <v>0</v>
      </c>
      <c r="BS53" s="45"/>
      <c r="BT53" s="45"/>
      <c r="BU53" s="45"/>
      <c r="BV53" s="45"/>
      <c r="BW53" s="46">
        <f t="shared" si="36"/>
        <v>0</v>
      </c>
    </row>
    <row r="54" spans="1:75" ht="76.5">
      <c r="A54" s="45">
        <v>6</v>
      </c>
      <c r="B54" s="50">
        <f t="shared" si="18"/>
        <v>52</v>
      </c>
      <c r="C54" s="51" t="s">
        <v>2854</v>
      </c>
      <c r="D54" s="45" t="s">
        <v>4278</v>
      </c>
      <c r="E54" s="45" t="s">
        <v>3859</v>
      </c>
      <c r="F54" s="45" t="s">
        <v>4279</v>
      </c>
      <c r="G54" s="45" t="s">
        <v>4280</v>
      </c>
      <c r="H54" s="45" t="s">
        <v>4281</v>
      </c>
      <c r="I54" s="279" t="s">
        <v>4258</v>
      </c>
      <c r="J54" s="45" t="s">
        <v>3575</v>
      </c>
      <c r="K54" s="45" t="s">
        <v>4185</v>
      </c>
      <c r="L54" s="45"/>
      <c r="M54" s="45" t="s">
        <v>4282</v>
      </c>
      <c r="N54" s="58">
        <f t="shared" si="13"/>
        <v>843668</v>
      </c>
      <c r="O54" s="58" t="e">
        <f t="shared" si="0"/>
        <v>#N/A</v>
      </c>
      <c r="P54" s="58" t="e">
        <f t="shared" si="14"/>
        <v>#N/A</v>
      </c>
      <c r="Q54" s="54" t="e">
        <f>INDEX([5]Timeline!$D$12:$D$24,MATCH(A54,[5]Timeline!$B$12:$B$24,0))</f>
        <v>#N/A</v>
      </c>
      <c r="R54" s="55">
        <v>44561</v>
      </c>
      <c r="S54" s="59">
        <f t="shared" si="15"/>
        <v>2.75</v>
      </c>
      <c r="T54" s="59">
        <f t="shared" si="16"/>
        <v>4</v>
      </c>
      <c r="U54" s="60">
        <f t="shared" si="29"/>
        <v>1.5</v>
      </c>
      <c r="V54" s="57">
        <f>210917*4</f>
        <v>843668</v>
      </c>
      <c r="W54" s="57" t="e">
        <f t="shared" si="17"/>
        <v>#N/A</v>
      </c>
      <c r="X54" s="56" t="e">
        <f t="shared" si="32"/>
        <v>#N/A</v>
      </c>
      <c r="Y54" s="45">
        <v>1</v>
      </c>
      <c r="Z54" s="45">
        <v>4</v>
      </c>
      <c r="AA54" s="45">
        <v>4</v>
      </c>
      <c r="AB54" s="45">
        <v>1</v>
      </c>
      <c r="AC54" s="45">
        <v>2</v>
      </c>
      <c r="AD54" s="46">
        <f t="shared" si="3"/>
        <v>2.75</v>
      </c>
      <c r="AE54" s="45">
        <v>4</v>
      </c>
      <c r="AF54" s="45">
        <v>4</v>
      </c>
      <c r="AG54" s="45">
        <v>1</v>
      </c>
      <c r="AH54" s="45">
        <v>2</v>
      </c>
      <c r="AI54" s="46">
        <f t="shared" si="26"/>
        <v>2.75</v>
      </c>
      <c r="AJ54" s="45">
        <v>4</v>
      </c>
      <c r="AK54" s="45">
        <v>4</v>
      </c>
      <c r="AL54" s="45">
        <v>1</v>
      </c>
      <c r="AM54" s="45">
        <v>2</v>
      </c>
      <c r="AN54" s="46">
        <f t="shared" si="27"/>
        <v>2.75</v>
      </c>
      <c r="AO54" s="45">
        <v>4</v>
      </c>
      <c r="AP54" s="45">
        <v>4</v>
      </c>
      <c r="AQ54" s="45">
        <v>1</v>
      </c>
      <c r="AR54" s="45">
        <v>2</v>
      </c>
      <c r="AS54" s="46">
        <f t="shared" si="33"/>
        <v>2.75</v>
      </c>
      <c r="AT54" s="45"/>
      <c r="AU54" s="45"/>
      <c r="AV54" s="45"/>
      <c r="AW54" s="45"/>
      <c r="AX54" s="46">
        <f t="shared" si="28"/>
        <v>0</v>
      </c>
      <c r="AY54" s="45"/>
      <c r="AZ54" s="45"/>
      <c r="BA54" s="45"/>
      <c r="BB54" s="45"/>
      <c r="BC54" s="46">
        <f t="shared" si="8"/>
        <v>0</v>
      </c>
      <c r="BD54" s="45"/>
      <c r="BE54" s="45"/>
      <c r="BF54" s="45"/>
      <c r="BG54" s="45"/>
      <c r="BH54" s="45"/>
      <c r="BI54" s="45"/>
      <c r="BJ54" s="45"/>
      <c r="BK54" s="45"/>
      <c r="BL54" s="45"/>
      <c r="BM54" s="46">
        <f t="shared" si="34"/>
        <v>0</v>
      </c>
      <c r="BN54" s="45"/>
      <c r="BO54" s="45"/>
      <c r="BP54" s="45"/>
      <c r="BQ54" s="45"/>
      <c r="BR54" s="46">
        <f t="shared" si="35"/>
        <v>0</v>
      </c>
      <c r="BS54" s="45"/>
      <c r="BT54" s="45"/>
      <c r="BU54" s="45"/>
      <c r="BV54" s="45"/>
      <c r="BW54" s="46">
        <f t="shared" si="36"/>
        <v>0</v>
      </c>
    </row>
    <row r="55" spans="1:75" ht="76.5">
      <c r="A55" s="45">
        <v>6</v>
      </c>
      <c r="B55" s="50">
        <f t="shared" si="18"/>
        <v>53</v>
      </c>
      <c r="C55" s="51" t="s">
        <v>2773</v>
      </c>
      <c r="D55" s="45" t="s">
        <v>4283</v>
      </c>
      <c r="E55" s="45" t="s">
        <v>4284</v>
      </c>
      <c r="F55" s="278" t="s">
        <v>4285</v>
      </c>
      <c r="G55" s="45" t="s">
        <v>4286</v>
      </c>
      <c r="H55" s="45" t="s">
        <v>4287</v>
      </c>
      <c r="I55" s="279" t="s">
        <v>4258</v>
      </c>
      <c r="J55" s="45" t="s">
        <v>4163</v>
      </c>
      <c r="K55" s="45" t="s">
        <v>4288</v>
      </c>
      <c r="L55" s="45"/>
      <c r="M55" s="45" t="s">
        <v>2773</v>
      </c>
      <c r="N55" s="58">
        <f t="shared" si="13"/>
        <v>5140730</v>
      </c>
      <c r="O55" s="58" t="e">
        <f t="shared" si="0"/>
        <v>#N/A</v>
      </c>
      <c r="P55" s="58" t="e">
        <f t="shared" si="14"/>
        <v>#N/A</v>
      </c>
      <c r="Q55" s="54" t="e">
        <f>INDEX([5]Timeline!$D$12:$D$24,MATCH(A55,[5]Timeline!$B$12:$B$24,0))</f>
        <v>#N/A</v>
      </c>
      <c r="R55" s="55">
        <v>44561</v>
      </c>
      <c r="S55" s="59">
        <f t="shared" si="15"/>
        <v>2.5</v>
      </c>
      <c r="T55" s="59">
        <f t="shared" si="16"/>
        <v>3</v>
      </c>
      <c r="U55" s="60">
        <f t="shared" si="29"/>
        <v>2</v>
      </c>
      <c r="V55" s="120">
        <v>5140730</v>
      </c>
      <c r="W55" s="57" t="e">
        <f t="shared" si="17"/>
        <v>#N/A</v>
      </c>
      <c r="X55" s="56" t="e">
        <f t="shared" si="32"/>
        <v>#N/A</v>
      </c>
      <c r="Y55" s="45">
        <v>1</v>
      </c>
      <c r="Z55" s="45">
        <v>3</v>
      </c>
      <c r="AA55" s="45">
        <v>2</v>
      </c>
      <c r="AB55" s="45">
        <v>2</v>
      </c>
      <c r="AC55" s="45">
        <v>2</v>
      </c>
      <c r="AD55" s="46">
        <f t="shared" si="3"/>
        <v>2.25</v>
      </c>
      <c r="AE55" s="45">
        <v>3</v>
      </c>
      <c r="AF55" s="45">
        <v>3</v>
      </c>
      <c r="AG55" s="45">
        <v>2</v>
      </c>
      <c r="AH55" s="45">
        <v>2</v>
      </c>
      <c r="AI55" s="46">
        <f t="shared" si="26"/>
        <v>2.5</v>
      </c>
      <c r="AJ55" s="45">
        <v>3</v>
      </c>
      <c r="AK55" s="45">
        <v>3</v>
      </c>
      <c r="AL55" s="45">
        <v>2</v>
      </c>
      <c r="AM55" s="45">
        <v>2</v>
      </c>
      <c r="AN55" s="46">
        <f t="shared" si="27"/>
        <v>2.5</v>
      </c>
      <c r="AO55" s="45">
        <v>4</v>
      </c>
      <c r="AP55" s="45">
        <v>3</v>
      </c>
      <c r="AQ55" s="45">
        <v>2</v>
      </c>
      <c r="AR55" s="45">
        <v>2</v>
      </c>
      <c r="AS55" s="46">
        <f t="shared" si="33"/>
        <v>2.75</v>
      </c>
      <c r="AT55" s="45"/>
      <c r="AU55" s="45"/>
      <c r="AV55" s="45"/>
      <c r="AW55" s="45"/>
      <c r="AX55" s="46">
        <f t="shared" si="28"/>
        <v>0</v>
      </c>
      <c r="AY55" s="45"/>
      <c r="AZ55" s="45"/>
      <c r="BA55" s="45"/>
      <c r="BB55" s="45"/>
      <c r="BC55" s="46">
        <f t="shared" si="8"/>
        <v>0</v>
      </c>
      <c r="BD55" s="45"/>
      <c r="BE55" s="45"/>
      <c r="BF55" s="45"/>
      <c r="BG55" s="45"/>
      <c r="BH55" s="45"/>
      <c r="BI55" s="45"/>
      <c r="BJ55" s="45"/>
      <c r="BK55" s="45"/>
      <c r="BL55" s="45"/>
      <c r="BM55" s="46">
        <f t="shared" si="34"/>
        <v>0</v>
      </c>
      <c r="BN55" s="45"/>
      <c r="BO55" s="45"/>
      <c r="BP55" s="45"/>
      <c r="BQ55" s="45"/>
      <c r="BR55" s="46">
        <f t="shared" si="35"/>
        <v>0</v>
      </c>
      <c r="BS55" s="45"/>
      <c r="BT55" s="45"/>
      <c r="BU55" s="45"/>
      <c r="BV55" s="45"/>
      <c r="BW55" s="46">
        <f t="shared" si="36"/>
        <v>0</v>
      </c>
    </row>
    <row r="56" spans="1:75" ht="76.5">
      <c r="A56" s="45">
        <v>6</v>
      </c>
      <c r="B56" s="50">
        <f t="shared" si="18"/>
        <v>54</v>
      </c>
      <c r="C56" s="51" t="s">
        <v>2773</v>
      </c>
      <c r="D56" s="45" t="s">
        <v>3998</v>
      </c>
      <c r="E56" s="45" t="s">
        <v>4289</v>
      </c>
      <c r="F56" s="45" t="s">
        <v>4290</v>
      </c>
      <c r="G56" s="45" t="s">
        <v>4291</v>
      </c>
      <c r="H56" s="45" t="s">
        <v>4292</v>
      </c>
      <c r="I56" s="279" t="s">
        <v>4258</v>
      </c>
      <c r="J56" s="45" t="s">
        <v>3575</v>
      </c>
      <c r="K56" s="45" t="s">
        <v>4164</v>
      </c>
      <c r="L56" s="45"/>
      <c r="M56" s="45" t="s">
        <v>2773</v>
      </c>
      <c r="N56" s="58">
        <f t="shared" si="13"/>
        <v>180000</v>
      </c>
      <c r="O56" s="58" t="e">
        <f t="shared" si="0"/>
        <v>#N/A</v>
      </c>
      <c r="P56" s="58" t="e">
        <f t="shared" si="14"/>
        <v>#N/A</v>
      </c>
      <c r="Q56" s="54" t="e">
        <f>INDEX([5]Timeline!$D$12:$D$24,MATCH(A56,[5]Timeline!$B$12:$B$24,0))</f>
        <v>#N/A</v>
      </c>
      <c r="R56" s="55">
        <v>44561</v>
      </c>
      <c r="S56" s="59">
        <f t="shared" si="15"/>
        <v>2.875</v>
      </c>
      <c r="T56" s="59">
        <f t="shared" si="16"/>
        <v>3.75</v>
      </c>
      <c r="U56" s="60">
        <f t="shared" si="29"/>
        <v>2</v>
      </c>
      <c r="V56" s="56">
        <v>180000</v>
      </c>
      <c r="W56" s="57" t="e">
        <f t="shared" si="17"/>
        <v>#N/A</v>
      </c>
      <c r="X56" s="56" t="e">
        <f t="shared" si="32"/>
        <v>#N/A</v>
      </c>
      <c r="Y56" s="45">
        <v>1</v>
      </c>
      <c r="Z56" s="45">
        <v>4</v>
      </c>
      <c r="AA56" s="45">
        <v>3</v>
      </c>
      <c r="AB56" s="45">
        <v>2</v>
      </c>
      <c r="AC56" s="45">
        <v>2</v>
      </c>
      <c r="AD56" s="46">
        <f t="shared" si="3"/>
        <v>2.75</v>
      </c>
      <c r="AE56" s="45">
        <v>4</v>
      </c>
      <c r="AF56" s="45">
        <v>4</v>
      </c>
      <c r="AG56" s="45">
        <v>2</v>
      </c>
      <c r="AH56" s="45">
        <v>2</v>
      </c>
      <c r="AI56" s="46">
        <f t="shared" si="26"/>
        <v>3</v>
      </c>
      <c r="AJ56" s="45">
        <v>4</v>
      </c>
      <c r="AK56" s="45">
        <v>4</v>
      </c>
      <c r="AL56" s="45">
        <v>2</v>
      </c>
      <c r="AM56" s="45">
        <v>2</v>
      </c>
      <c r="AN56" s="46">
        <f t="shared" si="27"/>
        <v>3</v>
      </c>
      <c r="AO56" s="45">
        <v>4</v>
      </c>
      <c r="AP56" s="45">
        <v>3</v>
      </c>
      <c r="AQ56" s="45">
        <v>2</v>
      </c>
      <c r="AR56" s="45">
        <v>2</v>
      </c>
      <c r="AS56" s="46">
        <f t="shared" si="33"/>
        <v>2.75</v>
      </c>
      <c r="AT56" s="45"/>
      <c r="AU56" s="45"/>
      <c r="AV56" s="45"/>
      <c r="AW56" s="45"/>
      <c r="AX56" s="46">
        <f t="shared" si="28"/>
        <v>0</v>
      </c>
      <c r="AY56" s="45"/>
      <c r="AZ56" s="45"/>
      <c r="BA56" s="45"/>
      <c r="BB56" s="45"/>
      <c r="BC56" s="46">
        <f t="shared" si="8"/>
        <v>0</v>
      </c>
      <c r="BD56" s="45"/>
      <c r="BE56" s="45"/>
      <c r="BF56" s="45"/>
      <c r="BG56" s="45"/>
      <c r="BH56" s="45"/>
      <c r="BI56" s="45"/>
      <c r="BJ56" s="45"/>
      <c r="BK56" s="45"/>
      <c r="BL56" s="45"/>
      <c r="BM56" s="46">
        <f t="shared" si="34"/>
        <v>0</v>
      </c>
      <c r="BN56" s="45"/>
      <c r="BO56" s="45"/>
      <c r="BP56" s="45"/>
      <c r="BQ56" s="45"/>
      <c r="BR56" s="46">
        <f t="shared" si="35"/>
        <v>0</v>
      </c>
      <c r="BS56" s="45"/>
      <c r="BT56" s="45"/>
      <c r="BU56" s="45"/>
      <c r="BV56" s="45"/>
      <c r="BW56" s="46">
        <f t="shared" si="36"/>
        <v>0</v>
      </c>
    </row>
    <row r="57" spans="1:75" ht="76.5">
      <c r="A57" s="45">
        <v>6</v>
      </c>
      <c r="B57" s="50">
        <f t="shared" si="18"/>
        <v>55</v>
      </c>
      <c r="C57" s="51" t="s">
        <v>2841</v>
      </c>
      <c r="D57" s="45" t="s">
        <v>2841</v>
      </c>
      <c r="E57" s="45" t="s">
        <v>4293</v>
      </c>
      <c r="F57" s="45" t="s">
        <v>4294</v>
      </c>
      <c r="G57" s="45" t="s">
        <v>4295</v>
      </c>
      <c r="H57" s="45" t="s">
        <v>4296</v>
      </c>
      <c r="I57" s="279" t="s">
        <v>4258</v>
      </c>
      <c r="J57" s="45" t="s">
        <v>3575</v>
      </c>
      <c r="K57" s="45" t="s">
        <v>4259</v>
      </c>
      <c r="L57" s="45"/>
      <c r="M57" s="45" t="s">
        <v>2841</v>
      </c>
      <c r="N57" s="58">
        <f t="shared" si="13"/>
        <v>46700</v>
      </c>
      <c r="O57" s="58" t="e">
        <f>(MIN(MONTH(R57),6)-MONTH(Q57)+1)*N57</f>
        <v>#N/A</v>
      </c>
      <c r="P57" s="58" t="e">
        <f t="shared" si="14"/>
        <v>#N/A</v>
      </c>
      <c r="Q57" s="54" t="e">
        <f>INDEX([5]Timeline!$D$12:$D$24,MATCH(A57,[5]Timeline!$B$12:$B$24,0))</f>
        <v>#N/A</v>
      </c>
      <c r="R57" s="55">
        <v>44561</v>
      </c>
      <c r="S57" s="59">
        <f t="shared" si="15"/>
        <v>2.8125</v>
      </c>
      <c r="T57" s="59">
        <f t="shared" si="16"/>
        <v>4</v>
      </c>
      <c r="U57" s="60">
        <f t="shared" si="29"/>
        <v>1.625</v>
      </c>
      <c r="V57" s="56">
        <v>46700</v>
      </c>
      <c r="W57" s="57" t="e">
        <f t="shared" si="17"/>
        <v>#N/A</v>
      </c>
      <c r="X57" s="56" t="e">
        <f t="shared" si="32"/>
        <v>#N/A</v>
      </c>
      <c r="Y57" s="45">
        <v>1</v>
      </c>
      <c r="Z57" s="45">
        <v>4</v>
      </c>
      <c r="AA57" s="45">
        <v>4</v>
      </c>
      <c r="AB57" s="45">
        <v>2</v>
      </c>
      <c r="AC57" s="45">
        <v>2</v>
      </c>
      <c r="AD57" s="46">
        <f t="shared" si="3"/>
        <v>3</v>
      </c>
      <c r="AE57" s="45">
        <v>4</v>
      </c>
      <c r="AF57" s="45">
        <v>4</v>
      </c>
      <c r="AG57" s="45">
        <v>2</v>
      </c>
      <c r="AH57" s="45">
        <v>1</v>
      </c>
      <c r="AI57" s="46">
        <f t="shared" si="26"/>
        <v>2.75</v>
      </c>
      <c r="AJ57" s="45">
        <v>4</v>
      </c>
      <c r="AK57" s="45">
        <v>4</v>
      </c>
      <c r="AL57" s="45">
        <v>2</v>
      </c>
      <c r="AM57" s="45">
        <v>1</v>
      </c>
      <c r="AN57" s="46">
        <f t="shared" si="27"/>
        <v>2.75</v>
      </c>
      <c r="AO57" s="45">
        <v>4</v>
      </c>
      <c r="AP57" s="45">
        <v>4</v>
      </c>
      <c r="AQ57" s="45">
        <v>2</v>
      </c>
      <c r="AR57" s="45">
        <v>1</v>
      </c>
      <c r="AS57" s="46">
        <f t="shared" si="33"/>
        <v>2.75</v>
      </c>
      <c r="AT57" s="45"/>
      <c r="AU57" s="45"/>
      <c r="AV57" s="45"/>
      <c r="AW57" s="45"/>
      <c r="AX57" s="46">
        <f t="shared" si="28"/>
        <v>0</v>
      </c>
      <c r="AY57" s="45"/>
      <c r="AZ57" s="45"/>
      <c r="BA57" s="45"/>
      <c r="BB57" s="45"/>
      <c r="BC57" s="46">
        <f t="shared" si="8"/>
        <v>0</v>
      </c>
      <c r="BD57" s="45"/>
      <c r="BE57" s="45"/>
      <c r="BF57" s="45"/>
      <c r="BG57" s="45"/>
      <c r="BH57" s="45"/>
      <c r="BI57" s="45"/>
      <c r="BJ57" s="45"/>
      <c r="BK57" s="45"/>
      <c r="BL57" s="45"/>
      <c r="BM57" s="46">
        <f t="shared" si="34"/>
        <v>0</v>
      </c>
      <c r="BN57" s="45"/>
      <c r="BO57" s="45"/>
      <c r="BP57" s="45"/>
      <c r="BQ57" s="45"/>
      <c r="BR57" s="46">
        <f t="shared" si="35"/>
        <v>0</v>
      </c>
      <c r="BS57" s="45"/>
      <c r="BT57" s="45"/>
      <c r="BU57" s="45"/>
      <c r="BV57" s="45"/>
      <c r="BW57" s="46">
        <f t="shared" si="36"/>
        <v>0</v>
      </c>
    </row>
    <row r="58" spans="1:75" ht="76.5">
      <c r="A58" s="45">
        <v>7</v>
      </c>
      <c r="B58" s="50">
        <f t="shared" si="18"/>
        <v>56</v>
      </c>
      <c r="C58" s="51" t="s">
        <v>2841</v>
      </c>
      <c r="D58" s="262" t="s">
        <v>2841</v>
      </c>
      <c r="E58" s="45" t="s">
        <v>4297</v>
      </c>
      <c r="F58" s="45" t="s">
        <v>4298</v>
      </c>
      <c r="G58" s="45" t="s">
        <v>4299</v>
      </c>
      <c r="H58" s="45" t="s">
        <v>4300</v>
      </c>
      <c r="I58" s="52" t="s">
        <v>4301</v>
      </c>
      <c r="J58" s="45" t="s">
        <v>3575</v>
      </c>
      <c r="K58" s="45" t="s">
        <v>4302</v>
      </c>
      <c r="L58" s="45"/>
      <c r="M58" s="51" t="s">
        <v>2841</v>
      </c>
      <c r="N58" s="58">
        <f>V58/1</f>
        <v>790800</v>
      </c>
      <c r="O58" s="58"/>
      <c r="P58" s="58" t="e">
        <f t="shared" si="14"/>
        <v>#N/A</v>
      </c>
      <c r="Q58" s="54" t="e">
        <f>INDEX([5]Timeline!$D$12:$D$24,MATCH(A58,[5]Timeline!$B$12:$B$24,0))</f>
        <v>#N/A</v>
      </c>
      <c r="R58" s="55">
        <v>44561</v>
      </c>
      <c r="S58" s="59">
        <f t="shared" si="15"/>
        <v>2.6875</v>
      </c>
      <c r="T58" s="59">
        <f t="shared" ref="T58:T59" si="39">IF(Y58&gt;0,AVERAGE(Z58:AA58,AE58:AF58,AJ58:AK58,AO58:AP58,AT58:AU58,AY58:AZ58,BD58:BE58,BI58:BJ58),0)</f>
        <v>4</v>
      </c>
      <c r="U58" s="60">
        <f t="shared" ref="U58:U59" si="40">IF(Y58&gt;0,AVERAGE(AB58:AC58,AG58:AH58,AL58:AM58,AQ58:AR58,AV58:AW58,BA58:BB58,BF58:BG58,BK58:BL58),0)</f>
        <v>1.375</v>
      </c>
      <c r="V58" s="56">
        <v>790800</v>
      </c>
      <c r="W58" s="57">
        <v>0</v>
      </c>
      <c r="X58" s="56" t="e">
        <f>(MONTH(R58)-MONTH(Q58)+1)*V58</f>
        <v>#N/A</v>
      </c>
      <c r="Y58" s="45">
        <v>1</v>
      </c>
      <c r="Z58" s="45"/>
      <c r="AA58" s="45"/>
      <c r="AB58" s="45"/>
      <c r="AC58" s="45"/>
      <c r="AD58" s="46">
        <f t="shared" si="3"/>
        <v>0</v>
      </c>
      <c r="AE58" s="45">
        <v>4</v>
      </c>
      <c r="AF58" s="45">
        <v>4</v>
      </c>
      <c r="AG58" s="45">
        <v>1</v>
      </c>
      <c r="AH58" s="45">
        <v>1</v>
      </c>
      <c r="AI58" s="46">
        <f t="shared" si="26"/>
        <v>2.5</v>
      </c>
      <c r="AJ58" s="45"/>
      <c r="AK58" s="45"/>
      <c r="AL58" s="45"/>
      <c r="AM58" s="45"/>
      <c r="AN58" s="46">
        <f t="shared" si="27"/>
        <v>0</v>
      </c>
      <c r="AO58" s="45">
        <v>4</v>
      </c>
      <c r="AP58" s="45">
        <v>4</v>
      </c>
      <c r="AQ58" s="45">
        <v>2</v>
      </c>
      <c r="AR58" s="45">
        <v>1</v>
      </c>
      <c r="AS58" s="46">
        <f t="shared" si="33"/>
        <v>2.75</v>
      </c>
      <c r="AT58" s="45"/>
      <c r="AU58" s="45"/>
      <c r="AV58" s="45"/>
      <c r="AW58" s="45"/>
      <c r="AX58" s="46">
        <f t="shared" si="28"/>
        <v>0</v>
      </c>
      <c r="AY58" s="45">
        <v>4</v>
      </c>
      <c r="AZ58" s="45">
        <v>4</v>
      </c>
      <c r="BA58" s="45">
        <v>2</v>
      </c>
      <c r="BB58" s="45">
        <v>1</v>
      </c>
      <c r="BC58" s="47">
        <f>IFERROR(SUM(AY58:BB58)/4,0)</f>
        <v>2.75</v>
      </c>
      <c r="BD58" s="45"/>
      <c r="BE58" s="45"/>
      <c r="BF58" s="45"/>
      <c r="BG58" s="45"/>
      <c r="BH58" s="45"/>
      <c r="BI58" s="45">
        <v>4</v>
      </c>
      <c r="BJ58" s="45">
        <v>4</v>
      </c>
      <c r="BK58" s="45">
        <v>2</v>
      </c>
      <c r="BL58" s="45">
        <v>1</v>
      </c>
      <c r="BM58" s="46">
        <f t="shared" si="34"/>
        <v>2.75</v>
      </c>
      <c r="BN58" s="45">
        <v>4</v>
      </c>
      <c r="BO58" s="45">
        <v>4</v>
      </c>
      <c r="BP58" s="45">
        <v>2</v>
      </c>
      <c r="BQ58" s="45">
        <v>2</v>
      </c>
      <c r="BR58" s="46">
        <f t="shared" si="35"/>
        <v>3</v>
      </c>
      <c r="BS58" s="45"/>
      <c r="BT58" s="45"/>
      <c r="BU58" s="45"/>
      <c r="BV58" s="45"/>
      <c r="BW58" s="46">
        <f t="shared" si="36"/>
        <v>0</v>
      </c>
    </row>
    <row r="59" spans="1:75" ht="76.5">
      <c r="A59" s="45">
        <v>7</v>
      </c>
      <c r="B59" s="50">
        <f t="shared" si="18"/>
        <v>57</v>
      </c>
      <c r="C59" s="51" t="s">
        <v>2817</v>
      </c>
      <c r="D59" s="45" t="s">
        <v>4303</v>
      </c>
      <c r="E59" s="45" t="s">
        <v>4304</v>
      </c>
      <c r="F59" s="45" t="s">
        <v>4305</v>
      </c>
      <c r="G59" s="45" t="s">
        <v>4306</v>
      </c>
      <c r="H59" s="45" t="s">
        <v>4307</v>
      </c>
      <c r="I59" s="52" t="s">
        <v>4301</v>
      </c>
      <c r="J59" s="45" t="s">
        <v>3575</v>
      </c>
      <c r="K59" s="45" t="s">
        <v>4308</v>
      </c>
      <c r="L59" s="45"/>
      <c r="M59" s="45" t="s">
        <v>2817</v>
      </c>
      <c r="N59" s="58">
        <f t="shared" ref="N59:N79" si="41">V59/1</f>
        <v>84000</v>
      </c>
      <c r="O59" s="58"/>
      <c r="P59" s="58" t="e">
        <f>(MONTH(R59)-MONTH(Q59)+1)*N59</f>
        <v>#N/A</v>
      </c>
      <c r="Q59" s="54" t="e">
        <f>INDEX([5]Timeline!$D$12:$D$24,MATCH(A59,[5]Timeline!$B$12:$B$24,0))</f>
        <v>#N/A</v>
      </c>
      <c r="R59" s="55">
        <v>44561</v>
      </c>
      <c r="S59" s="59">
        <f t="shared" si="15"/>
        <v>2</v>
      </c>
      <c r="T59" s="59">
        <f t="shared" si="39"/>
        <v>2.375</v>
      </c>
      <c r="U59" s="60">
        <f t="shared" si="40"/>
        <v>1.625</v>
      </c>
      <c r="V59" s="56">
        <f>(2+48/60)*30000</f>
        <v>84000</v>
      </c>
      <c r="W59" s="57">
        <v>0</v>
      </c>
      <c r="X59" s="56" t="e">
        <f t="shared" ref="X59:X106" si="42">(MONTH(R59)-MONTH(Q59)+1)*V59</f>
        <v>#N/A</v>
      </c>
      <c r="Y59" s="45">
        <v>1</v>
      </c>
      <c r="Z59" s="45"/>
      <c r="AA59" s="45"/>
      <c r="AB59" s="45"/>
      <c r="AC59" s="45"/>
      <c r="AD59" s="46">
        <f t="shared" si="3"/>
        <v>0</v>
      </c>
      <c r="AE59" s="45">
        <v>2</v>
      </c>
      <c r="AF59" s="45">
        <v>2</v>
      </c>
      <c r="AG59" s="45">
        <v>1</v>
      </c>
      <c r="AH59" s="45">
        <v>1</v>
      </c>
      <c r="AI59" s="46">
        <f t="shared" si="26"/>
        <v>1.5</v>
      </c>
      <c r="AJ59" s="45"/>
      <c r="AK59" s="45"/>
      <c r="AL59" s="45"/>
      <c r="AM59" s="45"/>
      <c r="AN59" s="46">
        <f t="shared" si="27"/>
        <v>0</v>
      </c>
      <c r="AO59" s="45">
        <v>3</v>
      </c>
      <c r="AP59" s="45">
        <v>2</v>
      </c>
      <c r="AQ59" s="45">
        <v>2</v>
      </c>
      <c r="AR59" s="45">
        <v>2</v>
      </c>
      <c r="AS59" s="46">
        <f t="shared" si="33"/>
        <v>2.25</v>
      </c>
      <c r="AT59" s="45"/>
      <c r="AU59" s="45"/>
      <c r="AV59" s="45"/>
      <c r="AW59" s="45"/>
      <c r="AX59" s="46">
        <f t="shared" si="28"/>
        <v>0</v>
      </c>
      <c r="AY59" s="45">
        <v>3</v>
      </c>
      <c r="AZ59" s="45">
        <v>2</v>
      </c>
      <c r="BA59" s="45">
        <v>2</v>
      </c>
      <c r="BB59" s="45">
        <v>2</v>
      </c>
      <c r="BC59" s="47">
        <f>IFERROR(SUM(AY59:BB59)/4,0)</f>
        <v>2.25</v>
      </c>
      <c r="BD59" s="45"/>
      <c r="BE59" s="45"/>
      <c r="BF59" s="45"/>
      <c r="BG59" s="45"/>
      <c r="BH59" s="45"/>
      <c r="BI59" s="45">
        <v>3</v>
      </c>
      <c r="BJ59" s="45">
        <v>2</v>
      </c>
      <c r="BK59" s="45">
        <v>1</v>
      </c>
      <c r="BL59" s="45">
        <v>2</v>
      </c>
      <c r="BM59" s="46">
        <f t="shared" si="34"/>
        <v>2</v>
      </c>
      <c r="BN59" s="45">
        <v>3</v>
      </c>
      <c r="BO59" s="45">
        <v>2</v>
      </c>
      <c r="BP59" s="45">
        <v>2</v>
      </c>
      <c r="BQ59" s="45">
        <v>2</v>
      </c>
      <c r="BR59" s="46">
        <f t="shared" si="35"/>
        <v>2.25</v>
      </c>
      <c r="BS59" s="45"/>
      <c r="BT59" s="45"/>
      <c r="BU59" s="45"/>
      <c r="BV59" s="45"/>
      <c r="BW59" s="46">
        <f t="shared" si="36"/>
        <v>0</v>
      </c>
    </row>
    <row r="60" spans="1:75" ht="111" customHeight="1">
      <c r="A60" s="45">
        <v>7</v>
      </c>
      <c r="B60" s="50">
        <f t="shared" si="18"/>
        <v>58</v>
      </c>
      <c r="C60" s="51" t="s">
        <v>2914</v>
      </c>
      <c r="D60" s="262" t="s">
        <v>3452</v>
      </c>
      <c r="E60" s="45" t="s">
        <v>4309</v>
      </c>
      <c r="F60" s="45" t="s">
        <v>4310</v>
      </c>
      <c r="G60" s="45" t="s">
        <v>4311</v>
      </c>
      <c r="H60" s="45" t="s">
        <v>4312</v>
      </c>
      <c r="I60" s="52" t="s">
        <v>4301</v>
      </c>
      <c r="J60" s="45" t="s">
        <v>3575</v>
      </c>
      <c r="K60" s="45" t="s">
        <v>4313</v>
      </c>
      <c r="L60" s="45"/>
      <c r="M60" s="45" t="str">
        <f t="shared" ref="M60:M61" si="43">D60</f>
        <v>WH Cikarang</v>
      </c>
      <c r="N60" s="58">
        <f t="shared" si="41"/>
        <v>3920000</v>
      </c>
      <c r="O60" s="58"/>
      <c r="P60" s="58" t="e">
        <f t="shared" ref="P60:P106" si="44">(MONTH(R60)-MONTH(Q60)+1)*N60</f>
        <v>#N/A</v>
      </c>
      <c r="Q60" s="54" t="e">
        <f>INDEX([5]Timeline!$D$12:$D$24,MATCH(A60,[5]Timeline!$B$12:$B$24,0))</f>
        <v>#N/A</v>
      </c>
      <c r="R60" s="55">
        <v>44561</v>
      </c>
      <c r="S60" s="59">
        <f t="shared" si="15"/>
        <v>2.0625</v>
      </c>
      <c r="T60" s="59">
        <f>IF(Y60&gt;0,AVERAGE(Z60:AA60,AE60:AF60,AJ60:AK60,AO60:AP60,AT60:AU60,AY60:AZ60,BD60:BE60,BI60:BJ60),0)</f>
        <v>2.5</v>
      </c>
      <c r="U60" s="60">
        <f>IF(Y60&gt;0,AVERAGE(AB60:AC60,AG60:AH60,AL60:AM60,AQ60:AR60,AV60:AW60,BA60:BB60,BF60:BG60,BK60:BL60),0)</f>
        <v>1.625</v>
      </c>
      <c r="V60" s="120">
        <v>3920000</v>
      </c>
      <c r="W60" s="57">
        <v>0</v>
      </c>
      <c r="X60" s="56" t="e">
        <f t="shared" si="42"/>
        <v>#N/A</v>
      </c>
      <c r="Y60" s="45">
        <v>1</v>
      </c>
      <c r="Z60" s="45"/>
      <c r="AA60" s="45"/>
      <c r="AB60" s="45"/>
      <c r="AC60" s="45"/>
      <c r="AD60" s="46">
        <f t="shared" si="3"/>
        <v>0</v>
      </c>
      <c r="AE60" s="45">
        <v>2</v>
      </c>
      <c r="AF60" s="45">
        <v>2</v>
      </c>
      <c r="AG60" s="45">
        <v>1</v>
      </c>
      <c r="AH60" s="45">
        <v>1</v>
      </c>
      <c r="AI60" s="46">
        <f t="shared" si="26"/>
        <v>1.5</v>
      </c>
      <c r="AJ60" s="45"/>
      <c r="AK60" s="45"/>
      <c r="AL60" s="45"/>
      <c r="AM60" s="45"/>
      <c r="AN60" s="46">
        <f t="shared" si="27"/>
        <v>0</v>
      </c>
      <c r="AO60" s="45">
        <v>2</v>
      </c>
      <c r="AP60" s="45">
        <v>3</v>
      </c>
      <c r="AQ60" s="45">
        <v>1</v>
      </c>
      <c r="AR60" s="45">
        <v>2</v>
      </c>
      <c r="AS60" s="46">
        <f t="shared" si="33"/>
        <v>2</v>
      </c>
      <c r="AT60" s="45"/>
      <c r="AU60" s="45"/>
      <c r="AV60" s="45"/>
      <c r="AW60" s="45"/>
      <c r="AX60" s="46">
        <f t="shared" si="28"/>
        <v>0</v>
      </c>
      <c r="AY60" s="45">
        <v>2</v>
      </c>
      <c r="AZ60" s="45">
        <v>2</v>
      </c>
      <c r="BA60" s="45">
        <v>1</v>
      </c>
      <c r="BB60" s="45">
        <v>2</v>
      </c>
      <c r="BC60" s="47">
        <f>IFERROR(SUM(AY60:BB60)/4,0)</f>
        <v>1.75</v>
      </c>
      <c r="BD60" s="45"/>
      <c r="BE60" s="45"/>
      <c r="BF60" s="45"/>
      <c r="BG60" s="45"/>
      <c r="BH60" s="45"/>
      <c r="BI60" s="45">
        <v>3</v>
      </c>
      <c r="BJ60" s="45">
        <v>4</v>
      </c>
      <c r="BK60" s="45">
        <v>1</v>
      </c>
      <c r="BL60" s="45">
        <v>4</v>
      </c>
      <c r="BM60" s="46">
        <f t="shared" si="34"/>
        <v>3</v>
      </c>
      <c r="BN60" s="45">
        <v>2</v>
      </c>
      <c r="BO60" s="45">
        <v>2</v>
      </c>
      <c r="BP60" s="45">
        <v>2</v>
      </c>
      <c r="BQ60" s="45">
        <v>1</v>
      </c>
      <c r="BR60" s="46">
        <f t="shared" si="35"/>
        <v>1.75</v>
      </c>
      <c r="BS60" s="45"/>
      <c r="BT60" s="45"/>
      <c r="BU60" s="45"/>
      <c r="BV60" s="45"/>
      <c r="BW60" s="46">
        <f t="shared" si="36"/>
        <v>0</v>
      </c>
    </row>
    <row r="61" spans="1:75" ht="76.5">
      <c r="A61" s="45">
        <v>7</v>
      </c>
      <c r="B61" s="50">
        <f t="shared" si="18"/>
        <v>59</v>
      </c>
      <c r="C61" s="51" t="s">
        <v>2914</v>
      </c>
      <c r="D61" s="45" t="s">
        <v>4314</v>
      </c>
      <c r="E61" s="45" t="s">
        <v>3698</v>
      </c>
      <c r="F61" s="45" t="s">
        <v>4315</v>
      </c>
      <c r="G61" s="45" t="s">
        <v>4316</v>
      </c>
      <c r="H61" s="45" t="s">
        <v>4317</v>
      </c>
      <c r="I61" s="52" t="s">
        <v>4301</v>
      </c>
      <c r="J61" s="45" t="s">
        <v>3575</v>
      </c>
      <c r="K61" s="45" t="s">
        <v>4318</v>
      </c>
      <c r="L61" s="45"/>
      <c r="M61" s="45" t="str">
        <f t="shared" si="43"/>
        <v>WH Denpasar</v>
      </c>
      <c r="N61" s="58">
        <f t="shared" si="41"/>
        <v>3505513</v>
      </c>
      <c r="O61" s="58"/>
      <c r="P61" s="58" t="e">
        <f t="shared" si="44"/>
        <v>#N/A</v>
      </c>
      <c r="Q61" s="54" t="e">
        <f>INDEX([5]Timeline!$D$12:$D$24,MATCH(A61,[5]Timeline!$B$12:$B$24,0))</f>
        <v>#N/A</v>
      </c>
      <c r="R61" s="55">
        <v>44561</v>
      </c>
      <c r="S61" s="59">
        <f t="shared" si="15"/>
        <v>2.5625</v>
      </c>
      <c r="T61" s="59">
        <f t="shared" ref="T61:T106" si="45">IF(Y61&gt;0,AVERAGE(Z61:AA61,AE61:AF61,AJ61:AK61,AO61:AP61,AT61:AU61,AY61:AZ61,BD61:BE61,BI61:BJ61),0)</f>
        <v>3</v>
      </c>
      <c r="U61" s="267">
        <f t="shared" ref="U61:U106" si="46">IF(Y61&gt;0,AVERAGE(AB61:AC61,AG61:AH61,AL61:AM61,AQ61:AR61,AV61:AW61,BA61:BB61,BF61:BG61,BK61:BL61),0)</f>
        <v>2.125</v>
      </c>
      <c r="V61" s="120">
        <v>3505513</v>
      </c>
      <c r="W61" s="57">
        <v>0</v>
      </c>
      <c r="X61" s="56" t="e">
        <f t="shared" si="42"/>
        <v>#N/A</v>
      </c>
      <c r="Y61" s="45">
        <v>1</v>
      </c>
      <c r="Z61" s="45"/>
      <c r="AA61" s="45"/>
      <c r="AB61" s="45"/>
      <c r="AC61" s="45"/>
      <c r="AD61" s="46">
        <f t="shared" si="3"/>
        <v>0</v>
      </c>
      <c r="AE61" s="45">
        <v>4</v>
      </c>
      <c r="AF61" s="45">
        <v>4</v>
      </c>
      <c r="AG61" s="45">
        <v>1</v>
      </c>
      <c r="AH61" s="45">
        <v>1</v>
      </c>
      <c r="AI61" s="46">
        <f t="shared" si="26"/>
        <v>2.5</v>
      </c>
      <c r="AJ61" s="45"/>
      <c r="AK61" s="45"/>
      <c r="AL61" s="45"/>
      <c r="AM61" s="45"/>
      <c r="AN61" s="46">
        <f t="shared" si="27"/>
        <v>0</v>
      </c>
      <c r="AO61" s="45">
        <v>3</v>
      </c>
      <c r="AP61" s="45">
        <v>2</v>
      </c>
      <c r="AQ61" s="45">
        <v>1</v>
      </c>
      <c r="AR61" s="45">
        <v>2</v>
      </c>
      <c r="AS61" s="46">
        <f t="shared" si="33"/>
        <v>2</v>
      </c>
      <c r="AT61" s="45"/>
      <c r="AU61" s="45"/>
      <c r="AV61" s="45"/>
      <c r="AW61" s="45"/>
      <c r="AX61" s="46">
        <f t="shared" si="28"/>
        <v>0</v>
      </c>
      <c r="AY61" s="45">
        <v>4</v>
      </c>
      <c r="AZ61" s="45">
        <v>2</v>
      </c>
      <c r="BA61" s="45">
        <v>4</v>
      </c>
      <c r="BB61" s="45">
        <v>2</v>
      </c>
      <c r="BC61" s="47">
        <f t="shared" ref="BC61:BC115" si="47">IFERROR(SUM(AY61:BB61)/4,0)</f>
        <v>3</v>
      </c>
      <c r="BD61" s="45"/>
      <c r="BE61" s="45"/>
      <c r="BF61" s="45"/>
      <c r="BG61" s="45"/>
      <c r="BH61" s="45"/>
      <c r="BI61" s="45">
        <v>2</v>
      </c>
      <c r="BJ61" s="45">
        <v>3</v>
      </c>
      <c r="BK61" s="45">
        <v>4</v>
      </c>
      <c r="BL61" s="45">
        <v>2</v>
      </c>
      <c r="BM61" s="46">
        <f t="shared" si="34"/>
        <v>2.75</v>
      </c>
      <c r="BN61" s="45">
        <v>4</v>
      </c>
      <c r="BO61" s="45">
        <v>2</v>
      </c>
      <c r="BP61" s="45">
        <v>4</v>
      </c>
      <c r="BQ61" s="45">
        <v>2</v>
      </c>
      <c r="BR61" s="46">
        <f t="shared" si="35"/>
        <v>3</v>
      </c>
      <c r="BS61" s="45"/>
      <c r="BT61" s="45"/>
      <c r="BU61" s="45"/>
      <c r="BV61" s="45"/>
      <c r="BW61" s="46">
        <f t="shared" si="36"/>
        <v>0</v>
      </c>
    </row>
    <row r="62" spans="1:75" ht="106.5">
      <c r="A62" s="45">
        <v>7</v>
      </c>
      <c r="B62" s="50">
        <f t="shared" si="18"/>
        <v>60</v>
      </c>
      <c r="C62" s="51" t="s">
        <v>2854</v>
      </c>
      <c r="D62" s="45" t="s">
        <v>3785</v>
      </c>
      <c r="E62" s="45" t="s">
        <v>4319</v>
      </c>
      <c r="F62" s="45" t="s">
        <v>4320</v>
      </c>
      <c r="G62" s="45" t="s">
        <v>4321</v>
      </c>
      <c r="H62" s="45" t="s">
        <v>4322</v>
      </c>
      <c r="I62" s="52" t="s">
        <v>4301</v>
      </c>
      <c r="J62" s="45" t="s">
        <v>3575</v>
      </c>
      <c r="K62" s="45" t="s">
        <v>4302</v>
      </c>
      <c r="L62" s="45"/>
      <c r="M62" s="45" t="s">
        <v>4323</v>
      </c>
      <c r="N62" s="58">
        <f>V62/7</f>
        <v>20392.857142857141</v>
      </c>
      <c r="O62" s="58"/>
      <c r="P62" s="58" t="e">
        <f t="shared" si="44"/>
        <v>#N/A</v>
      </c>
      <c r="Q62" s="54" t="e">
        <f>INDEX([5]Timeline!$D$12:$D$24,MATCH(A62,[5]Timeline!$B$12:$B$24,0))</f>
        <v>#N/A</v>
      </c>
      <c r="R62" s="55">
        <v>44561</v>
      </c>
      <c r="S62" s="59">
        <f t="shared" si="15"/>
        <v>2.625</v>
      </c>
      <c r="T62" s="59">
        <f t="shared" si="45"/>
        <v>4</v>
      </c>
      <c r="U62" s="60">
        <f t="shared" si="46"/>
        <v>1.25</v>
      </c>
      <c r="V62" s="56">
        <f>571/3600*30*30000</f>
        <v>142750</v>
      </c>
      <c r="W62" s="57">
        <v>0</v>
      </c>
      <c r="X62" s="56" t="e">
        <f t="shared" si="42"/>
        <v>#N/A</v>
      </c>
      <c r="Y62" s="45">
        <v>1</v>
      </c>
      <c r="Z62" s="45"/>
      <c r="AA62" s="45"/>
      <c r="AB62" s="45"/>
      <c r="AC62" s="45"/>
      <c r="AD62" s="46">
        <f t="shared" si="3"/>
        <v>0</v>
      </c>
      <c r="AE62" s="45">
        <v>4</v>
      </c>
      <c r="AF62" s="45">
        <v>4</v>
      </c>
      <c r="AG62" s="45">
        <v>1</v>
      </c>
      <c r="AH62" s="45">
        <v>1</v>
      </c>
      <c r="AI62" s="46">
        <f t="shared" si="26"/>
        <v>2.5</v>
      </c>
      <c r="AJ62" s="45"/>
      <c r="AK62" s="45"/>
      <c r="AL62" s="45"/>
      <c r="AM62" s="45"/>
      <c r="AN62" s="46">
        <f t="shared" si="27"/>
        <v>0</v>
      </c>
      <c r="AO62" s="45">
        <v>4</v>
      </c>
      <c r="AP62" s="45">
        <v>4</v>
      </c>
      <c r="AQ62" s="45">
        <v>2</v>
      </c>
      <c r="AR62" s="45">
        <v>1</v>
      </c>
      <c r="AS62" s="46">
        <f t="shared" si="33"/>
        <v>2.75</v>
      </c>
      <c r="AT62" s="45"/>
      <c r="AU62" s="45"/>
      <c r="AV62" s="45"/>
      <c r="AW62" s="45"/>
      <c r="AX62" s="46">
        <f t="shared" si="28"/>
        <v>0</v>
      </c>
      <c r="AY62" s="45">
        <v>4</v>
      </c>
      <c r="AZ62" s="45">
        <v>4</v>
      </c>
      <c r="BA62" s="45">
        <v>2</v>
      </c>
      <c r="BB62" s="45">
        <v>1</v>
      </c>
      <c r="BC62" s="47">
        <f t="shared" si="47"/>
        <v>2.75</v>
      </c>
      <c r="BD62" s="45"/>
      <c r="BE62" s="45"/>
      <c r="BF62" s="45"/>
      <c r="BG62" s="45"/>
      <c r="BH62" s="45"/>
      <c r="BI62" s="45">
        <v>4</v>
      </c>
      <c r="BJ62" s="45">
        <v>4</v>
      </c>
      <c r="BK62" s="45">
        <v>1</v>
      </c>
      <c r="BL62" s="45">
        <v>1</v>
      </c>
      <c r="BM62" s="46">
        <f t="shared" si="34"/>
        <v>2.5</v>
      </c>
      <c r="BN62" s="45">
        <v>4</v>
      </c>
      <c r="BO62" s="45">
        <v>4</v>
      </c>
      <c r="BP62" s="45">
        <v>2</v>
      </c>
      <c r="BQ62" s="45">
        <v>3</v>
      </c>
      <c r="BR62" s="46">
        <f t="shared" si="35"/>
        <v>3.25</v>
      </c>
      <c r="BS62" s="45"/>
      <c r="BT62" s="45"/>
      <c r="BU62" s="45"/>
      <c r="BV62" s="45"/>
      <c r="BW62" s="46">
        <f t="shared" si="36"/>
        <v>0</v>
      </c>
    </row>
    <row r="63" spans="1:75" ht="76.5">
      <c r="A63" s="45">
        <v>7</v>
      </c>
      <c r="B63" s="50">
        <f t="shared" si="18"/>
        <v>61</v>
      </c>
      <c r="C63" s="51" t="s">
        <v>2854</v>
      </c>
      <c r="D63" s="45" t="s">
        <v>4324</v>
      </c>
      <c r="E63" s="45" t="s">
        <v>4325</v>
      </c>
      <c r="F63" s="45" t="s">
        <v>4326</v>
      </c>
      <c r="G63" s="45" t="s">
        <v>4327</v>
      </c>
      <c r="H63" s="45" t="s">
        <v>4328</v>
      </c>
      <c r="I63" s="52" t="s">
        <v>4301</v>
      </c>
      <c r="J63" s="45" t="s">
        <v>3575</v>
      </c>
      <c r="K63" s="45" t="s">
        <v>4329</v>
      </c>
      <c r="L63" s="45"/>
      <c r="M63" s="45" t="s">
        <v>4186</v>
      </c>
      <c r="N63" s="58">
        <f t="shared" si="41"/>
        <v>0</v>
      </c>
      <c r="O63" s="58"/>
      <c r="P63" s="58" t="e">
        <f t="shared" si="44"/>
        <v>#N/A</v>
      </c>
      <c r="Q63" s="54" t="e">
        <f>INDEX([5]Timeline!$D$12:$D$24,MATCH(A63,[5]Timeline!$B$12:$B$24,0))</f>
        <v>#N/A</v>
      </c>
      <c r="R63" s="55">
        <v>44561</v>
      </c>
      <c r="S63" s="59">
        <f t="shared" si="15"/>
        <v>2.625</v>
      </c>
      <c r="T63" s="59">
        <f t="shared" si="45"/>
        <v>3.625</v>
      </c>
      <c r="U63" s="60">
        <f t="shared" si="46"/>
        <v>1.625</v>
      </c>
      <c r="V63" s="56">
        <v>0</v>
      </c>
      <c r="W63" s="57">
        <v>0</v>
      </c>
      <c r="X63" s="56" t="e">
        <f t="shared" si="42"/>
        <v>#N/A</v>
      </c>
      <c r="Y63" s="45">
        <v>1</v>
      </c>
      <c r="Z63" s="45"/>
      <c r="AA63" s="45"/>
      <c r="AB63" s="45"/>
      <c r="AC63" s="45"/>
      <c r="AD63" s="46">
        <f t="shared" si="3"/>
        <v>0</v>
      </c>
      <c r="AE63" s="45">
        <v>3</v>
      </c>
      <c r="AF63" s="45">
        <v>3</v>
      </c>
      <c r="AG63" s="45">
        <v>1</v>
      </c>
      <c r="AH63" s="45">
        <v>1</v>
      </c>
      <c r="AI63" s="46">
        <f t="shared" si="26"/>
        <v>2</v>
      </c>
      <c r="AJ63" s="45"/>
      <c r="AK63" s="45"/>
      <c r="AL63" s="45"/>
      <c r="AM63" s="45"/>
      <c r="AN63" s="46">
        <f t="shared" si="27"/>
        <v>0</v>
      </c>
      <c r="AO63" s="45">
        <v>4</v>
      </c>
      <c r="AP63" s="45">
        <v>3</v>
      </c>
      <c r="AQ63" s="45">
        <v>1</v>
      </c>
      <c r="AR63" s="45">
        <v>2</v>
      </c>
      <c r="AS63" s="46">
        <f t="shared" si="33"/>
        <v>2.5</v>
      </c>
      <c r="AT63" s="45"/>
      <c r="AU63" s="45"/>
      <c r="AV63" s="45"/>
      <c r="AW63" s="45"/>
      <c r="AX63" s="46">
        <f t="shared" si="28"/>
        <v>0</v>
      </c>
      <c r="AY63" s="45">
        <v>4</v>
      </c>
      <c r="AZ63" s="45">
        <v>4</v>
      </c>
      <c r="BA63" s="45">
        <v>1</v>
      </c>
      <c r="BB63" s="45">
        <v>2</v>
      </c>
      <c r="BC63" s="47">
        <f t="shared" si="47"/>
        <v>2.75</v>
      </c>
      <c r="BD63" s="45"/>
      <c r="BE63" s="45"/>
      <c r="BF63" s="45"/>
      <c r="BG63" s="45"/>
      <c r="BH63" s="45"/>
      <c r="BI63" s="45">
        <v>4</v>
      </c>
      <c r="BJ63" s="45">
        <v>4</v>
      </c>
      <c r="BK63" s="45">
        <v>1</v>
      </c>
      <c r="BL63" s="45">
        <v>4</v>
      </c>
      <c r="BM63" s="46">
        <f t="shared" si="34"/>
        <v>3.25</v>
      </c>
      <c r="BN63" s="45">
        <v>4</v>
      </c>
      <c r="BO63" s="45">
        <v>3</v>
      </c>
      <c r="BP63" s="45">
        <v>2</v>
      </c>
      <c r="BQ63" s="45">
        <v>1</v>
      </c>
      <c r="BR63" s="46">
        <f t="shared" si="35"/>
        <v>2.5</v>
      </c>
      <c r="BS63" s="45"/>
      <c r="BT63" s="45"/>
      <c r="BU63" s="45"/>
      <c r="BV63" s="45"/>
      <c r="BW63" s="46">
        <f t="shared" si="36"/>
        <v>0</v>
      </c>
    </row>
    <row r="64" spans="1:75" ht="76.5">
      <c r="A64" s="45">
        <v>7</v>
      </c>
      <c r="B64" s="50">
        <f t="shared" si="18"/>
        <v>62</v>
      </c>
      <c r="C64" s="51" t="s">
        <v>2773</v>
      </c>
      <c r="D64" s="45" t="s">
        <v>4330</v>
      </c>
      <c r="E64" s="45" t="s">
        <v>4331</v>
      </c>
      <c r="F64" s="45" t="s">
        <v>4332</v>
      </c>
      <c r="G64" s="45" t="s">
        <v>4333</v>
      </c>
      <c r="H64" s="45" t="s">
        <v>4334</v>
      </c>
      <c r="I64" s="52" t="s">
        <v>4301</v>
      </c>
      <c r="J64" s="45" t="s">
        <v>3575</v>
      </c>
      <c r="K64" s="45" t="s">
        <v>4308</v>
      </c>
      <c r="L64" s="45"/>
      <c r="M64" s="45" t="s">
        <v>2773</v>
      </c>
      <c r="N64" s="58">
        <f t="shared" si="41"/>
        <v>168000</v>
      </c>
      <c r="O64" s="58"/>
      <c r="P64" s="58" t="e">
        <f t="shared" si="44"/>
        <v>#N/A</v>
      </c>
      <c r="Q64" s="54" t="e">
        <f>INDEX([5]Timeline!$D$12:$D$24,MATCH(A64,[5]Timeline!$B$12:$B$24,0))</f>
        <v>#N/A</v>
      </c>
      <c r="R64" s="55">
        <v>44561</v>
      </c>
      <c r="S64" s="59">
        <f t="shared" si="15"/>
        <v>2.375</v>
      </c>
      <c r="T64" s="59">
        <f t="shared" si="45"/>
        <v>3</v>
      </c>
      <c r="U64" s="60">
        <f t="shared" si="46"/>
        <v>1.75</v>
      </c>
      <c r="V64" s="56">
        <v>168000</v>
      </c>
      <c r="W64" s="57">
        <v>0</v>
      </c>
      <c r="X64" s="56" t="e">
        <f t="shared" si="42"/>
        <v>#N/A</v>
      </c>
      <c r="Y64" s="45">
        <v>1</v>
      </c>
      <c r="Z64" s="45"/>
      <c r="AA64" s="45"/>
      <c r="AB64" s="45"/>
      <c r="AC64" s="45"/>
      <c r="AD64" s="46">
        <f t="shared" si="3"/>
        <v>0</v>
      </c>
      <c r="AE64" s="45">
        <v>3</v>
      </c>
      <c r="AF64" s="45">
        <v>3</v>
      </c>
      <c r="AG64" s="45">
        <v>1</v>
      </c>
      <c r="AH64" s="45">
        <v>1</v>
      </c>
      <c r="AI64" s="46">
        <f t="shared" si="26"/>
        <v>2</v>
      </c>
      <c r="AJ64" s="45"/>
      <c r="AK64" s="45"/>
      <c r="AL64" s="45"/>
      <c r="AM64" s="45"/>
      <c r="AN64" s="46">
        <f t="shared" si="27"/>
        <v>0</v>
      </c>
      <c r="AO64" s="45">
        <v>3</v>
      </c>
      <c r="AP64" s="45">
        <v>3</v>
      </c>
      <c r="AQ64" s="45">
        <v>1</v>
      </c>
      <c r="AR64" s="45">
        <v>2</v>
      </c>
      <c r="AS64" s="46">
        <f t="shared" si="33"/>
        <v>2.25</v>
      </c>
      <c r="AT64" s="45"/>
      <c r="AU64" s="45"/>
      <c r="AV64" s="45"/>
      <c r="AW64" s="45"/>
      <c r="AX64" s="46">
        <f t="shared" si="28"/>
        <v>0</v>
      </c>
      <c r="AY64" s="45">
        <v>3</v>
      </c>
      <c r="AZ64" s="45">
        <v>3</v>
      </c>
      <c r="BA64" s="45">
        <v>1</v>
      </c>
      <c r="BB64" s="45">
        <v>2</v>
      </c>
      <c r="BC64" s="47">
        <f t="shared" si="47"/>
        <v>2.25</v>
      </c>
      <c r="BD64" s="45"/>
      <c r="BE64" s="45"/>
      <c r="BF64" s="45"/>
      <c r="BG64" s="45"/>
      <c r="BH64" s="45"/>
      <c r="BI64" s="45">
        <v>3</v>
      </c>
      <c r="BJ64" s="45">
        <v>3</v>
      </c>
      <c r="BK64" s="45">
        <v>2</v>
      </c>
      <c r="BL64" s="45">
        <v>4</v>
      </c>
      <c r="BM64" s="46">
        <f t="shared" si="34"/>
        <v>3</v>
      </c>
      <c r="BN64" s="45">
        <v>3</v>
      </c>
      <c r="BO64" s="45">
        <v>3</v>
      </c>
      <c r="BP64" s="45">
        <v>1</v>
      </c>
      <c r="BQ64" s="45">
        <v>2</v>
      </c>
      <c r="BR64" s="46">
        <f t="shared" si="35"/>
        <v>2.25</v>
      </c>
      <c r="BS64" s="45"/>
      <c r="BT64" s="45"/>
      <c r="BU64" s="45"/>
      <c r="BV64" s="45"/>
      <c r="BW64" s="46">
        <f t="shared" si="36"/>
        <v>0</v>
      </c>
    </row>
    <row r="65" spans="1:75" ht="76.5">
      <c r="A65" s="45">
        <v>7</v>
      </c>
      <c r="B65" s="50">
        <f t="shared" si="18"/>
        <v>63</v>
      </c>
      <c r="C65" s="51" t="s">
        <v>2773</v>
      </c>
      <c r="D65" s="262" t="s">
        <v>4335</v>
      </c>
      <c r="E65" s="45" t="s">
        <v>4336</v>
      </c>
      <c r="F65" s="45" t="s">
        <v>4337</v>
      </c>
      <c r="G65" s="45" t="s">
        <v>4338</v>
      </c>
      <c r="H65" s="45" t="s">
        <v>4339</v>
      </c>
      <c r="I65" s="52" t="s">
        <v>4301</v>
      </c>
      <c r="J65" s="45" t="s">
        <v>3575</v>
      </c>
      <c r="K65" s="45" t="s">
        <v>4308</v>
      </c>
      <c r="L65" s="45"/>
      <c r="M65" s="45" t="s">
        <v>2773</v>
      </c>
      <c r="N65" s="58">
        <f t="shared" si="41"/>
        <v>1048500</v>
      </c>
      <c r="O65" s="58"/>
      <c r="P65" s="58" t="e">
        <f t="shared" si="44"/>
        <v>#N/A</v>
      </c>
      <c r="Q65" s="54" t="e">
        <f>INDEX([5]Timeline!$D$12:$D$24,MATCH(A65,[5]Timeline!$B$12:$B$24,0))</f>
        <v>#N/A</v>
      </c>
      <c r="R65" s="55">
        <v>44561</v>
      </c>
      <c r="S65" s="59">
        <f t="shared" si="15"/>
        <v>2.4375</v>
      </c>
      <c r="T65" s="59">
        <f t="shared" si="45"/>
        <v>3.5</v>
      </c>
      <c r="U65" s="60">
        <f t="shared" si="46"/>
        <v>1.375</v>
      </c>
      <c r="V65" s="56">
        <v>1048500</v>
      </c>
      <c r="W65" s="57">
        <v>0</v>
      </c>
      <c r="X65" s="56" t="e">
        <f t="shared" si="42"/>
        <v>#N/A</v>
      </c>
      <c r="Y65" s="45">
        <v>1</v>
      </c>
      <c r="Z65" s="45"/>
      <c r="AA65" s="45"/>
      <c r="AB65" s="45"/>
      <c r="AC65" s="45"/>
      <c r="AD65" s="46">
        <f t="shared" si="3"/>
        <v>0</v>
      </c>
      <c r="AE65" s="45">
        <v>2</v>
      </c>
      <c r="AF65" s="45">
        <v>2</v>
      </c>
      <c r="AG65" s="45">
        <v>1</v>
      </c>
      <c r="AH65" s="45">
        <v>1</v>
      </c>
      <c r="AI65" s="46">
        <f t="shared" si="26"/>
        <v>1.5</v>
      </c>
      <c r="AJ65" s="45"/>
      <c r="AK65" s="45"/>
      <c r="AL65" s="45"/>
      <c r="AM65" s="45"/>
      <c r="AN65" s="46">
        <f t="shared" si="27"/>
        <v>0</v>
      </c>
      <c r="AO65" s="45">
        <v>4</v>
      </c>
      <c r="AP65" s="45">
        <v>4</v>
      </c>
      <c r="AQ65" s="45">
        <v>1</v>
      </c>
      <c r="AR65" s="45">
        <v>2</v>
      </c>
      <c r="AS65" s="46">
        <f t="shared" si="33"/>
        <v>2.75</v>
      </c>
      <c r="AT65" s="45"/>
      <c r="AU65" s="45"/>
      <c r="AV65" s="45"/>
      <c r="AW65" s="45"/>
      <c r="AX65" s="46">
        <f t="shared" si="28"/>
        <v>0</v>
      </c>
      <c r="AY65" s="45">
        <v>4</v>
      </c>
      <c r="AZ65" s="45">
        <v>4</v>
      </c>
      <c r="BA65" s="45">
        <v>1</v>
      </c>
      <c r="BB65" s="45">
        <v>2</v>
      </c>
      <c r="BC65" s="47">
        <f t="shared" si="47"/>
        <v>2.75</v>
      </c>
      <c r="BD65" s="45"/>
      <c r="BE65" s="45"/>
      <c r="BF65" s="45"/>
      <c r="BG65" s="45"/>
      <c r="BH65" s="45"/>
      <c r="BI65" s="45">
        <v>4</v>
      </c>
      <c r="BJ65" s="45">
        <v>4</v>
      </c>
      <c r="BK65" s="45">
        <v>1</v>
      </c>
      <c r="BL65" s="45">
        <v>2</v>
      </c>
      <c r="BM65" s="46">
        <f t="shared" si="34"/>
        <v>2.75</v>
      </c>
      <c r="BN65" s="45">
        <v>4</v>
      </c>
      <c r="BO65" s="45">
        <v>4</v>
      </c>
      <c r="BP65" s="45">
        <v>1</v>
      </c>
      <c r="BQ65" s="45">
        <v>2</v>
      </c>
      <c r="BR65" s="46">
        <f t="shared" si="35"/>
        <v>2.75</v>
      </c>
      <c r="BS65" s="45"/>
      <c r="BT65" s="45"/>
      <c r="BU65" s="45"/>
      <c r="BV65" s="45"/>
      <c r="BW65" s="46">
        <f t="shared" si="36"/>
        <v>0</v>
      </c>
    </row>
    <row r="66" spans="1:75" ht="76.5">
      <c r="A66" s="45">
        <v>8</v>
      </c>
      <c r="B66" s="50">
        <f t="shared" si="18"/>
        <v>64</v>
      </c>
      <c r="C66" s="51" t="s">
        <v>4082</v>
      </c>
      <c r="D66" s="45" t="s">
        <v>4082</v>
      </c>
      <c r="E66" s="45" t="s">
        <v>4340</v>
      </c>
      <c r="F66" s="45" t="s">
        <v>4341</v>
      </c>
      <c r="G66" s="45" t="s">
        <v>4342</v>
      </c>
      <c r="H66" s="45" t="s">
        <v>4343</v>
      </c>
      <c r="I66" s="52" t="s">
        <v>4344</v>
      </c>
      <c r="J66" s="45" t="s">
        <v>3575</v>
      </c>
      <c r="K66" s="45" t="s">
        <v>4302</v>
      </c>
      <c r="L66" s="45"/>
      <c r="M66" s="45" t="s">
        <v>4082</v>
      </c>
      <c r="N66" s="58">
        <f t="shared" si="41"/>
        <v>158000</v>
      </c>
      <c r="O66" s="58"/>
      <c r="P66" s="58" t="e">
        <f t="shared" si="44"/>
        <v>#N/A</v>
      </c>
      <c r="Q66" s="54" t="e">
        <f>INDEX([5]Timeline!$D$12:$D$24,MATCH(A66,[5]Timeline!$B$12:$B$24,0))</f>
        <v>#N/A</v>
      </c>
      <c r="R66" s="55">
        <v>44561</v>
      </c>
      <c r="S66" s="59">
        <f t="shared" si="15"/>
        <v>2.75</v>
      </c>
      <c r="T66" s="59">
        <f t="shared" si="45"/>
        <v>3.8333333333333335</v>
      </c>
      <c r="U66" s="60">
        <f t="shared" si="46"/>
        <v>1.6666666666666667</v>
      </c>
      <c r="V66" s="56">
        <f>316/60*30000</f>
        <v>158000</v>
      </c>
      <c r="W66" s="57">
        <v>0</v>
      </c>
      <c r="X66" s="56" t="e">
        <f t="shared" si="42"/>
        <v>#N/A</v>
      </c>
      <c r="Y66" s="45">
        <v>1</v>
      </c>
      <c r="Z66" s="45"/>
      <c r="AA66" s="45"/>
      <c r="AB66" s="45"/>
      <c r="AC66" s="45"/>
      <c r="AD66" s="46">
        <f t="shared" si="3"/>
        <v>0</v>
      </c>
      <c r="AE66" s="45">
        <v>4</v>
      </c>
      <c r="AF66" s="45">
        <v>4</v>
      </c>
      <c r="AG66" s="45">
        <v>1</v>
      </c>
      <c r="AH66" s="45">
        <v>1</v>
      </c>
      <c r="AI66" s="46">
        <f t="shared" si="26"/>
        <v>2.5</v>
      </c>
      <c r="AJ66" s="45"/>
      <c r="AK66" s="45"/>
      <c r="AL66" s="45"/>
      <c r="AM66" s="45"/>
      <c r="AN66" s="46">
        <f t="shared" si="27"/>
        <v>0</v>
      </c>
      <c r="AO66" s="45">
        <v>4</v>
      </c>
      <c r="AP66" s="45">
        <v>3</v>
      </c>
      <c r="AQ66" s="45">
        <v>2</v>
      </c>
      <c r="AR66" s="45">
        <v>4</v>
      </c>
      <c r="AS66" s="46">
        <f t="shared" si="33"/>
        <v>3.25</v>
      </c>
      <c r="AT66" s="45"/>
      <c r="AU66" s="45"/>
      <c r="AV66" s="45"/>
      <c r="AW66" s="45"/>
      <c r="AX66" s="46">
        <f t="shared" si="28"/>
        <v>0</v>
      </c>
      <c r="AY66" s="45">
        <v>4</v>
      </c>
      <c r="AZ66" s="45">
        <v>4</v>
      </c>
      <c r="BA66" s="45">
        <v>1</v>
      </c>
      <c r="BB66" s="45">
        <v>1</v>
      </c>
      <c r="BC66" s="47">
        <f t="shared" si="47"/>
        <v>2.5</v>
      </c>
      <c r="BD66" s="45"/>
      <c r="BE66" s="45"/>
      <c r="BF66" s="45"/>
      <c r="BG66" s="45"/>
      <c r="BH66" s="45"/>
      <c r="BI66" s="45"/>
      <c r="BJ66" s="45"/>
      <c r="BK66" s="45"/>
      <c r="BL66" s="45"/>
      <c r="BM66" s="46">
        <f t="shared" si="34"/>
        <v>0</v>
      </c>
      <c r="BN66" s="45"/>
      <c r="BO66" s="45"/>
      <c r="BP66" s="45"/>
      <c r="BQ66" s="45"/>
      <c r="BR66" s="46">
        <f t="shared" si="35"/>
        <v>0</v>
      </c>
      <c r="BS66" s="45"/>
      <c r="BT66" s="45"/>
      <c r="BU66" s="45"/>
      <c r="BV66" s="45"/>
      <c r="BW66" s="46">
        <f t="shared" si="36"/>
        <v>0</v>
      </c>
    </row>
    <row r="67" spans="1:75" ht="76.5">
      <c r="A67" s="45">
        <v>8</v>
      </c>
      <c r="B67" s="50">
        <f t="shared" si="18"/>
        <v>65</v>
      </c>
      <c r="C67" s="51" t="s">
        <v>2817</v>
      </c>
      <c r="D67" s="45" t="s">
        <v>2817</v>
      </c>
      <c r="E67" s="45" t="s">
        <v>4345</v>
      </c>
      <c r="F67" s="45" t="s">
        <v>4346</v>
      </c>
      <c r="G67" s="45" t="s">
        <v>4347</v>
      </c>
      <c r="H67" s="45" t="s">
        <v>4348</v>
      </c>
      <c r="I67" s="52" t="s">
        <v>4344</v>
      </c>
      <c r="J67" s="45" t="s">
        <v>3575</v>
      </c>
      <c r="K67" s="45" t="s">
        <v>4308</v>
      </c>
      <c r="L67" s="45"/>
      <c r="M67" s="45" t="s">
        <v>2817</v>
      </c>
      <c r="N67" s="58">
        <f t="shared" si="41"/>
        <v>180000</v>
      </c>
      <c r="O67" s="58"/>
      <c r="P67" s="58" t="e">
        <f t="shared" si="44"/>
        <v>#N/A</v>
      </c>
      <c r="Q67" s="54" t="e">
        <f>INDEX([5]Timeline!$D$12:$D$24,MATCH(A67,[5]Timeline!$B$12:$B$24,0))</f>
        <v>#N/A</v>
      </c>
      <c r="R67" s="55">
        <v>44561</v>
      </c>
      <c r="S67" s="59">
        <f t="shared" si="15"/>
        <v>2.8333333333333335</v>
      </c>
      <c r="T67" s="59">
        <f t="shared" si="45"/>
        <v>4</v>
      </c>
      <c r="U67" s="60">
        <f t="shared" si="46"/>
        <v>1.6666666666666667</v>
      </c>
      <c r="V67" s="56">
        <v>180000</v>
      </c>
      <c r="W67" s="57">
        <v>0</v>
      </c>
      <c r="X67" s="56" t="e">
        <f t="shared" si="42"/>
        <v>#N/A</v>
      </c>
      <c r="Y67" s="45">
        <v>1</v>
      </c>
      <c r="Z67" s="45"/>
      <c r="AA67" s="45"/>
      <c r="AB67" s="45"/>
      <c r="AC67" s="45"/>
      <c r="AD67" s="46">
        <f t="shared" ref="AD67:AD115" si="48">IFERROR(SUM(Z67:AC67)/4,0)</f>
        <v>0</v>
      </c>
      <c r="AE67" s="45">
        <v>4</v>
      </c>
      <c r="AF67" s="45">
        <v>4</v>
      </c>
      <c r="AG67" s="45">
        <v>1</v>
      </c>
      <c r="AH67" s="45">
        <v>1</v>
      </c>
      <c r="AI67" s="46">
        <f t="shared" si="26"/>
        <v>2.5</v>
      </c>
      <c r="AJ67" s="45"/>
      <c r="AK67" s="45"/>
      <c r="AL67" s="45"/>
      <c r="AM67" s="45"/>
      <c r="AN67" s="46">
        <f t="shared" si="27"/>
        <v>0</v>
      </c>
      <c r="AO67" s="45">
        <v>4</v>
      </c>
      <c r="AP67" s="45">
        <v>4</v>
      </c>
      <c r="AQ67" s="45">
        <v>2</v>
      </c>
      <c r="AR67" s="45">
        <v>4</v>
      </c>
      <c r="AS67" s="46">
        <f t="shared" si="33"/>
        <v>3.5</v>
      </c>
      <c r="AT67" s="45"/>
      <c r="AU67" s="45"/>
      <c r="AV67" s="45"/>
      <c r="AW67" s="45"/>
      <c r="AX67" s="46">
        <f t="shared" si="28"/>
        <v>0</v>
      </c>
      <c r="AY67" s="45">
        <v>4</v>
      </c>
      <c r="AZ67" s="45">
        <v>4</v>
      </c>
      <c r="BA67" s="45">
        <v>1</v>
      </c>
      <c r="BB67" s="45">
        <v>1</v>
      </c>
      <c r="BC67" s="47">
        <f t="shared" si="47"/>
        <v>2.5</v>
      </c>
      <c r="BD67" s="45"/>
      <c r="BE67" s="45"/>
      <c r="BF67" s="45"/>
      <c r="BG67" s="45"/>
      <c r="BH67" s="45"/>
      <c r="BI67" s="45"/>
      <c r="BJ67" s="45"/>
      <c r="BK67" s="45"/>
      <c r="BL67" s="45"/>
      <c r="BM67" s="46">
        <f t="shared" si="34"/>
        <v>0</v>
      </c>
      <c r="BN67" s="45"/>
      <c r="BO67" s="45"/>
      <c r="BP67" s="45"/>
      <c r="BQ67" s="45"/>
      <c r="BR67" s="46">
        <f t="shared" si="35"/>
        <v>0</v>
      </c>
      <c r="BS67" s="45"/>
      <c r="BT67" s="45"/>
      <c r="BU67" s="45"/>
      <c r="BV67" s="45"/>
      <c r="BW67" s="46">
        <f t="shared" si="36"/>
        <v>0</v>
      </c>
    </row>
    <row r="68" spans="1:75" ht="106.5">
      <c r="A68" s="45">
        <v>8</v>
      </c>
      <c r="B68" s="50">
        <f t="shared" si="18"/>
        <v>66</v>
      </c>
      <c r="C68" s="51" t="s">
        <v>2854</v>
      </c>
      <c r="D68" s="45" t="s">
        <v>3785</v>
      </c>
      <c r="E68" s="45" t="s">
        <v>4349</v>
      </c>
      <c r="F68" s="45" t="s">
        <v>4350</v>
      </c>
      <c r="G68" s="45" t="s">
        <v>4351</v>
      </c>
      <c r="H68" s="45" t="s">
        <v>4352</v>
      </c>
      <c r="I68" s="52" t="s">
        <v>4344</v>
      </c>
      <c r="J68" s="45" t="s">
        <v>3575</v>
      </c>
      <c r="K68" s="45" t="s">
        <v>4302</v>
      </c>
      <c r="L68" s="45"/>
      <c r="M68" s="45" t="s">
        <v>4323</v>
      </c>
      <c r="N68" s="58">
        <f>V68/7</f>
        <v>28071.428571428572</v>
      </c>
      <c r="O68" s="58"/>
      <c r="P68" s="58" t="e">
        <f t="shared" si="44"/>
        <v>#N/A</v>
      </c>
      <c r="Q68" s="54" t="e">
        <f>INDEX([5]Timeline!$D$12:$D$24,MATCH(A68,[5]Timeline!$B$12:$B$24,0))</f>
        <v>#N/A</v>
      </c>
      <c r="R68" s="55">
        <v>44561</v>
      </c>
      <c r="S68" s="59">
        <f t="shared" ref="S68:S106" si="49">AVERAGE(T68:U68)</f>
        <v>2.5833333333333335</v>
      </c>
      <c r="T68" s="59">
        <f t="shared" si="45"/>
        <v>4</v>
      </c>
      <c r="U68" s="60">
        <f t="shared" si="46"/>
        <v>1.1666666666666667</v>
      </c>
      <c r="V68" s="56">
        <f>1179000/6</f>
        <v>196500</v>
      </c>
      <c r="W68" s="57">
        <v>0</v>
      </c>
      <c r="X68" s="56" t="e">
        <f t="shared" si="42"/>
        <v>#N/A</v>
      </c>
      <c r="Y68" s="45">
        <v>1</v>
      </c>
      <c r="Z68" s="45"/>
      <c r="AA68" s="45"/>
      <c r="AB68" s="45"/>
      <c r="AC68" s="45"/>
      <c r="AD68" s="46">
        <f t="shared" si="48"/>
        <v>0</v>
      </c>
      <c r="AE68" s="45">
        <v>4</v>
      </c>
      <c r="AF68" s="45">
        <v>4</v>
      </c>
      <c r="AG68" s="45">
        <v>1</v>
      </c>
      <c r="AH68" s="45">
        <v>1</v>
      </c>
      <c r="AI68" s="46">
        <f t="shared" si="26"/>
        <v>2.5</v>
      </c>
      <c r="AJ68" s="45"/>
      <c r="AK68" s="45"/>
      <c r="AL68" s="45"/>
      <c r="AM68" s="45"/>
      <c r="AN68" s="46">
        <f t="shared" si="27"/>
        <v>0</v>
      </c>
      <c r="AO68" s="45">
        <v>4</v>
      </c>
      <c r="AP68" s="45">
        <v>4</v>
      </c>
      <c r="AQ68" s="45">
        <v>2</v>
      </c>
      <c r="AR68" s="45">
        <v>1</v>
      </c>
      <c r="AS68" s="46">
        <f t="shared" si="33"/>
        <v>2.75</v>
      </c>
      <c r="AT68" s="45"/>
      <c r="AU68" s="45"/>
      <c r="AV68" s="45"/>
      <c r="AW68" s="45"/>
      <c r="AX68" s="46">
        <f t="shared" si="28"/>
        <v>0</v>
      </c>
      <c r="AY68" s="45">
        <v>4</v>
      </c>
      <c r="AZ68" s="45">
        <v>4</v>
      </c>
      <c r="BA68" s="45">
        <v>1</v>
      </c>
      <c r="BB68" s="45">
        <v>1</v>
      </c>
      <c r="BC68" s="47">
        <f t="shared" si="47"/>
        <v>2.5</v>
      </c>
      <c r="BD68" s="45"/>
      <c r="BE68" s="45"/>
      <c r="BF68" s="45"/>
      <c r="BG68" s="45"/>
      <c r="BH68" s="45"/>
      <c r="BI68" s="45"/>
      <c r="BJ68" s="45"/>
      <c r="BK68" s="45"/>
      <c r="BL68" s="45"/>
      <c r="BM68" s="46">
        <f t="shared" si="34"/>
        <v>0</v>
      </c>
      <c r="BN68" s="45"/>
      <c r="BO68" s="45"/>
      <c r="BP68" s="45"/>
      <c r="BQ68" s="45"/>
      <c r="BR68" s="46">
        <f t="shared" si="35"/>
        <v>0</v>
      </c>
      <c r="BS68" s="45"/>
      <c r="BT68" s="45"/>
      <c r="BU68" s="45"/>
      <c r="BV68" s="45"/>
      <c r="BW68" s="46">
        <f t="shared" si="36"/>
        <v>0</v>
      </c>
    </row>
    <row r="69" spans="1:75" ht="76.5">
      <c r="A69" s="45">
        <v>8</v>
      </c>
      <c r="B69" s="50">
        <f t="shared" ref="B69:B106" si="50">B68+1</f>
        <v>67</v>
      </c>
      <c r="C69" s="51" t="s">
        <v>2773</v>
      </c>
      <c r="D69" s="45" t="s">
        <v>3737</v>
      </c>
      <c r="E69" s="45" t="s">
        <v>4353</v>
      </c>
      <c r="F69" s="45" t="s">
        <v>4354</v>
      </c>
      <c r="G69" s="45" t="s">
        <v>4355</v>
      </c>
      <c r="H69" s="45" t="s">
        <v>4356</v>
      </c>
      <c r="I69" s="52" t="s">
        <v>4344</v>
      </c>
      <c r="J69" s="45" t="s">
        <v>3575</v>
      </c>
      <c r="K69" s="45" t="s">
        <v>4357</v>
      </c>
      <c r="L69" s="45"/>
      <c r="M69" s="45" t="s">
        <v>2773</v>
      </c>
      <c r="N69" s="58">
        <f t="shared" si="41"/>
        <v>1265000</v>
      </c>
      <c r="O69" s="58"/>
      <c r="P69" s="58" t="e">
        <f t="shared" si="44"/>
        <v>#N/A</v>
      </c>
      <c r="Q69" s="54" t="e">
        <f>INDEX([5]Timeline!$D$12:$D$24,MATCH(A69,[5]Timeline!$B$12:$B$24,0))</f>
        <v>#N/A</v>
      </c>
      <c r="R69" s="55">
        <v>44561</v>
      </c>
      <c r="S69" s="59">
        <f t="shared" si="49"/>
        <v>2.5833333333333335</v>
      </c>
      <c r="T69" s="59">
        <f t="shared" si="45"/>
        <v>3.5</v>
      </c>
      <c r="U69" s="60">
        <f t="shared" si="46"/>
        <v>1.6666666666666667</v>
      </c>
      <c r="V69" s="56">
        <v>1265000</v>
      </c>
      <c r="W69" s="57">
        <v>0</v>
      </c>
      <c r="X69" s="56" t="e">
        <f t="shared" si="42"/>
        <v>#N/A</v>
      </c>
      <c r="Y69" s="45">
        <v>1</v>
      </c>
      <c r="Z69" s="45"/>
      <c r="AA69" s="45"/>
      <c r="AB69" s="45"/>
      <c r="AC69" s="45"/>
      <c r="AD69" s="46">
        <f t="shared" si="48"/>
        <v>0</v>
      </c>
      <c r="AE69" s="45">
        <v>4</v>
      </c>
      <c r="AF69" s="45">
        <v>4</v>
      </c>
      <c r="AG69" s="45">
        <v>1</v>
      </c>
      <c r="AH69" s="45">
        <v>1</v>
      </c>
      <c r="AI69" s="46">
        <f t="shared" si="26"/>
        <v>2.5</v>
      </c>
      <c r="AJ69" s="45"/>
      <c r="AK69" s="45"/>
      <c r="AL69" s="45"/>
      <c r="AM69" s="45"/>
      <c r="AN69" s="46">
        <f t="shared" si="27"/>
        <v>0</v>
      </c>
      <c r="AO69" s="45">
        <v>3</v>
      </c>
      <c r="AP69" s="45">
        <v>3</v>
      </c>
      <c r="AQ69" s="45">
        <v>2</v>
      </c>
      <c r="AR69" s="45">
        <v>4</v>
      </c>
      <c r="AS69" s="46">
        <f t="shared" si="33"/>
        <v>3</v>
      </c>
      <c r="AT69" s="45"/>
      <c r="AU69" s="45"/>
      <c r="AV69" s="45"/>
      <c r="AW69" s="45"/>
      <c r="AX69" s="46">
        <f t="shared" si="28"/>
        <v>0</v>
      </c>
      <c r="AY69" s="45">
        <v>4</v>
      </c>
      <c r="AZ69" s="45">
        <v>3</v>
      </c>
      <c r="BA69" s="45">
        <v>1</v>
      </c>
      <c r="BB69" s="45">
        <v>1</v>
      </c>
      <c r="BC69" s="47">
        <f t="shared" si="47"/>
        <v>2.25</v>
      </c>
      <c r="BD69" s="45"/>
      <c r="BE69" s="45"/>
      <c r="BF69" s="45"/>
      <c r="BG69" s="45"/>
      <c r="BH69" s="45"/>
      <c r="BI69" s="45"/>
      <c r="BJ69" s="45"/>
      <c r="BK69" s="45"/>
      <c r="BL69" s="45"/>
      <c r="BM69" s="46">
        <f t="shared" si="34"/>
        <v>0</v>
      </c>
      <c r="BN69" s="45"/>
      <c r="BO69" s="45"/>
      <c r="BP69" s="45"/>
      <c r="BQ69" s="45"/>
      <c r="BR69" s="46">
        <f t="shared" si="35"/>
        <v>0</v>
      </c>
      <c r="BS69" s="45"/>
      <c r="BT69" s="45"/>
      <c r="BU69" s="45"/>
      <c r="BV69" s="45"/>
      <c r="BW69" s="46">
        <f t="shared" si="36"/>
        <v>0</v>
      </c>
    </row>
    <row r="70" spans="1:75" ht="76.5">
      <c r="A70" s="45">
        <v>8</v>
      </c>
      <c r="B70" s="50">
        <f t="shared" si="50"/>
        <v>68</v>
      </c>
      <c r="C70" s="51" t="s">
        <v>2773</v>
      </c>
      <c r="D70" s="45" t="s">
        <v>4358</v>
      </c>
      <c r="E70" s="45" t="s">
        <v>4359</v>
      </c>
      <c r="F70" s="45" t="s">
        <v>4360</v>
      </c>
      <c r="G70" s="45" t="s">
        <v>4361</v>
      </c>
      <c r="H70" s="45" t="s">
        <v>4362</v>
      </c>
      <c r="I70" s="52" t="s">
        <v>4344</v>
      </c>
      <c r="J70" s="45" t="s">
        <v>3575</v>
      </c>
      <c r="K70" s="45" t="s">
        <v>4308</v>
      </c>
      <c r="L70" s="45"/>
      <c r="M70" s="45" t="s">
        <v>2773</v>
      </c>
      <c r="N70" s="58">
        <f t="shared" si="41"/>
        <v>42900</v>
      </c>
      <c r="O70" s="58"/>
      <c r="P70" s="58" t="e">
        <f t="shared" si="44"/>
        <v>#N/A</v>
      </c>
      <c r="Q70" s="54" t="e">
        <f>INDEX([5]Timeline!$D$12:$D$24,MATCH(A70,[5]Timeline!$B$12:$B$24,0))</f>
        <v>#N/A</v>
      </c>
      <c r="R70" s="55">
        <v>44561</v>
      </c>
      <c r="S70" s="59">
        <f t="shared" si="49"/>
        <v>2.5</v>
      </c>
      <c r="T70" s="59">
        <f t="shared" si="45"/>
        <v>3.5</v>
      </c>
      <c r="U70" s="60">
        <f t="shared" si="46"/>
        <v>1.5</v>
      </c>
      <c r="V70" s="56">
        <v>42900</v>
      </c>
      <c r="W70" s="57">
        <v>0</v>
      </c>
      <c r="X70" s="56" t="e">
        <f t="shared" si="42"/>
        <v>#N/A</v>
      </c>
      <c r="Y70" s="45">
        <v>1</v>
      </c>
      <c r="Z70" s="45"/>
      <c r="AA70" s="45"/>
      <c r="AB70" s="45"/>
      <c r="AC70" s="45"/>
      <c r="AD70" s="46">
        <f t="shared" si="48"/>
        <v>0</v>
      </c>
      <c r="AE70" s="45">
        <v>4</v>
      </c>
      <c r="AF70" s="45">
        <v>4</v>
      </c>
      <c r="AG70" s="45">
        <v>1</v>
      </c>
      <c r="AH70" s="45">
        <v>1</v>
      </c>
      <c r="AI70" s="46">
        <f t="shared" si="26"/>
        <v>2.5</v>
      </c>
      <c r="AJ70" s="45"/>
      <c r="AK70" s="45"/>
      <c r="AL70" s="45"/>
      <c r="AM70" s="45"/>
      <c r="AN70" s="46">
        <f t="shared" si="27"/>
        <v>0</v>
      </c>
      <c r="AO70" s="45">
        <v>3</v>
      </c>
      <c r="AP70" s="45">
        <v>3</v>
      </c>
      <c r="AQ70" s="45">
        <v>2</v>
      </c>
      <c r="AR70" s="45">
        <v>2</v>
      </c>
      <c r="AS70" s="46">
        <f t="shared" si="33"/>
        <v>2.5</v>
      </c>
      <c r="AT70" s="45"/>
      <c r="AU70" s="45"/>
      <c r="AV70" s="45"/>
      <c r="AW70" s="45"/>
      <c r="AX70" s="46">
        <f t="shared" si="28"/>
        <v>0</v>
      </c>
      <c r="AY70" s="45">
        <v>4</v>
      </c>
      <c r="AZ70" s="45">
        <v>3</v>
      </c>
      <c r="BA70" s="45">
        <v>1</v>
      </c>
      <c r="BB70" s="45">
        <v>2</v>
      </c>
      <c r="BC70" s="47">
        <f t="shared" si="47"/>
        <v>2.5</v>
      </c>
      <c r="BD70" s="45"/>
      <c r="BE70" s="45"/>
      <c r="BF70" s="45"/>
      <c r="BG70" s="45"/>
      <c r="BH70" s="45"/>
      <c r="BI70" s="45"/>
      <c r="BJ70" s="45"/>
      <c r="BK70" s="45"/>
      <c r="BL70" s="45"/>
      <c r="BM70" s="46">
        <f t="shared" si="34"/>
        <v>0</v>
      </c>
      <c r="BN70" s="45"/>
      <c r="BO70" s="45"/>
      <c r="BP70" s="45"/>
      <c r="BQ70" s="45"/>
      <c r="BR70" s="46">
        <f t="shared" si="35"/>
        <v>0</v>
      </c>
      <c r="BS70" s="45"/>
      <c r="BT70" s="45"/>
      <c r="BU70" s="45"/>
      <c r="BV70" s="45"/>
      <c r="BW70" s="46">
        <f t="shared" si="36"/>
        <v>0</v>
      </c>
    </row>
    <row r="71" spans="1:75" ht="78.95" customHeight="1">
      <c r="A71" s="45">
        <v>9</v>
      </c>
      <c r="B71" s="50">
        <f t="shared" si="50"/>
        <v>69</v>
      </c>
      <c r="C71" s="51" t="s">
        <v>2817</v>
      </c>
      <c r="D71" s="45" t="s">
        <v>3978</v>
      </c>
      <c r="E71" s="45" t="s">
        <v>4363</v>
      </c>
      <c r="F71" s="45" t="s">
        <v>4364</v>
      </c>
      <c r="G71" s="45" t="s">
        <v>4365</v>
      </c>
      <c r="H71" s="45" t="s">
        <v>4366</v>
      </c>
      <c r="I71" s="52" t="s">
        <v>4367</v>
      </c>
      <c r="J71" s="45" t="s">
        <v>3575</v>
      </c>
      <c r="K71" s="45" t="s">
        <v>4308</v>
      </c>
      <c r="L71" s="45"/>
      <c r="M71" s="45" t="s">
        <v>2817</v>
      </c>
      <c r="N71" s="58">
        <f t="shared" si="41"/>
        <v>126000</v>
      </c>
      <c r="O71" s="58"/>
      <c r="P71" s="58" t="e">
        <f t="shared" si="44"/>
        <v>#N/A</v>
      </c>
      <c r="Q71" s="54" t="e">
        <f>INDEX([5]Timeline!$D$12:$D$24,MATCH(A71,[5]Timeline!$B$12:$B$24,0))</f>
        <v>#N/A</v>
      </c>
      <c r="R71" s="55">
        <v>44561</v>
      </c>
      <c r="S71" s="59">
        <f t="shared" si="49"/>
        <v>2.8333333333333335</v>
      </c>
      <c r="T71" s="59">
        <f t="shared" si="45"/>
        <v>4</v>
      </c>
      <c r="U71" s="60">
        <f t="shared" si="46"/>
        <v>1.6666666666666667</v>
      </c>
      <c r="V71" s="56">
        <v>126000</v>
      </c>
      <c r="W71" s="57">
        <v>0</v>
      </c>
      <c r="X71" s="56" t="e">
        <f t="shared" si="42"/>
        <v>#N/A</v>
      </c>
      <c r="Y71" s="45">
        <v>1</v>
      </c>
      <c r="Z71" s="45"/>
      <c r="AA71" s="45"/>
      <c r="AB71" s="45"/>
      <c r="AC71" s="45"/>
      <c r="AD71" s="46">
        <f t="shared" si="48"/>
        <v>0</v>
      </c>
      <c r="AE71" s="45">
        <v>4</v>
      </c>
      <c r="AF71" s="45">
        <v>4</v>
      </c>
      <c r="AG71" s="45">
        <v>1</v>
      </c>
      <c r="AH71" s="45">
        <v>1</v>
      </c>
      <c r="AI71" s="46">
        <f t="shared" si="26"/>
        <v>2.5</v>
      </c>
      <c r="AJ71" s="45"/>
      <c r="AK71" s="45"/>
      <c r="AL71" s="45"/>
      <c r="AM71" s="45"/>
      <c r="AN71" s="46">
        <f t="shared" si="27"/>
        <v>0</v>
      </c>
      <c r="AO71" s="45">
        <v>4</v>
      </c>
      <c r="AP71" s="45">
        <v>4</v>
      </c>
      <c r="AQ71" s="45">
        <v>2</v>
      </c>
      <c r="AR71" s="45">
        <v>4</v>
      </c>
      <c r="AS71" s="46">
        <f t="shared" si="33"/>
        <v>3.5</v>
      </c>
      <c r="AT71" s="45"/>
      <c r="AU71" s="45"/>
      <c r="AV71" s="45"/>
      <c r="AW71" s="45"/>
      <c r="AX71" s="46">
        <f t="shared" si="28"/>
        <v>0</v>
      </c>
      <c r="AY71" s="45">
        <v>4</v>
      </c>
      <c r="AZ71" s="45">
        <v>4</v>
      </c>
      <c r="BA71" s="45">
        <v>1</v>
      </c>
      <c r="BB71" s="45">
        <v>1</v>
      </c>
      <c r="BC71" s="47">
        <f t="shared" si="47"/>
        <v>2.5</v>
      </c>
      <c r="BD71" s="45"/>
      <c r="BE71" s="45"/>
      <c r="BF71" s="45"/>
      <c r="BG71" s="45"/>
      <c r="BH71" s="45"/>
      <c r="BI71" s="45"/>
      <c r="BJ71" s="45"/>
      <c r="BK71" s="45"/>
      <c r="BL71" s="45"/>
      <c r="BM71" s="46">
        <f t="shared" si="34"/>
        <v>0</v>
      </c>
      <c r="BN71" s="45"/>
      <c r="BO71" s="45"/>
      <c r="BP71" s="45"/>
      <c r="BQ71" s="45"/>
      <c r="BR71" s="46">
        <f t="shared" si="35"/>
        <v>0</v>
      </c>
      <c r="BS71" s="45"/>
      <c r="BT71" s="45"/>
      <c r="BU71" s="45"/>
      <c r="BV71" s="45"/>
      <c r="BW71" s="46">
        <f t="shared" si="36"/>
        <v>0</v>
      </c>
    </row>
    <row r="72" spans="1:75" s="284" customFormat="1" ht="91.5">
      <c r="A72" s="266">
        <v>9</v>
      </c>
      <c r="B72" s="264">
        <f t="shared" si="50"/>
        <v>70</v>
      </c>
      <c r="C72" s="265" t="s">
        <v>2914</v>
      </c>
      <c r="D72" s="266" t="s">
        <v>1482</v>
      </c>
      <c r="E72" s="266" t="s">
        <v>4368</v>
      </c>
      <c r="F72" s="266" t="s">
        <v>4369</v>
      </c>
      <c r="G72" s="266"/>
      <c r="H72" s="266"/>
      <c r="I72" s="272" t="s">
        <v>4367</v>
      </c>
      <c r="J72" s="266" t="s">
        <v>4370</v>
      </c>
      <c r="K72" s="266"/>
      <c r="L72" s="266"/>
      <c r="M72" s="45" t="str">
        <f t="shared" ref="M72:M74" si="51">D72</f>
        <v>WH Medan</v>
      </c>
      <c r="N72" s="58">
        <f t="shared" si="41"/>
        <v>0</v>
      </c>
      <c r="O72" s="58"/>
      <c r="P72" s="58" t="e">
        <f t="shared" si="44"/>
        <v>#N/A</v>
      </c>
      <c r="Q72" s="280" t="e">
        <f>INDEX([5]Timeline!$D$12:$D$24,MATCH(A72,[5]Timeline!$B$12:$B$24,0))</f>
        <v>#N/A</v>
      </c>
      <c r="R72" s="281">
        <v>44561</v>
      </c>
      <c r="S72" s="282" t="e">
        <f t="shared" si="49"/>
        <v>#DIV/0!</v>
      </c>
      <c r="T72" s="282" t="e">
        <f t="shared" si="45"/>
        <v>#DIV/0!</v>
      </c>
      <c r="U72" s="282" t="e">
        <f t="shared" si="46"/>
        <v>#DIV/0!</v>
      </c>
      <c r="V72" s="127">
        <v>0</v>
      </c>
      <c r="W72" s="127">
        <v>0</v>
      </c>
      <c r="X72" s="127" t="e">
        <f t="shared" si="42"/>
        <v>#N/A</v>
      </c>
      <c r="Y72" s="266">
        <v>1</v>
      </c>
      <c r="Z72" s="45"/>
      <c r="AA72" s="45"/>
      <c r="AB72" s="45"/>
      <c r="AC72" s="45"/>
      <c r="AD72" s="46">
        <f t="shared" si="48"/>
        <v>0</v>
      </c>
      <c r="AE72" s="266"/>
      <c r="AF72" s="266"/>
      <c r="AG72" s="266"/>
      <c r="AH72" s="266"/>
      <c r="AI72" s="283">
        <f t="shared" si="26"/>
        <v>0</v>
      </c>
      <c r="AJ72" s="266"/>
      <c r="AK72" s="266"/>
      <c r="AL72" s="266"/>
      <c r="AM72" s="266"/>
      <c r="AN72" s="283">
        <f t="shared" si="27"/>
        <v>0</v>
      </c>
      <c r="AO72" s="266"/>
      <c r="AP72" s="266"/>
      <c r="AQ72" s="266"/>
      <c r="AR72" s="266"/>
      <c r="AS72" s="283">
        <f t="shared" si="33"/>
        <v>0</v>
      </c>
      <c r="AT72" s="45"/>
      <c r="AU72" s="45"/>
      <c r="AV72" s="45"/>
      <c r="AW72" s="45"/>
      <c r="AX72" s="46">
        <f t="shared" si="28"/>
        <v>0</v>
      </c>
      <c r="AY72" s="266"/>
      <c r="AZ72" s="266"/>
      <c r="BA72" s="266"/>
      <c r="BB72" s="266"/>
      <c r="BC72" s="283">
        <f t="shared" si="47"/>
        <v>0</v>
      </c>
      <c r="BD72" s="45"/>
      <c r="BE72" s="45"/>
      <c r="BF72" s="45"/>
      <c r="BG72" s="45"/>
      <c r="BH72" s="45"/>
      <c r="BI72" s="45"/>
      <c r="BJ72" s="45"/>
      <c r="BK72" s="45"/>
      <c r="BL72" s="45"/>
      <c r="BM72" s="46">
        <f t="shared" si="34"/>
        <v>0</v>
      </c>
      <c r="BN72" s="266"/>
      <c r="BO72" s="266"/>
      <c r="BP72" s="266"/>
      <c r="BQ72" s="266"/>
      <c r="BR72" s="283">
        <f t="shared" si="35"/>
        <v>0</v>
      </c>
      <c r="BS72" s="266"/>
      <c r="BT72" s="266"/>
      <c r="BU72" s="266"/>
      <c r="BV72" s="266"/>
      <c r="BW72" s="283">
        <f t="shared" si="36"/>
        <v>0</v>
      </c>
    </row>
    <row r="73" spans="1:75" s="284" customFormat="1" ht="91.5">
      <c r="A73" s="266">
        <v>9</v>
      </c>
      <c r="B73" s="264">
        <f t="shared" si="50"/>
        <v>71</v>
      </c>
      <c r="C73" s="265" t="s">
        <v>2914</v>
      </c>
      <c r="D73" s="266" t="s">
        <v>3487</v>
      </c>
      <c r="E73" s="266" t="s">
        <v>4368</v>
      </c>
      <c r="F73" s="266" t="s">
        <v>4369</v>
      </c>
      <c r="G73" s="266"/>
      <c r="H73" s="266"/>
      <c r="I73" s="272" t="s">
        <v>4367</v>
      </c>
      <c r="J73" s="266" t="s">
        <v>4370</v>
      </c>
      <c r="K73" s="266"/>
      <c r="L73" s="266"/>
      <c r="M73" s="45" t="str">
        <f t="shared" si="51"/>
        <v>WH Deli Serdang</v>
      </c>
      <c r="N73" s="58">
        <f t="shared" si="41"/>
        <v>0</v>
      </c>
      <c r="O73" s="58"/>
      <c r="P73" s="58" t="e">
        <f t="shared" si="44"/>
        <v>#N/A</v>
      </c>
      <c r="Q73" s="280" t="e">
        <f>INDEX([5]Timeline!$D$12:$D$24,MATCH(A73,[5]Timeline!$B$12:$B$24,0))</f>
        <v>#N/A</v>
      </c>
      <c r="R73" s="281">
        <v>44561</v>
      </c>
      <c r="S73" s="282" t="e">
        <f t="shared" si="49"/>
        <v>#DIV/0!</v>
      </c>
      <c r="T73" s="282" t="e">
        <f t="shared" si="45"/>
        <v>#DIV/0!</v>
      </c>
      <c r="U73" s="282" t="e">
        <f t="shared" si="46"/>
        <v>#DIV/0!</v>
      </c>
      <c r="V73" s="127">
        <v>0</v>
      </c>
      <c r="W73" s="127">
        <v>0</v>
      </c>
      <c r="X73" s="127" t="e">
        <f t="shared" si="42"/>
        <v>#N/A</v>
      </c>
      <c r="Y73" s="266">
        <v>1</v>
      </c>
      <c r="Z73" s="45"/>
      <c r="AA73" s="45"/>
      <c r="AB73" s="45"/>
      <c r="AC73" s="45"/>
      <c r="AD73" s="46">
        <f t="shared" si="48"/>
        <v>0</v>
      </c>
      <c r="AE73" s="266"/>
      <c r="AF73" s="266"/>
      <c r="AG73" s="266"/>
      <c r="AH73" s="266"/>
      <c r="AI73" s="283">
        <f t="shared" si="26"/>
        <v>0</v>
      </c>
      <c r="AJ73" s="266"/>
      <c r="AK73" s="266"/>
      <c r="AL73" s="266"/>
      <c r="AM73" s="266"/>
      <c r="AN73" s="283">
        <f t="shared" si="27"/>
        <v>0</v>
      </c>
      <c r="AO73" s="266"/>
      <c r="AP73" s="266"/>
      <c r="AQ73" s="266"/>
      <c r="AR73" s="266"/>
      <c r="AS73" s="283">
        <f t="shared" si="33"/>
        <v>0</v>
      </c>
      <c r="AT73" s="45"/>
      <c r="AU73" s="45"/>
      <c r="AV73" s="45"/>
      <c r="AW73" s="45"/>
      <c r="AX73" s="46">
        <f t="shared" si="28"/>
        <v>0</v>
      </c>
      <c r="AY73" s="266"/>
      <c r="AZ73" s="266"/>
      <c r="BA73" s="266"/>
      <c r="BB73" s="266"/>
      <c r="BC73" s="283">
        <f t="shared" si="47"/>
        <v>0</v>
      </c>
      <c r="BD73" s="45"/>
      <c r="BE73" s="45"/>
      <c r="BF73" s="45"/>
      <c r="BG73" s="45"/>
      <c r="BH73" s="45"/>
      <c r="BI73" s="45"/>
      <c r="BJ73" s="45"/>
      <c r="BK73" s="45"/>
      <c r="BL73" s="45"/>
      <c r="BM73" s="46">
        <f t="shared" si="34"/>
        <v>0</v>
      </c>
      <c r="BN73" s="266"/>
      <c r="BO73" s="266"/>
      <c r="BP73" s="266"/>
      <c r="BQ73" s="266"/>
      <c r="BR73" s="283">
        <f t="shared" si="35"/>
        <v>0</v>
      </c>
      <c r="BS73" s="266"/>
      <c r="BT73" s="266"/>
      <c r="BU73" s="266"/>
      <c r="BV73" s="266"/>
      <c r="BW73" s="283">
        <f t="shared" si="36"/>
        <v>0</v>
      </c>
    </row>
    <row r="74" spans="1:75" ht="91.5">
      <c r="A74" s="45">
        <v>9</v>
      </c>
      <c r="B74" s="50">
        <f t="shared" si="50"/>
        <v>72</v>
      </c>
      <c r="C74" s="51" t="s">
        <v>2914</v>
      </c>
      <c r="D74" s="262" t="s">
        <v>3662</v>
      </c>
      <c r="E74" s="45" t="s">
        <v>4371</v>
      </c>
      <c r="F74" s="45" t="s">
        <v>4372</v>
      </c>
      <c r="G74" s="45" t="s">
        <v>4373</v>
      </c>
      <c r="H74" s="45" t="s">
        <v>4374</v>
      </c>
      <c r="I74" s="52" t="s">
        <v>4367</v>
      </c>
      <c r="J74" s="45" t="s">
        <v>3575</v>
      </c>
      <c r="K74" s="45" t="s">
        <v>4375</v>
      </c>
      <c r="L74" s="45"/>
      <c r="M74" s="45" t="str">
        <f t="shared" si="51"/>
        <v>WH Sidoarjo</v>
      </c>
      <c r="N74" s="58">
        <f t="shared" si="41"/>
        <v>34351000</v>
      </c>
      <c r="O74" s="58"/>
      <c r="P74" s="58" t="e">
        <f t="shared" si="44"/>
        <v>#N/A</v>
      </c>
      <c r="Q74" s="54" t="e">
        <f>INDEX([5]Timeline!$D$12:$D$24,MATCH(A74,[5]Timeline!$B$12:$B$24,0))</f>
        <v>#N/A</v>
      </c>
      <c r="R74" s="55">
        <v>44561</v>
      </c>
      <c r="S74" s="59">
        <f t="shared" si="49"/>
        <v>3.4166666666666665</v>
      </c>
      <c r="T74" s="59">
        <f t="shared" si="45"/>
        <v>3.6666666666666665</v>
      </c>
      <c r="U74" s="267">
        <f t="shared" si="46"/>
        <v>3.1666666666666665</v>
      </c>
      <c r="V74" s="120">
        <f>3435.1*10000</f>
        <v>34351000</v>
      </c>
      <c r="W74" s="57">
        <v>0</v>
      </c>
      <c r="X74" s="56" t="e">
        <f t="shared" si="42"/>
        <v>#N/A</v>
      </c>
      <c r="Y74" s="45">
        <v>1</v>
      </c>
      <c r="Z74" s="45"/>
      <c r="AA74" s="45"/>
      <c r="AB74" s="45"/>
      <c r="AC74" s="45"/>
      <c r="AD74" s="46">
        <f t="shared" si="48"/>
        <v>0</v>
      </c>
      <c r="AE74" s="45">
        <v>4</v>
      </c>
      <c r="AF74" s="45">
        <v>4</v>
      </c>
      <c r="AG74" s="45">
        <v>4</v>
      </c>
      <c r="AH74" s="45">
        <v>3</v>
      </c>
      <c r="AI74" s="46">
        <f t="shared" si="26"/>
        <v>3.75</v>
      </c>
      <c r="AJ74" s="45"/>
      <c r="AK74" s="45"/>
      <c r="AL74" s="45"/>
      <c r="AM74" s="45"/>
      <c r="AN74" s="46">
        <f t="shared" si="27"/>
        <v>0</v>
      </c>
      <c r="AO74" s="45">
        <v>3</v>
      </c>
      <c r="AP74" s="45">
        <v>3</v>
      </c>
      <c r="AQ74" s="45">
        <v>4</v>
      </c>
      <c r="AR74" s="45">
        <v>1</v>
      </c>
      <c r="AS74" s="46">
        <f t="shared" si="33"/>
        <v>2.75</v>
      </c>
      <c r="AT74" s="45"/>
      <c r="AU74" s="45"/>
      <c r="AV74" s="45"/>
      <c r="AW74" s="45"/>
      <c r="AX74" s="46">
        <f t="shared" si="28"/>
        <v>0</v>
      </c>
      <c r="AY74" s="45">
        <v>4</v>
      </c>
      <c r="AZ74" s="45">
        <v>4</v>
      </c>
      <c r="BA74" s="45">
        <v>4</v>
      </c>
      <c r="BB74" s="45">
        <v>3</v>
      </c>
      <c r="BC74" s="47">
        <f t="shared" si="47"/>
        <v>3.75</v>
      </c>
      <c r="BD74" s="45"/>
      <c r="BE74" s="45"/>
      <c r="BF74" s="45"/>
      <c r="BG74" s="45"/>
      <c r="BH74" s="45"/>
      <c r="BI74" s="45"/>
      <c r="BJ74" s="45"/>
      <c r="BK74" s="45"/>
      <c r="BL74" s="45"/>
      <c r="BM74" s="46">
        <f t="shared" si="34"/>
        <v>0</v>
      </c>
      <c r="BN74" s="45">
        <v>2</v>
      </c>
      <c r="BO74" s="45">
        <v>3</v>
      </c>
      <c r="BP74" s="45">
        <v>4</v>
      </c>
      <c r="BQ74" s="45">
        <v>1</v>
      </c>
      <c r="BR74" s="46">
        <f t="shared" si="35"/>
        <v>2.5</v>
      </c>
      <c r="BS74" s="45"/>
      <c r="BT74" s="45"/>
      <c r="BU74" s="45"/>
      <c r="BV74" s="45"/>
      <c r="BW74" s="46">
        <f t="shared" si="36"/>
        <v>0</v>
      </c>
    </row>
    <row r="75" spans="1:75" ht="91.5">
      <c r="A75" s="45">
        <v>9</v>
      </c>
      <c r="B75" s="50">
        <f t="shared" si="50"/>
        <v>73</v>
      </c>
      <c r="C75" s="51" t="s">
        <v>2773</v>
      </c>
      <c r="D75" s="262" t="s">
        <v>4376</v>
      </c>
      <c r="E75" s="45" t="s">
        <v>4377</v>
      </c>
      <c r="F75" s="45" t="s">
        <v>4378</v>
      </c>
      <c r="G75" s="45" t="s">
        <v>4379</v>
      </c>
      <c r="H75" s="45" t="s">
        <v>4380</v>
      </c>
      <c r="I75" s="52" t="s">
        <v>4367</v>
      </c>
      <c r="J75" s="45" t="s">
        <v>3575</v>
      </c>
      <c r="K75" s="45" t="s">
        <v>4375</v>
      </c>
      <c r="L75" s="45"/>
      <c r="M75" s="45" t="s">
        <v>2773</v>
      </c>
      <c r="N75" s="58">
        <f t="shared" si="41"/>
        <v>510000</v>
      </c>
      <c r="O75" s="58"/>
      <c r="P75" s="58" t="e">
        <f t="shared" si="44"/>
        <v>#N/A</v>
      </c>
      <c r="Q75" s="54" t="e">
        <f>INDEX([5]Timeline!$D$12:$D$24,MATCH(A75,[5]Timeline!$B$12:$B$24,0))</f>
        <v>#N/A</v>
      </c>
      <c r="R75" s="55">
        <v>44561</v>
      </c>
      <c r="S75" s="59">
        <f t="shared" si="49"/>
        <v>3.916666666666667</v>
      </c>
      <c r="T75" s="59">
        <f t="shared" si="45"/>
        <v>3.8333333333333335</v>
      </c>
      <c r="U75" s="267">
        <f t="shared" si="46"/>
        <v>4</v>
      </c>
      <c r="V75" s="56">
        <v>510000</v>
      </c>
      <c r="W75" s="57">
        <v>0</v>
      </c>
      <c r="X75" s="56" t="e">
        <f t="shared" si="42"/>
        <v>#N/A</v>
      </c>
      <c r="Y75" s="45">
        <v>1</v>
      </c>
      <c r="Z75" s="45"/>
      <c r="AA75" s="45"/>
      <c r="AB75" s="45"/>
      <c r="AC75" s="45"/>
      <c r="AD75" s="46">
        <f t="shared" si="48"/>
        <v>0</v>
      </c>
      <c r="AE75" s="45">
        <v>4</v>
      </c>
      <c r="AF75" s="45">
        <v>4</v>
      </c>
      <c r="AG75" s="45">
        <v>4</v>
      </c>
      <c r="AH75" s="45">
        <v>4</v>
      </c>
      <c r="AI75" s="46">
        <f t="shared" si="26"/>
        <v>4</v>
      </c>
      <c r="AJ75" s="45"/>
      <c r="AK75" s="45"/>
      <c r="AL75" s="45"/>
      <c r="AM75" s="45"/>
      <c r="AN75" s="46">
        <f t="shared" si="27"/>
        <v>0</v>
      </c>
      <c r="AO75" s="45">
        <v>4</v>
      </c>
      <c r="AP75" s="45">
        <v>3</v>
      </c>
      <c r="AQ75" s="45">
        <v>4</v>
      </c>
      <c r="AR75" s="45">
        <v>4</v>
      </c>
      <c r="AS75" s="46">
        <f t="shared" si="33"/>
        <v>3.75</v>
      </c>
      <c r="AT75" s="45"/>
      <c r="AU75" s="45"/>
      <c r="AV75" s="45"/>
      <c r="AW75" s="45"/>
      <c r="AX75" s="46">
        <f t="shared" si="28"/>
        <v>0</v>
      </c>
      <c r="AY75" s="45">
        <v>4</v>
      </c>
      <c r="AZ75" s="45">
        <v>4</v>
      </c>
      <c r="BA75" s="45">
        <v>4</v>
      </c>
      <c r="BB75" s="45">
        <v>4</v>
      </c>
      <c r="BC75" s="47">
        <f t="shared" si="47"/>
        <v>4</v>
      </c>
      <c r="BD75" s="45"/>
      <c r="BE75" s="45"/>
      <c r="BF75" s="45"/>
      <c r="BG75" s="45"/>
      <c r="BH75" s="45"/>
      <c r="BI75" s="45"/>
      <c r="BJ75" s="45"/>
      <c r="BK75" s="45"/>
      <c r="BL75" s="45"/>
      <c r="BM75" s="46">
        <f t="shared" si="34"/>
        <v>0</v>
      </c>
      <c r="BN75" s="45"/>
      <c r="BO75" s="45"/>
      <c r="BP75" s="45"/>
      <c r="BQ75" s="45"/>
      <c r="BR75" s="46">
        <f t="shared" si="35"/>
        <v>0</v>
      </c>
      <c r="BS75" s="45"/>
      <c r="BT75" s="45"/>
      <c r="BU75" s="45"/>
      <c r="BV75" s="45"/>
      <c r="BW75" s="46">
        <f t="shared" si="36"/>
        <v>0</v>
      </c>
    </row>
    <row r="76" spans="1:75" ht="91.5">
      <c r="A76" s="45">
        <v>9</v>
      </c>
      <c r="B76" s="50">
        <f t="shared" si="50"/>
        <v>74</v>
      </c>
      <c r="C76" s="51" t="s">
        <v>2773</v>
      </c>
      <c r="D76" s="45" t="s">
        <v>4381</v>
      </c>
      <c r="E76" s="45" t="s">
        <v>4382</v>
      </c>
      <c r="F76" s="45" t="s">
        <v>4383</v>
      </c>
      <c r="G76" s="45" t="s">
        <v>4384</v>
      </c>
      <c r="H76" s="45" t="s">
        <v>4385</v>
      </c>
      <c r="I76" s="52" t="s">
        <v>4367</v>
      </c>
      <c r="J76" s="45" t="s">
        <v>3575</v>
      </c>
      <c r="K76" s="45" t="s">
        <v>4329</v>
      </c>
      <c r="L76" s="45"/>
      <c r="M76" s="45" t="s">
        <v>2773</v>
      </c>
      <c r="N76" s="58">
        <f t="shared" si="41"/>
        <v>0</v>
      </c>
      <c r="O76" s="58"/>
      <c r="P76" s="58" t="e">
        <f t="shared" si="44"/>
        <v>#N/A</v>
      </c>
      <c r="Q76" s="54" t="e">
        <f>INDEX([5]Timeline!$D$12:$D$24,MATCH(A76,[5]Timeline!$B$12:$B$24,0))</f>
        <v>#N/A</v>
      </c>
      <c r="R76" s="55">
        <v>44561</v>
      </c>
      <c r="S76" s="59">
        <f t="shared" si="49"/>
        <v>2.75</v>
      </c>
      <c r="T76" s="59">
        <f t="shared" si="45"/>
        <v>3.5</v>
      </c>
      <c r="U76" s="60">
        <f t="shared" si="46"/>
        <v>2</v>
      </c>
      <c r="V76" s="56">
        <v>0</v>
      </c>
      <c r="W76" s="57">
        <v>0</v>
      </c>
      <c r="X76" s="56" t="e">
        <f t="shared" si="42"/>
        <v>#N/A</v>
      </c>
      <c r="Y76" s="45">
        <v>1</v>
      </c>
      <c r="Z76" s="45"/>
      <c r="AA76" s="45"/>
      <c r="AB76" s="45"/>
      <c r="AC76" s="45"/>
      <c r="AD76" s="46">
        <f t="shared" si="48"/>
        <v>0</v>
      </c>
      <c r="AE76" s="45">
        <v>4</v>
      </c>
      <c r="AF76" s="45">
        <v>4</v>
      </c>
      <c r="AG76" s="45">
        <v>2</v>
      </c>
      <c r="AH76" s="45">
        <v>2</v>
      </c>
      <c r="AI76" s="46">
        <f t="shared" si="26"/>
        <v>3</v>
      </c>
      <c r="AJ76" s="45"/>
      <c r="AK76" s="45"/>
      <c r="AL76" s="45"/>
      <c r="AM76" s="45"/>
      <c r="AN76" s="46">
        <f t="shared" si="27"/>
        <v>0</v>
      </c>
      <c r="AO76" s="45">
        <v>3</v>
      </c>
      <c r="AP76" s="45">
        <v>3</v>
      </c>
      <c r="AQ76" s="45">
        <v>2</v>
      </c>
      <c r="AR76" s="45">
        <v>2</v>
      </c>
      <c r="AS76" s="46">
        <f t="shared" si="33"/>
        <v>2.5</v>
      </c>
      <c r="AT76" s="45"/>
      <c r="AU76" s="45"/>
      <c r="AV76" s="45"/>
      <c r="AW76" s="45"/>
      <c r="AX76" s="46">
        <f t="shared" si="28"/>
        <v>0</v>
      </c>
      <c r="AY76" s="45">
        <v>4</v>
      </c>
      <c r="AZ76" s="45">
        <v>3</v>
      </c>
      <c r="BA76" s="45">
        <v>2</v>
      </c>
      <c r="BB76" s="45">
        <v>2</v>
      </c>
      <c r="BC76" s="47">
        <f t="shared" si="47"/>
        <v>2.75</v>
      </c>
      <c r="BD76" s="45"/>
      <c r="BE76" s="45"/>
      <c r="BF76" s="45"/>
      <c r="BG76" s="45"/>
      <c r="BH76" s="45"/>
      <c r="BI76" s="45"/>
      <c r="BJ76" s="45"/>
      <c r="BK76" s="45"/>
      <c r="BL76" s="45"/>
      <c r="BM76" s="46">
        <f t="shared" si="34"/>
        <v>0</v>
      </c>
      <c r="BN76" s="45"/>
      <c r="BO76" s="45"/>
      <c r="BP76" s="45"/>
      <c r="BQ76" s="45"/>
      <c r="BR76" s="46">
        <f t="shared" si="35"/>
        <v>0</v>
      </c>
      <c r="BS76" s="45"/>
      <c r="BT76" s="45"/>
      <c r="BU76" s="45"/>
      <c r="BV76" s="45"/>
      <c r="BW76" s="46">
        <f t="shared" si="36"/>
        <v>0</v>
      </c>
    </row>
    <row r="77" spans="1:75" ht="106.5">
      <c r="A77" s="45">
        <v>10</v>
      </c>
      <c r="B77" s="50">
        <f t="shared" si="50"/>
        <v>75</v>
      </c>
      <c r="C77" s="51" t="s">
        <v>2854</v>
      </c>
      <c r="D77" s="262" t="s">
        <v>3785</v>
      </c>
      <c r="E77" s="45" t="s">
        <v>4386</v>
      </c>
      <c r="F77" s="45" t="s">
        <v>4387</v>
      </c>
      <c r="G77" s="45" t="s">
        <v>4388</v>
      </c>
      <c r="H77" s="45" t="s">
        <v>4389</v>
      </c>
      <c r="I77" s="52" t="s">
        <v>4390</v>
      </c>
      <c r="J77" s="45" t="s">
        <v>3575</v>
      </c>
      <c r="K77" s="45" t="s">
        <v>4375</v>
      </c>
      <c r="L77" s="45"/>
      <c r="M77" s="45" t="s">
        <v>4071</v>
      </c>
      <c r="N77" s="58">
        <f>V77/1/3</f>
        <v>14666666.666666666</v>
      </c>
      <c r="O77" s="58"/>
      <c r="P77" s="58" t="e">
        <f t="shared" si="44"/>
        <v>#N/A</v>
      </c>
      <c r="Q77" s="54" t="e">
        <f>INDEX([5]Timeline!$D$12:$D$24,MATCH(A77,[5]Timeline!$B$12:$B$24,0))</f>
        <v>#N/A</v>
      </c>
      <c r="R77" s="55">
        <v>44561</v>
      </c>
      <c r="S77" s="59">
        <f t="shared" si="49"/>
        <v>2.583333333333333</v>
      </c>
      <c r="T77" s="59">
        <f t="shared" si="45"/>
        <v>3</v>
      </c>
      <c r="U77" s="267">
        <f t="shared" si="46"/>
        <v>2.1666666666666665</v>
      </c>
      <c r="V77" s="120">
        <v>44000000</v>
      </c>
      <c r="W77" s="57">
        <v>0</v>
      </c>
      <c r="X77" s="56" t="e">
        <f t="shared" si="42"/>
        <v>#N/A</v>
      </c>
      <c r="Y77" s="45">
        <v>1</v>
      </c>
      <c r="Z77" s="45"/>
      <c r="AA77" s="45"/>
      <c r="AB77" s="45"/>
      <c r="AC77" s="45"/>
      <c r="AD77" s="46">
        <f t="shared" si="48"/>
        <v>0</v>
      </c>
      <c r="AE77" s="45">
        <v>3</v>
      </c>
      <c r="AF77" s="45">
        <v>3</v>
      </c>
      <c r="AG77" s="45">
        <v>4</v>
      </c>
      <c r="AH77" s="45">
        <v>1</v>
      </c>
      <c r="AI77" s="46">
        <f t="shared" si="26"/>
        <v>2.75</v>
      </c>
      <c r="AJ77" s="45"/>
      <c r="AK77" s="45"/>
      <c r="AL77" s="45"/>
      <c r="AM77" s="45"/>
      <c r="AN77" s="46">
        <f t="shared" si="27"/>
        <v>0</v>
      </c>
      <c r="AO77" s="45">
        <v>3</v>
      </c>
      <c r="AP77" s="45">
        <v>3</v>
      </c>
      <c r="AQ77" s="45">
        <v>2</v>
      </c>
      <c r="AR77" s="45">
        <v>1</v>
      </c>
      <c r="AS77" s="46">
        <f t="shared" si="33"/>
        <v>2.25</v>
      </c>
      <c r="AT77" s="45"/>
      <c r="AU77" s="45"/>
      <c r="AV77" s="45"/>
      <c r="AW77" s="45"/>
      <c r="AX77" s="46">
        <f t="shared" si="28"/>
        <v>0</v>
      </c>
      <c r="AY77" s="45">
        <v>3</v>
      </c>
      <c r="AZ77" s="45">
        <v>3</v>
      </c>
      <c r="BA77" s="45">
        <v>4</v>
      </c>
      <c r="BB77" s="45">
        <v>1</v>
      </c>
      <c r="BC77" s="47">
        <f t="shared" si="47"/>
        <v>2.75</v>
      </c>
      <c r="BD77" s="45"/>
      <c r="BE77" s="45"/>
      <c r="BF77" s="45"/>
      <c r="BG77" s="45"/>
      <c r="BH77" s="45"/>
      <c r="BI77" s="45"/>
      <c r="BJ77" s="45"/>
      <c r="BK77" s="45"/>
      <c r="BL77" s="45"/>
      <c r="BM77" s="46">
        <f t="shared" si="34"/>
        <v>0</v>
      </c>
      <c r="BN77" s="45"/>
      <c r="BO77" s="45"/>
      <c r="BP77" s="45"/>
      <c r="BQ77" s="45"/>
      <c r="BR77" s="46">
        <f t="shared" si="35"/>
        <v>0</v>
      </c>
      <c r="BS77" s="45"/>
      <c r="BT77" s="45"/>
      <c r="BU77" s="45"/>
      <c r="BV77" s="45"/>
      <c r="BW77" s="46">
        <f t="shared" si="36"/>
        <v>0</v>
      </c>
    </row>
    <row r="78" spans="1:75" ht="91.5">
      <c r="A78" s="45">
        <v>10</v>
      </c>
      <c r="B78" s="50">
        <f t="shared" si="50"/>
        <v>76</v>
      </c>
      <c r="C78" s="51" t="s">
        <v>2773</v>
      </c>
      <c r="D78" s="45" t="s">
        <v>4391</v>
      </c>
      <c r="E78" s="45" t="s">
        <v>4392</v>
      </c>
      <c r="F78" s="45" t="s">
        <v>4393</v>
      </c>
      <c r="G78" s="45" t="s">
        <v>4394</v>
      </c>
      <c r="H78" s="45" t="s">
        <v>4395</v>
      </c>
      <c r="I78" s="52" t="s">
        <v>4390</v>
      </c>
      <c r="J78" s="45" t="s">
        <v>3575</v>
      </c>
      <c r="K78" s="45" t="s">
        <v>4396</v>
      </c>
      <c r="L78" s="45"/>
      <c r="M78" s="45" t="s">
        <v>2773</v>
      </c>
      <c r="N78" s="58">
        <f t="shared" si="41"/>
        <v>90000</v>
      </c>
      <c r="O78" s="58"/>
      <c r="P78" s="58" t="e">
        <f t="shared" si="44"/>
        <v>#N/A</v>
      </c>
      <c r="Q78" s="54" t="e">
        <f>INDEX([5]Timeline!$D$12:$D$24,MATCH(A78,[5]Timeline!$B$12:$B$24,0))</f>
        <v>#N/A</v>
      </c>
      <c r="R78" s="55">
        <v>44561</v>
      </c>
      <c r="S78" s="59">
        <f t="shared" si="49"/>
        <v>2.416666666666667</v>
      </c>
      <c r="T78" s="59">
        <f t="shared" si="45"/>
        <v>3.3333333333333335</v>
      </c>
      <c r="U78" s="60">
        <f t="shared" si="46"/>
        <v>1.5</v>
      </c>
      <c r="V78" s="56">
        <v>90000</v>
      </c>
      <c r="W78" s="57">
        <v>0</v>
      </c>
      <c r="X78" s="56" t="e">
        <f t="shared" si="42"/>
        <v>#N/A</v>
      </c>
      <c r="Y78" s="45">
        <v>1</v>
      </c>
      <c r="Z78" s="45"/>
      <c r="AA78" s="45"/>
      <c r="AB78" s="45"/>
      <c r="AC78" s="45"/>
      <c r="AD78" s="46">
        <f t="shared" si="48"/>
        <v>0</v>
      </c>
      <c r="AE78" s="45">
        <v>3</v>
      </c>
      <c r="AF78" s="45">
        <v>4</v>
      </c>
      <c r="AG78" s="45">
        <v>1</v>
      </c>
      <c r="AH78" s="45">
        <v>2</v>
      </c>
      <c r="AI78" s="46">
        <f t="shared" si="26"/>
        <v>2.5</v>
      </c>
      <c r="AJ78" s="45"/>
      <c r="AK78" s="45"/>
      <c r="AL78" s="45"/>
      <c r="AM78" s="45"/>
      <c r="AN78" s="46">
        <f t="shared" si="27"/>
        <v>0</v>
      </c>
      <c r="AO78" s="45">
        <v>3</v>
      </c>
      <c r="AP78" s="45">
        <v>3</v>
      </c>
      <c r="AQ78" s="45">
        <v>1</v>
      </c>
      <c r="AR78" s="45">
        <v>2</v>
      </c>
      <c r="AS78" s="46">
        <f t="shared" si="33"/>
        <v>2.25</v>
      </c>
      <c r="AT78" s="45"/>
      <c r="AU78" s="45"/>
      <c r="AV78" s="45"/>
      <c r="AW78" s="45"/>
      <c r="AX78" s="46">
        <f t="shared" si="28"/>
        <v>0</v>
      </c>
      <c r="AY78" s="45">
        <v>3</v>
      </c>
      <c r="AZ78" s="45">
        <v>4</v>
      </c>
      <c r="BA78" s="45">
        <v>1</v>
      </c>
      <c r="BB78" s="45">
        <v>2</v>
      </c>
      <c r="BC78" s="47">
        <f t="shared" si="47"/>
        <v>2.5</v>
      </c>
      <c r="BD78" s="45"/>
      <c r="BE78" s="45"/>
      <c r="BF78" s="45"/>
      <c r="BG78" s="45"/>
      <c r="BH78" s="45"/>
      <c r="BI78" s="45"/>
      <c r="BJ78" s="45"/>
      <c r="BK78" s="45"/>
      <c r="BL78" s="45"/>
      <c r="BM78" s="46">
        <f t="shared" si="34"/>
        <v>0</v>
      </c>
      <c r="BN78" s="45"/>
      <c r="BO78" s="45"/>
      <c r="BP78" s="45"/>
      <c r="BQ78" s="45"/>
      <c r="BR78" s="46">
        <f t="shared" si="35"/>
        <v>0</v>
      </c>
      <c r="BS78" s="45"/>
      <c r="BT78" s="45"/>
      <c r="BU78" s="45"/>
      <c r="BV78" s="45"/>
      <c r="BW78" s="46">
        <f t="shared" si="36"/>
        <v>0</v>
      </c>
    </row>
    <row r="79" spans="1:75" ht="91.5">
      <c r="A79" s="45">
        <v>10</v>
      </c>
      <c r="B79" s="50">
        <f t="shared" si="50"/>
        <v>77</v>
      </c>
      <c r="C79" s="51" t="s">
        <v>2773</v>
      </c>
      <c r="D79" s="45" t="s">
        <v>4397</v>
      </c>
      <c r="E79" s="45" t="s">
        <v>4398</v>
      </c>
      <c r="F79" s="45" t="s">
        <v>4399</v>
      </c>
      <c r="G79" s="45" t="s">
        <v>4400</v>
      </c>
      <c r="H79" s="45" t="s">
        <v>4401</v>
      </c>
      <c r="I79" s="52" t="s">
        <v>4390</v>
      </c>
      <c r="J79" s="45" t="s">
        <v>3575</v>
      </c>
      <c r="K79" s="45" t="s">
        <v>4308</v>
      </c>
      <c r="L79" s="45"/>
      <c r="M79" s="45" t="s">
        <v>2773</v>
      </c>
      <c r="N79" s="58">
        <f t="shared" si="41"/>
        <v>972500</v>
      </c>
      <c r="O79" s="58"/>
      <c r="P79" s="58" t="e">
        <f t="shared" si="44"/>
        <v>#N/A</v>
      </c>
      <c r="Q79" s="54" t="e">
        <f>INDEX([5]Timeline!$D$12:$D$24,MATCH(A79,[5]Timeline!$B$12:$B$24,0))</f>
        <v>#N/A</v>
      </c>
      <c r="R79" s="55">
        <v>44561</v>
      </c>
      <c r="S79" s="59">
        <f t="shared" si="49"/>
        <v>2.166666666666667</v>
      </c>
      <c r="T79" s="59">
        <f t="shared" si="45"/>
        <v>2.8333333333333335</v>
      </c>
      <c r="U79" s="60">
        <f t="shared" si="46"/>
        <v>1.5</v>
      </c>
      <c r="V79" s="56">
        <v>972500</v>
      </c>
      <c r="W79" s="57">
        <v>0</v>
      </c>
      <c r="X79" s="56" t="e">
        <f t="shared" si="42"/>
        <v>#N/A</v>
      </c>
      <c r="Y79" s="45">
        <v>1</v>
      </c>
      <c r="Z79" s="45"/>
      <c r="AA79" s="45"/>
      <c r="AB79" s="45"/>
      <c r="AC79" s="45"/>
      <c r="AD79" s="46">
        <f t="shared" si="48"/>
        <v>0</v>
      </c>
      <c r="AE79" s="45">
        <v>2</v>
      </c>
      <c r="AF79" s="45">
        <v>4</v>
      </c>
      <c r="AG79" s="45">
        <v>1</v>
      </c>
      <c r="AH79" s="45">
        <v>2</v>
      </c>
      <c r="AI79" s="46">
        <f t="shared" si="26"/>
        <v>2.25</v>
      </c>
      <c r="AJ79" s="45"/>
      <c r="AK79" s="45"/>
      <c r="AL79" s="45"/>
      <c r="AM79" s="45"/>
      <c r="AN79" s="46">
        <f t="shared" si="27"/>
        <v>0</v>
      </c>
      <c r="AO79" s="45">
        <v>2</v>
      </c>
      <c r="AP79" s="45">
        <v>3</v>
      </c>
      <c r="AQ79" s="45">
        <v>1</v>
      </c>
      <c r="AR79" s="45">
        <v>2</v>
      </c>
      <c r="AS79" s="46">
        <f t="shared" si="33"/>
        <v>2</v>
      </c>
      <c r="AT79" s="45"/>
      <c r="AU79" s="45"/>
      <c r="AV79" s="45"/>
      <c r="AW79" s="45"/>
      <c r="AX79" s="46">
        <f t="shared" si="28"/>
        <v>0</v>
      </c>
      <c r="AY79" s="45">
        <v>4</v>
      </c>
      <c r="AZ79" s="45">
        <v>2</v>
      </c>
      <c r="BA79" s="45">
        <v>1</v>
      </c>
      <c r="BB79" s="45">
        <v>2</v>
      </c>
      <c r="BC79" s="47">
        <f t="shared" si="47"/>
        <v>2.25</v>
      </c>
      <c r="BD79" s="45"/>
      <c r="BE79" s="45"/>
      <c r="BF79" s="45"/>
      <c r="BG79" s="45"/>
      <c r="BH79" s="45"/>
      <c r="BI79" s="45"/>
      <c r="BJ79" s="45"/>
      <c r="BK79" s="45"/>
      <c r="BL79" s="45"/>
      <c r="BM79" s="46">
        <f t="shared" si="34"/>
        <v>0</v>
      </c>
      <c r="BN79" s="45"/>
      <c r="BO79" s="45"/>
      <c r="BP79" s="45"/>
      <c r="BQ79" s="45"/>
      <c r="BR79" s="46">
        <f t="shared" si="35"/>
        <v>0</v>
      </c>
      <c r="BS79" s="45"/>
      <c r="BT79" s="45"/>
      <c r="BU79" s="45"/>
      <c r="BV79" s="45"/>
      <c r="BW79" s="46">
        <f t="shared" si="36"/>
        <v>0</v>
      </c>
    </row>
    <row r="80" spans="1:75" ht="76.5">
      <c r="A80" s="45">
        <v>11</v>
      </c>
      <c r="B80" s="50">
        <f t="shared" si="50"/>
        <v>78</v>
      </c>
      <c r="C80" s="51" t="s">
        <v>2841</v>
      </c>
      <c r="D80" s="45" t="s">
        <v>2841</v>
      </c>
      <c r="E80" s="45" t="s">
        <v>4402</v>
      </c>
      <c r="F80" s="45" t="s">
        <v>4403</v>
      </c>
      <c r="G80" s="45" t="s">
        <v>4404</v>
      </c>
      <c r="H80" s="45" t="s">
        <v>4405</v>
      </c>
      <c r="I80" s="52" t="s">
        <v>4406</v>
      </c>
      <c r="J80" s="45" t="s">
        <v>3575</v>
      </c>
      <c r="K80" s="45" t="s">
        <v>4302</v>
      </c>
      <c r="L80" s="45"/>
      <c r="M80" s="51" t="s">
        <v>2841</v>
      </c>
      <c r="N80" s="58">
        <f>V80/1</f>
        <v>61200</v>
      </c>
      <c r="O80" s="58"/>
      <c r="P80" s="58" t="e">
        <f t="shared" si="44"/>
        <v>#N/A</v>
      </c>
      <c r="Q80" s="54" t="e">
        <f>INDEX([5]Timeline!$D$12:$D$24,MATCH(A80,[5]Timeline!$B$12:$B$24,0))</f>
        <v>#N/A</v>
      </c>
      <c r="R80" s="55">
        <v>44561</v>
      </c>
      <c r="S80" s="59">
        <f t="shared" si="49"/>
        <v>2.333333333333333</v>
      </c>
      <c r="T80" s="59">
        <f t="shared" si="45"/>
        <v>3.6666666666666665</v>
      </c>
      <c r="U80" s="60">
        <f t="shared" si="46"/>
        <v>1</v>
      </c>
      <c r="V80" s="56">
        <v>61200</v>
      </c>
      <c r="W80" s="57">
        <v>0</v>
      </c>
      <c r="X80" s="56" t="e">
        <f t="shared" si="42"/>
        <v>#N/A</v>
      </c>
      <c r="Y80" s="45">
        <v>1</v>
      </c>
      <c r="Z80" s="45"/>
      <c r="AA80" s="45"/>
      <c r="AB80" s="45"/>
      <c r="AC80" s="45"/>
      <c r="AD80" s="46">
        <f t="shared" si="48"/>
        <v>0</v>
      </c>
      <c r="AE80" s="45">
        <v>3</v>
      </c>
      <c r="AF80" s="45">
        <v>4</v>
      </c>
      <c r="AG80" s="45">
        <v>1</v>
      </c>
      <c r="AH80" s="45">
        <v>1</v>
      </c>
      <c r="AI80" s="46">
        <f t="shared" si="26"/>
        <v>2.25</v>
      </c>
      <c r="AJ80" s="45"/>
      <c r="AK80" s="45"/>
      <c r="AL80" s="45"/>
      <c r="AM80" s="45"/>
      <c r="AN80" s="46">
        <f t="shared" si="27"/>
        <v>0</v>
      </c>
      <c r="AO80" s="45">
        <v>4</v>
      </c>
      <c r="AP80" s="45">
        <v>4</v>
      </c>
      <c r="AQ80" s="45">
        <v>1</v>
      </c>
      <c r="AR80" s="45">
        <v>1</v>
      </c>
      <c r="AS80" s="46">
        <f t="shared" si="33"/>
        <v>2.5</v>
      </c>
      <c r="AT80" s="45"/>
      <c r="AU80" s="45"/>
      <c r="AV80" s="45"/>
      <c r="AW80" s="45"/>
      <c r="AX80" s="46">
        <f t="shared" si="28"/>
        <v>0</v>
      </c>
      <c r="AY80" s="45">
        <v>3</v>
      </c>
      <c r="AZ80" s="45">
        <v>4</v>
      </c>
      <c r="BA80" s="45">
        <v>1</v>
      </c>
      <c r="BB80" s="45">
        <v>1</v>
      </c>
      <c r="BC80" s="47">
        <f t="shared" si="47"/>
        <v>2.25</v>
      </c>
      <c r="BD80" s="45"/>
      <c r="BE80" s="45"/>
      <c r="BF80" s="45"/>
      <c r="BG80" s="45"/>
      <c r="BH80" s="45"/>
      <c r="BI80" s="45"/>
      <c r="BJ80" s="45"/>
      <c r="BK80" s="45"/>
      <c r="BL80" s="45"/>
      <c r="BM80" s="46">
        <f t="shared" si="34"/>
        <v>0</v>
      </c>
      <c r="BN80" s="45"/>
      <c r="BO80" s="45"/>
      <c r="BP80" s="45"/>
      <c r="BQ80" s="45"/>
      <c r="BR80" s="46">
        <f t="shared" si="35"/>
        <v>0</v>
      </c>
      <c r="BS80" s="45">
        <v>4</v>
      </c>
      <c r="BT80" s="45">
        <v>4</v>
      </c>
      <c r="BU80" s="45">
        <v>1</v>
      </c>
      <c r="BV80" s="45">
        <v>1</v>
      </c>
      <c r="BW80" s="46">
        <f t="shared" si="36"/>
        <v>2.5</v>
      </c>
    </row>
    <row r="81" spans="1:75" ht="76.5">
      <c r="A81" s="45">
        <v>11</v>
      </c>
      <c r="B81" s="50">
        <f t="shared" si="50"/>
        <v>79</v>
      </c>
      <c r="C81" s="51" t="s">
        <v>2817</v>
      </c>
      <c r="D81" s="45" t="s">
        <v>3217</v>
      </c>
      <c r="E81" s="45" t="s">
        <v>4407</v>
      </c>
      <c r="F81" s="45" t="s">
        <v>4408</v>
      </c>
      <c r="G81" s="45" t="s">
        <v>4409</v>
      </c>
      <c r="H81" s="45" t="s">
        <v>4410</v>
      </c>
      <c r="I81" s="52" t="s">
        <v>4406</v>
      </c>
      <c r="J81" s="45" t="s">
        <v>3575</v>
      </c>
      <c r="K81" s="45" t="s">
        <v>4308</v>
      </c>
      <c r="L81" s="45"/>
      <c r="M81" s="45" t="s">
        <v>2817</v>
      </c>
      <c r="N81" s="58">
        <f>V81/1</f>
        <v>180000</v>
      </c>
      <c r="O81" s="58"/>
      <c r="P81" s="58" t="e">
        <f t="shared" si="44"/>
        <v>#N/A</v>
      </c>
      <c r="Q81" s="54" t="e">
        <f>INDEX([5]Timeline!$D$12:$D$24,MATCH(A81,[5]Timeline!$B$12:$B$24,0))</f>
        <v>#N/A</v>
      </c>
      <c r="R81" s="55">
        <v>44561</v>
      </c>
      <c r="S81" s="59">
        <f t="shared" si="49"/>
        <v>2.916666666666667</v>
      </c>
      <c r="T81" s="59">
        <f t="shared" si="45"/>
        <v>3.8333333333333335</v>
      </c>
      <c r="U81" s="60">
        <f t="shared" si="46"/>
        <v>2</v>
      </c>
      <c r="V81" s="56">
        <v>180000</v>
      </c>
      <c r="W81" s="57">
        <v>0</v>
      </c>
      <c r="X81" s="56" t="e">
        <f t="shared" si="42"/>
        <v>#N/A</v>
      </c>
      <c r="Y81" s="45">
        <v>1</v>
      </c>
      <c r="Z81" s="45"/>
      <c r="AA81" s="45"/>
      <c r="AB81" s="45"/>
      <c r="AC81" s="45"/>
      <c r="AD81" s="46">
        <f t="shared" si="48"/>
        <v>0</v>
      </c>
      <c r="AE81" s="45">
        <v>4</v>
      </c>
      <c r="AF81" s="45">
        <v>4</v>
      </c>
      <c r="AG81" s="45">
        <v>1</v>
      </c>
      <c r="AH81" s="45">
        <v>3</v>
      </c>
      <c r="AI81" s="46">
        <f t="shared" si="26"/>
        <v>3</v>
      </c>
      <c r="AJ81" s="45"/>
      <c r="AK81" s="45"/>
      <c r="AL81" s="45"/>
      <c r="AM81" s="45"/>
      <c r="AN81" s="46">
        <f t="shared" si="27"/>
        <v>0</v>
      </c>
      <c r="AO81" s="45">
        <v>4</v>
      </c>
      <c r="AP81" s="45">
        <v>4</v>
      </c>
      <c r="AQ81" s="45">
        <v>2</v>
      </c>
      <c r="AR81" s="45">
        <v>2</v>
      </c>
      <c r="AS81" s="46">
        <f t="shared" si="33"/>
        <v>3</v>
      </c>
      <c r="AT81" s="45"/>
      <c r="AU81" s="45"/>
      <c r="AV81" s="45"/>
      <c r="AW81" s="45"/>
      <c r="AX81" s="46">
        <f t="shared" si="28"/>
        <v>0</v>
      </c>
      <c r="AY81" s="45">
        <v>4</v>
      </c>
      <c r="AZ81" s="45">
        <v>3</v>
      </c>
      <c r="BA81" s="45">
        <v>1</v>
      </c>
      <c r="BB81" s="45">
        <v>3</v>
      </c>
      <c r="BC81" s="47">
        <f t="shared" si="47"/>
        <v>2.75</v>
      </c>
      <c r="BD81" s="45"/>
      <c r="BE81" s="45"/>
      <c r="BF81" s="45"/>
      <c r="BG81" s="45"/>
      <c r="BH81" s="45"/>
      <c r="BI81" s="45"/>
      <c r="BJ81" s="45"/>
      <c r="BK81" s="45"/>
      <c r="BL81" s="45"/>
      <c r="BM81" s="46">
        <f t="shared" si="34"/>
        <v>0</v>
      </c>
      <c r="BN81" s="45"/>
      <c r="BO81" s="45"/>
      <c r="BP81" s="45"/>
      <c r="BQ81" s="45"/>
      <c r="BR81" s="46">
        <f t="shared" si="35"/>
        <v>0</v>
      </c>
      <c r="BS81" s="45">
        <v>4</v>
      </c>
      <c r="BT81" s="45">
        <v>4</v>
      </c>
      <c r="BU81" s="45">
        <v>1</v>
      </c>
      <c r="BV81" s="45">
        <v>2</v>
      </c>
      <c r="BW81" s="46">
        <f t="shared" si="36"/>
        <v>2.75</v>
      </c>
    </row>
    <row r="82" spans="1:75" ht="76.5">
      <c r="A82" s="45">
        <v>11</v>
      </c>
      <c r="B82" s="50">
        <f t="shared" si="50"/>
        <v>80</v>
      </c>
      <c r="C82" s="51" t="s">
        <v>2914</v>
      </c>
      <c r="D82" s="45" t="s">
        <v>3580</v>
      </c>
      <c r="E82" s="45" t="s">
        <v>4411</v>
      </c>
      <c r="F82" s="45" t="s">
        <v>4412</v>
      </c>
      <c r="G82" s="45" t="s">
        <v>4413</v>
      </c>
      <c r="H82" s="45" t="s">
        <v>4414</v>
      </c>
      <c r="I82" s="52" t="s">
        <v>4406</v>
      </c>
      <c r="J82" s="45" t="s">
        <v>3575</v>
      </c>
      <c r="K82" s="45" t="s">
        <v>4302</v>
      </c>
      <c r="L82" s="45"/>
      <c r="M82" s="45" t="s">
        <v>4265</v>
      </c>
      <c r="N82" s="58">
        <f>V82/1</f>
        <v>322500</v>
      </c>
      <c r="O82" s="58"/>
      <c r="P82" s="58" t="e">
        <f t="shared" si="44"/>
        <v>#N/A</v>
      </c>
      <c r="Q82" s="54" t="e">
        <f>INDEX([5]Timeline!$D$12:$D$24,MATCH(A82,[5]Timeline!$B$12:$B$24,0))</f>
        <v>#N/A</v>
      </c>
      <c r="R82" s="55">
        <v>44561</v>
      </c>
      <c r="S82" s="59">
        <f t="shared" si="49"/>
        <v>2.75</v>
      </c>
      <c r="T82" s="59">
        <f t="shared" si="45"/>
        <v>4</v>
      </c>
      <c r="U82" s="60">
        <f t="shared" si="46"/>
        <v>1.5</v>
      </c>
      <c r="V82" s="56">
        <v>322500</v>
      </c>
      <c r="W82" s="57">
        <v>0</v>
      </c>
      <c r="X82" s="56" t="e">
        <f t="shared" si="42"/>
        <v>#N/A</v>
      </c>
      <c r="Y82" s="45">
        <v>1</v>
      </c>
      <c r="Z82" s="45"/>
      <c r="AA82" s="45"/>
      <c r="AB82" s="45"/>
      <c r="AC82" s="45"/>
      <c r="AD82" s="46">
        <f t="shared" si="48"/>
        <v>0</v>
      </c>
      <c r="AE82" s="45"/>
      <c r="AF82" s="45"/>
      <c r="AG82" s="45">
        <v>2</v>
      </c>
      <c r="AH82" s="45">
        <v>1</v>
      </c>
      <c r="AI82" s="46">
        <f t="shared" si="26"/>
        <v>0.75</v>
      </c>
      <c r="AJ82" s="45"/>
      <c r="AK82" s="45"/>
      <c r="AL82" s="45"/>
      <c r="AM82" s="45"/>
      <c r="AN82" s="46">
        <f t="shared" si="27"/>
        <v>0</v>
      </c>
      <c r="AO82" s="45">
        <v>4</v>
      </c>
      <c r="AP82" s="45">
        <v>4</v>
      </c>
      <c r="AQ82" s="45">
        <v>2</v>
      </c>
      <c r="AR82" s="45">
        <v>1</v>
      </c>
      <c r="AS82" s="46">
        <f t="shared" si="33"/>
        <v>2.75</v>
      </c>
      <c r="AT82" s="45"/>
      <c r="AU82" s="45"/>
      <c r="AV82" s="45"/>
      <c r="AW82" s="45"/>
      <c r="AX82" s="46">
        <f t="shared" si="28"/>
        <v>0</v>
      </c>
      <c r="AY82" s="45">
        <v>4</v>
      </c>
      <c r="AZ82" s="45">
        <v>4</v>
      </c>
      <c r="BA82" s="45">
        <v>2</v>
      </c>
      <c r="BB82" s="45">
        <v>1</v>
      </c>
      <c r="BC82" s="47">
        <f t="shared" si="47"/>
        <v>2.75</v>
      </c>
      <c r="BD82" s="45"/>
      <c r="BE82" s="45"/>
      <c r="BF82" s="45"/>
      <c r="BG82" s="45"/>
      <c r="BH82" s="45"/>
      <c r="BI82" s="45"/>
      <c r="BJ82" s="45"/>
      <c r="BK82" s="45"/>
      <c r="BL82" s="45"/>
      <c r="BM82" s="46">
        <f t="shared" si="34"/>
        <v>0</v>
      </c>
      <c r="BN82" s="45">
        <v>4</v>
      </c>
      <c r="BO82" s="45">
        <v>4</v>
      </c>
      <c r="BP82" s="45">
        <v>3</v>
      </c>
      <c r="BQ82" s="45">
        <v>3</v>
      </c>
      <c r="BR82" s="46">
        <f t="shared" si="35"/>
        <v>3.5</v>
      </c>
      <c r="BS82" s="45">
        <v>4</v>
      </c>
      <c r="BT82" s="45">
        <v>4</v>
      </c>
      <c r="BU82" s="45">
        <v>2</v>
      </c>
      <c r="BV82" s="45">
        <v>3</v>
      </c>
      <c r="BW82" s="46">
        <f t="shared" si="36"/>
        <v>3.25</v>
      </c>
    </row>
    <row r="83" spans="1:75" s="284" customFormat="1" ht="76.5">
      <c r="A83" s="266">
        <v>11</v>
      </c>
      <c r="B83" s="264">
        <f t="shared" si="50"/>
        <v>81</v>
      </c>
      <c r="C83" s="265" t="s">
        <v>2914</v>
      </c>
      <c r="D83" s="266" t="s">
        <v>4415</v>
      </c>
      <c r="E83" s="266" t="s">
        <v>4416</v>
      </c>
      <c r="F83" s="266" t="s">
        <v>4417</v>
      </c>
      <c r="G83" s="266"/>
      <c r="H83" s="266"/>
      <c r="I83" s="272" t="s">
        <v>4406</v>
      </c>
      <c r="J83" s="266" t="s">
        <v>4418</v>
      </c>
      <c r="K83" s="266"/>
      <c r="L83" s="266"/>
      <c r="M83" s="45" t="s">
        <v>4064</v>
      </c>
      <c r="N83" s="58">
        <f>V83/1</f>
        <v>0</v>
      </c>
      <c r="O83" s="58"/>
      <c r="P83" s="58" t="e">
        <f t="shared" si="44"/>
        <v>#N/A</v>
      </c>
      <c r="Q83" s="280" t="e">
        <f>INDEX([5]Timeline!$D$12:$D$24,MATCH(A83,[5]Timeline!$B$12:$B$24,0))</f>
        <v>#N/A</v>
      </c>
      <c r="R83" s="281">
        <v>44561</v>
      </c>
      <c r="S83" s="282">
        <f t="shared" si="49"/>
        <v>0</v>
      </c>
      <c r="T83" s="282">
        <f t="shared" si="45"/>
        <v>0</v>
      </c>
      <c r="U83" s="282">
        <f t="shared" si="46"/>
        <v>0</v>
      </c>
      <c r="V83" s="127"/>
      <c r="W83" s="127">
        <v>0</v>
      </c>
      <c r="X83" s="127" t="e">
        <f t="shared" si="42"/>
        <v>#N/A</v>
      </c>
      <c r="Y83" s="266">
        <v>0</v>
      </c>
      <c r="Z83" s="45"/>
      <c r="AA83" s="45"/>
      <c r="AB83" s="45"/>
      <c r="AC83" s="45"/>
      <c r="AD83" s="46">
        <f t="shared" si="48"/>
        <v>0</v>
      </c>
      <c r="AE83" s="266"/>
      <c r="AF83" s="266"/>
      <c r="AG83" s="266"/>
      <c r="AH83" s="266"/>
      <c r="AI83" s="283">
        <f t="shared" si="26"/>
        <v>0</v>
      </c>
      <c r="AJ83" s="266"/>
      <c r="AK83" s="266"/>
      <c r="AL83" s="266"/>
      <c r="AM83" s="266"/>
      <c r="AN83" s="283">
        <f t="shared" si="27"/>
        <v>0</v>
      </c>
      <c r="AO83" s="266"/>
      <c r="AP83" s="266"/>
      <c r="AQ83" s="266"/>
      <c r="AR83" s="266"/>
      <c r="AS83" s="283">
        <f t="shared" si="33"/>
        <v>0</v>
      </c>
      <c r="AT83" s="45"/>
      <c r="AU83" s="45"/>
      <c r="AV83" s="45"/>
      <c r="AW83" s="45"/>
      <c r="AX83" s="46">
        <f t="shared" si="28"/>
        <v>0</v>
      </c>
      <c r="AY83" s="266"/>
      <c r="AZ83" s="266"/>
      <c r="BA83" s="266"/>
      <c r="BB83" s="266"/>
      <c r="BC83" s="283">
        <f t="shared" si="47"/>
        <v>0</v>
      </c>
      <c r="BD83" s="45"/>
      <c r="BE83" s="45"/>
      <c r="BF83" s="45"/>
      <c r="BG83" s="45"/>
      <c r="BH83" s="45"/>
      <c r="BI83" s="45"/>
      <c r="BJ83" s="45"/>
      <c r="BK83" s="45"/>
      <c r="BL83" s="45"/>
      <c r="BM83" s="46">
        <f t="shared" si="34"/>
        <v>0</v>
      </c>
      <c r="BN83" s="266"/>
      <c r="BO83" s="266"/>
      <c r="BP83" s="266"/>
      <c r="BQ83" s="266"/>
      <c r="BR83" s="283">
        <f t="shared" si="35"/>
        <v>0</v>
      </c>
      <c r="BS83" s="266"/>
      <c r="BT83" s="266"/>
      <c r="BU83" s="266"/>
      <c r="BV83" s="266"/>
      <c r="BW83" s="283">
        <f t="shared" si="36"/>
        <v>0</v>
      </c>
    </row>
    <row r="84" spans="1:75" ht="76.5">
      <c r="A84" s="45">
        <v>11</v>
      </c>
      <c r="B84" s="50">
        <f t="shared" si="50"/>
        <v>82</v>
      </c>
      <c r="C84" s="51" t="s">
        <v>2914</v>
      </c>
      <c r="D84" s="262" t="s">
        <v>4419</v>
      </c>
      <c r="E84" s="45" t="s">
        <v>4420</v>
      </c>
      <c r="F84" s="45" t="s">
        <v>4421</v>
      </c>
      <c r="G84" s="45" t="s">
        <v>4422</v>
      </c>
      <c r="H84" s="45" t="s">
        <v>4423</v>
      </c>
      <c r="I84" s="52" t="s">
        <v>4406</v>
      </c>
      <c r="J84" s="45" t="s">
        <v>3575</v>
      </c>
      <c r="K84" s="45" t="s">
        <v>4375</v>
      </c>
      <c r="L84" s="45"/>
      <c r="M84" s="45" t="s">
        <v>4424</v>
      </c>
      <c r="N84" s="58">
        <f>V84/2</f>
        <v>1366633.4</v>
      </c>
      <c r="O84" s="58"/>
      <c r="P84" s="58">
        <f t="shared" si="44"/>
        <v>8199800.3999999994</v>
      </c>
      <c r="Q84" s="54">
        <v>44378</v>
      </c>
      <c r="R84" s="55">
        <v>44561</v>
      </c>
      <c r="S84" s="59">
        <f t="shared" si="49"/>
        <v>3.333333333333333</v>
      </c>
      <c r="T84" s="59">
        <f t="shared" si="45"/>
        <v>4</v>
      </c>
      <c r="U84" s="60">
        <f t="shared" si="46"/>
        <v>2.6666666666666665</v>
      </c>
      <c r="V84" s="56">
        <f>27332668/10</f>
        <v>2733266.8</v>
      </c>
      <c r="W84" s="57">
        <v>0</v>
      </c>
      <c r="X84" s="56">
        <f t="shared" si="42"/>
        <v>16399600.799999999</v>
      </c>
      <c r="Y84" s="45">
        <v>1</v>
      </c>
      <c r="Z84" s="45"/>
      <c r="AA84" s="45"/>
      <c r="AB84" s="45"/>
      <c r="AC84" s="45"/>
      <c r="AD84" s="46">
        <f t="shared" si="48"/>
        <v>0</v>
      </c>
      <c r="AE84" s="45">
        <v>4</v>
      </c>
      <c r="AF84" s="45">
        <v>4</v>
      </c>
      <c r="AG84" s="45">
        <v>2</v>
      </c>
      <c r="AH84" s="45">
        <v>3</v>
      </c>
      <c r="AI84" s="46">
        <f t="shared" si="26"/>
        <v>3.25</v>
      </c>
      <c r="AJ84" s="45"/>
      <c r="AK84" s="45"/>
      <c r="AL84" s="45"/>
      <c r="AM84" s="45"/>
      <c r="AN84" s="46">
        <f t="shared" si="27"/>
        <v>0</v>
      </c>
      <c r="AO84" s="45">
        <v>4</v>
      </c>
      <c r="AP84" s="45">
        <v>4</v>
      </c>
      <c r="AQ84" s="45">
        <v>2</v>
      </c>
      <c r="AR84" s="45">
        <v>4</v>
      </c>
      <c r="AS84" s="46">
        <f t="shared" si="33"/>
        <v>3.5</v>
      </c>
      <c r="AT84" s="45"/>
      <c r="AU84" s="45"/>
      <c r="AV84" s="45"/>
      <c r="AW84" s="45"/>
      <c r="AX84" s="46">
        <f t="shared" si="28"/>
        <v>0</v>
      </c>
      <c r="AY84" s="45">
        <v>4</v>
      </c>
      <c r="AZ84" s="45">
        <v>4</v>
      </c>
      <c r="BA84" s="45">
        <v>2</v>
      </c>
      <c r="BB84" s="45">
        <v>3</v>
      </c>
      <c r="BC84" s="47">
        <f t="shared" si="47"/>
        <v>3.25</v>
      </c>
      <c r="BD84" s="45"/>
      <c r="BE84" s="45"/>
      <c r="BF84" s="45"/>
      <c r="BG84" s="45"/>
      <c r="BH84" s="45"/>
      <c r="BI84" s="45"/>
      <c r="BJ84" s="45"/>
      <c r="BK84" s="45"/>
      <c r="BL84" s="45"/>
      <c r="BM84" s="46">
        <f t="shared" si="34"/>
        <v>0</v>
      </c>
      <c r="BN84" s="45"/>
      <c r="BO84" s="45"/>
      <c r="BP84" s="45"/>
      <c r="BQ84" s="45"/>
      <c r="BR84" s="46">
        <f t="shared" si="35"/>
        <v>0</v>
      </c>
      <c r="BS84" s="45">
        <v>4</v>
      </c>
      <c r="BT84" s="45">
        <v>4</v>
      </c>
      <c r="BU84" s="45">
        <v>2</v>
      </c>
      <c r="BV84" s="45">
        <v>2</v>
      </c>
      <c r="BW84" s="46">
        <f t="shared" si="36"/>
        <v>3</v>
      </c>
    </row>
    <row r="85" spans="1:75" ht="76.5">
      <c r="A85" s="45">
        <v>11</v>
      </c>
      <c r="B85" s="50">
        <f t="shared" si="50"/>
        <v>83</v>
      </c>
      <c r="C85" s="51" t="s">
        <v>2773</v>
      </c>
      <c r="D85" s="45" t="s">
        <v>4283</v>
      </c>
      <c r="E85" s="45" t="s">
        <v>4425</v>
      </c>
      <c r="F85" s="45" t="s">
        <v>4426</v>
      </c>
      <c r="G85" s="45" t="s">
        <v>4427</v>
      </c>
      <c r="H85" s="45" t="s">
        <v>4428</v>
      </c>
      <c r="I85" s="52" t="s">
        <v>4406</v>
      </c>
      <c r="J85" s="45" t="s">
        <v>3575</v>
      </c>
      <c r="K85" s="45" t="s">
        <v>4357</v>
      </c>
      <c r="L85" s="45"/>
      <c r="M85" s="45" t="s">
        <v>2773</v>
      </c>
      <c r="N85" s="58">
        <f t="shared" ref="N85:N93" si="52">V85/1</f>
        <v>114400</v>
      </c>
      <c r="O85" s="58"/>
      <c r="P85" s="58" t="e">
        <f t="shared" si="44"/>
        <v>#N/A</v>
      </c>
      <c r="Q85" s="54" t="e">
        <f>INDEX([5]Timeline!$D$12:$D$24,MATCH(A85,[5]Timeline!$B$12:$B$24,0))</f>
        <v>#N/A</v>
      </c>
      <c r="R85" s="55">
        <v>44561</v>
      </c>
      <c r="S85" s="59">
        <f t="shared" si="49"/>
        <v>3</v>
      </c>
      <c r="T85" s="59">
        <f t="shared" si="45"/>
        <v>4</v>
      </c>
      <c r="U85" s="60">
        <f t="shared" si="46"/>
        <v>2</v>
      </c>
      <c r="V85" s="56">
        <v>114400</v>
      </c>
      <c r="W85" s="57">
        <v>0</v>
      </c>
      <c r="X85" s="56" t="e">
        <f t="shared" si="42"/>
        <v>#N/A</v>
      </c>
      <c r="Y85" s="45">
        <v>1</v>
      </c>
      <c r="Z85" s="45"/>
      <c r="AA85" s="45"/>
      <c r="AB85" s="45"/>
      <c r="AC85" s="45"/>
      <c r="AD85" s="46">
        <f t="shared" si="48"/>
        <v>0</v>
      </c>
      <c r="AE85" s="45">
        <v>4</v>
      </c>
      <c r="AF85" s="45">
        <v>4</v>
      </c>
      <c r="AG85" s="45">
        <v>1</v>
      </c>
      <c r="AH85" s="45">
        <v>3</v>
      </c>
      <c r="AI85" s="46">
        <f t="shared" si="26"/>
        <v>3</v>
      </c>
      <c r="AJ85" s="45"/>
      <c r="AK85" s="45"/>
      <c r="AL85" s="45"/>
      <c r="AM85" s="45"/>
      <c r="AN85" s="46">
        <f t="shared" si="27"/>
        <v>0</v>
      </c>
      <c r="AO85" s="45">
        <v>4</v>
      </c>
      <c r="AP85" s="45">
        <v>4</v>
      </c>
      <c r="AQ85" s="45">
        <v>1</v>
      </c>
      <c r="AR85" s="45">
        <v>3</v>
      </c>
      <c r="AS85" s="46">
        <f t="shared" si="33"/>
        <v>3</v>
      </c>
      <c r="AT85" s="45"/>
      <c r="AU85" s="45"/>
      <c r="AV85" s="45"/>
      <c r="AW85" s="45"/>
      <c r="AX85" s="46">
        <f t="shared" si="28"/>
        <v>0</v>
      </c>
      <c r="AY85" s="45">
        <v>4</v>
      </c>
      <c r="AZ85" s="45">
        <v>4</v>
      </c>
      <c r="BA85" s="45">
        <v>1</v>
      </c>
      <c r="BB85" s="45">
        <v>3</v>
      </c>
      <c r="BC85" s="47">
        <f t="shared" si="47"/>
        <v>3</v>
      </c>
      <c r="BD85" s="45"/>
      <c r="BE85" s="45"/>
      <c r="BF85" s="45"/>
      <c r="BG85" s="45"/>
      <c r="BH85" s="45"/>
      <c r="BI85" s="45"/>
      <c r="BJ85" s="45"/>
      <c r="BK85" s="45"/>
      <c r="BL85" s="45"/>
      <c r="BM85" s="46">
        <f t="shared" si="34"/>
        <v>0</v>
      </c>
      <c r="BN85" s="45"/>
      <c r="BO85" s="45"/>
      <c r="BP85" s="45"/>
      <c r="BQ85" s="45"/>
      <c r="BR85" s="46">
        <f t="shared" si="35"/>
        <v>0</v>
      </c>
      <c r="BS85" s="45">
        <v>3</v>
      </c>
      <c r="BT85" s="45">
        <v>3</v>
      </c>
      <c r="BU85" s="45">
        <v>1</v>
      </c>
      <c r="BV85" s="45">
        <v>2</v>
      </c>
      <c r="BW85" s="46">
        <f t="shared" si="36"/>
        <v>2.25</v>
      </c>
    </row>
    <row r="86" spans="1:75" ht="90" customHeight="1">
      <c r="A86" s="45">
        <v>11</v>
      </c>
      <c r="B86" s="50">
        <f t="shared" si="50"/>
        <v>84</v>
      </c>
      <c r="C86" s="51" t="s">
        <v>2773</v>
      </c>
      <c r="D86" s="262" t="s">
        <v>3602</v>
      </c>
      <c r="E86" s="45" t="s">
        <v>4429</v>
      </c>
      <c r="F86" s="45" t="s">
        <v>4430</v>
      </c>
      <c r="G86" s="45" t="s">
        <v>4431</v>
      </c>
      <c r="H86" s="45" t="s">
        <v>4432</v>
      </c>
      <c r="I86" s="52" t="s">
        <v>4406</v>
      </c>
      <c r="J86" s="45" t="s">
        <v>3575</v>
      </c>
      <c r="K86" s="53" t="s">
        <v>4313</v>
      </c>
      <c r="L86" s="45"/>
      <c r="M86" s="45" t="s">
        <v>2773</v>
      </c>
      <c r="N86" s="58">
        <f t="shared" si="52"/>
        <v>5287025</v>
      </c>
      <c r="O86" s="58"/>
      <c r="P86" s="58" t="e">
        <f t="shared" si="44"/>
        <v>#N/A</v>
      </c>
      <c r="Q86" s="54" t="e">
        <f>INDEX([5]Timeline!$D$12:$D$24,MATCH(A86,[5]Timeline!$B$12:$B$24,0))</f>
        <v>#N/A</v>
      </c>
      <c r="R86" s="55">
        <v>44561</v>
      </c>
      <c r="S86" s="59">
        <f t="shared" si="49"/>
        <v>2.8333333333333335</v>
      </c>
      <c r="T86" s="59">
        <f t="shared" si="45"/>
        <v>4</v>
      </c>
      <c r="U86" s="60">
        <f t="shared" si="46"/>
        <v>1.6666666666666667</v>
      </c>
      <c r="V86" s="57">
        <v>5287025</v>
      </c>
      <c r="W86" s="57">
        <v>0</v>
      </c>
      <c r="X86" s="56" t="e">
        <f t="shared" si="42"/>
        <v>#N/A</v>
      </c>
      <c r="Y86" s="45">
        <v>1</v>
      </c>
      <c r="Z86" s="45"/>
      <c r="AA86" s="45"/>
      <c r="AB86" s="45"/>
      <c r="AC86" s="45"/>
      <c r="AD86" s="46">
        <f t="shared" si="48"/>
        <v>0</v>
      </c>
      <c r="AE86" s="45">
        <v>4</v>
      </c>
      <c r="AF86" s="45">
        <v>4</v>
      </c>
      <c r="AG86" s="45">
        <v>1</v>
      </c>
      <c r="AH86" s="45">
        <v>3</v>
      </c>
      <c r="AI86" s="46">
        <f t="shared" si="26"/>
        <v>3</v>
      </c>
      <c r="AJ86" s="45"/>
      <c r="AK86" s="45"/>
      <c r="AL86" s="45"/>
      <c r="AM86" s="45"/>
      <c r="AN86" s="46">
        <f t="shared" si="27"/>
        <v>0</v>
      </c>
      <c r="AO86" s="45">
        <v>4</v>
      </c>
      <c r="AP86" s="45">
        <v>4</v>
      </c>
      <c r="AQ86" s="45">
        <v>1</v>
      </c>
      <c r="AR86" s="45">
        <v>1</v>
      </c>
      <c r="AS86" s="46">
        <f t="shared" si="33"/>
        <v>2.5</v>
      </c>
      <c r="AT86" s="45"/>
      <c r="AU86" s="45"/>
      <c r="AV86" s="45"/>
      <c r="AW86" s="45"/>
      <c r="AX86" s="46">
        <f t="shared" si="28"/>
        <v>0</v>
      </c>
      <c r="AY86" s="45">
        <v>4</v>
      </c>
      <c r="AZ86" s="45">
        <v>4</v>
      </c>
      <c r="BA86" s="45">
        <v>1</v>
      </c>
      <c r="BB86" s="45">
        <v>3</v>
      </c>
      <c r="BC86" s="47">
        <f t="shared" si="47"/>
        <v>3</v>
      </c>
      <c r="BD86" s="45"/>
      <c r="BE86" s="45"/>
      <c r="BF86" s="45"/>
      <c r="BG86" s="45"/>
      <c r="BH86" s="45"/>
      <c r="BI86" s="45"/>
      <c r="BJ86" s="45"/>
      <c r="BK86" s="45"/>
      <c r="BL86" s="45"/>
      <c r="BM86" s="46">
        <f t="shared" si="34"/>
        <v>0</v>
      </c>
      <c r="BN86" s="45"/>
      <c r="BO86" s="45"/>
      <c r="BP86" s="45"/>
      <c r="BQ86" s="45"/>
      <c r="BR86" s="46">
        <f t="shared" si="35"/>
        <v>0</v>
      </c>
      <c r="BS86" s="45">
        <v>4</v>
      </c>
      <c r="BT86" s="45">
        <v>3</v>
      </c>
      <c r="BU86" s="45">
        <v>1</v>
      </c>
      <c r="BV86" s="45">
        <v>1</v>
      </c>
      <c r="BW86" s="46">
        <f t="shared" si="36"/>
        <v>2.25</v>
      </c>
    </row>
    <row r="87" spans="1:75" ht="76.5">
      <c r="A87" s="45">
        <v>11</v>
      </c>
      <c r="B87" s="50">
        <f t="shared" si="50"/>
        <v>85</v>
      </c>
      <c r="C87" s="51" t="s">
        <v>2817</v>
      </c>
      <c r="D87" s="45" t="s">
        <v>3217</v>
      </c>
      <c r="E87" s="45" t="s">
        <v>4433</v>
      </c>
      <c r="F87" s="45" t="s">
        <v>4434</v>
      </c>
      <c r="G87" s="45" t="s">
        <v>4435</v>
      </c>
      <c r="H87" s="45" t="s">
        <v>4436</v>
      </c>
      <c r="I87" s="52" t="s">
        <v>4406</v>
      </c>
      <c r="J87" s="45" t="s">
        <v>3575</v>
      </c>
      <c r="K87" s="45" t="s">
        <v>4308</v>
      </c>
      <c r="L87" s="45"/>
      <c r="M87" s="45" t="s">
        <v>2817</v>
      </c>
      <c r="N87" s="58">
        <f t="shared" si="52"/>
        <v>77040</v>
      </c>
      <c r="O87" s="58"/>
      <c r="P87" s="58" t="e">
        <f t="shared" si="44"/>
        <v>#N/A</v>
      </c>
      <c r="Q87" s="54" t="e">
        <f>INDEX([5]Timeline!$D$12:$D$24,MATCH(A87,[5]Timeline!$B$12:$B$24,0))</f>
        <v>#N/A</v>
      </c>
      <c r="R87" s="55">
        <v>44561</v>
      </c>
      <c r="S87" s="59">
        <f t="shared" si="49"/>
        <v>2.5</v>
      </c>
      <c r="T87" s="59">
        <f t="shared" si="45"/>
        <v>3</v>
      </c>
      <c r="U87" s="60">
        <f t="shared" si="46"/>
        <v>2</v>
      </c>
      <c r="V87" s="56">
        <v>77040</v>
      </c>
      <c r="W87" s="57">
        <v>0</v>
      </c>
      <c r="X87" s="56" t="e">
        <f t="shared" si="42"/>
        <v>#N/A</v>
      </c>
      <c r="Y87" s="45">
        <v>1</v>
      </c>
      <c r="Z87" s="45"/>
      <c r="AA87" s="45"/>
      <c r="AB87" s="45"/>
      <c r="AC87" s="45"/>
      <c r="AD87" s="46">
        <f t="shared" si="48"/>
        <v>0</v>
      </c>
      <c r="AE87" s="45">
        <v>3</v>
      </c>
      <c r="AF87" s="45">
        <v>3</v>
      </c>
      <c r="AG87" s="45">
        <v>1</v>
      </c>
      <c r="AH87" s="45">
        <v>3</v>
      </c>
      <c r="AI87" s="46">
        <f t="shared" si="26"/>
        <v>2.5</v>
      </c>
      <c r="AJ87" s="45"/>
      <c r="AK87" s="45"/>
      <c r="AL87" s="45"/>
      <c r="AM87" s="45"/>
      <c r="AN87" s="46">
        <f t="shared" si="27"/>
        <v>0</v>
      </c>
      <c r="AO87" s="45">
        <v>3</v>
      </c>
      <c r="AP87" s="45">
        <v>3</v>
      </c>
      <c r="AQ87" s="45">
        <v>1</v>
      </c>
      <c r="AR87" s="45">
        <v>3</v>
      </c>
      <c r="AS87" s="46">
        <f t="shared" si="33"/>
        <v>2.5</v>
      </c>
      <c r="AT87" s="45"/>
      <c r="AU87" s="45"/>
      <c r="AV87" s="45"/>
      <c r="AW87" s="45"/>
      <c r="AX87" s="46">
        <f t="shared" si="28"/>
        <v>0</v>
      </c>
      <c r="AY87" s="45">
        <v>3</v>
      </c>
      <c r="AZ87" s="45">
        <v>3</v>
      </c>
      <c r="BA87" s="45">
        <v>1</v>
      </c>
      <c r="BB87" s="45">
        <v>3</v>
      </c>
      <c r="BC87" s="47">
        <f t="shared" si="47"/>
        <v>2.5</v>
      </c>
      <c r="BD87" s="45"/>
      <c r="BE87" s="45"/>
      <c r="BF87" s="45"/>
      <c r="BG87" s="45"/>
      <c r="BH87" s="45"/>
      <c r="BI87" s="45"/>
      <c r="BJ87" s="45"/>
      <c r="BK87" s="45"/>
      <c r="BL87" s="45"/>
      <c r="BM87" s="46">
        <f t="shared" si="34"/>
        <v>0</v>
      </c>
      <c r="BN87" s="45"/>
      <c r="BO87" s="45"/>
      <c r="BP87" s="45"/>
      <c r="BQ87" s="45"/>
      <c r="BR87" s="46">
        <f t="shared" si="35"/>
        <v>0</v>
      </c>
      <c r="BS87" s="45">
        <v>3</v>
      </c>
      <c r="BT87" s="45">
        <v>3</v>
      </c>
      <c r="BU87" s="45">
        <v>1</v>
      </c>
      <c r="BV87" s="45">
        <v>2</v>
      </c>
      <c r="BW87" s="46">
        <f t="shared" si="36"/>
        <v>2.25</v>
      </c>
    </row>
    <row r="88" spans="1:75" ht="76.5">
      <c r="A88" s="45">
        <v>12</v>
      </c>
      <c r="B88" s="50">
        <f t="shared" si="50"/>
        <v>86</v>
      </c>
      <c r="C88" s="51" t="s">
        <v>4082</v>
      </c>
      <c r="D88" s="45" t="s">
        <v>4082</v>
      </c>
      <c r="E88" s="45" t="s">
        <v>4437</v>
      </c>
      <c r="F88" s="45" t="s">
        <v>4438</v>
      </c>
      <c r="G88" s="45" t="s">
        <v>4439</v>
      </c>
      <c r="H88" s="45" t="s">
        <v>4440</v>
      </c>
      <c r="I88" s="52" t="s">
        <v>4441</v>
      </c>
      <c r="J88" s="45" t="s">
        <v>3575</v>
      </c>
      <c r="K88" s="45" t="s">
        <v>4308</v>
      </c>
      <c r="L88" s="45"/>
      <c r="M88" s="45" t="s">
        <v>4082</v>
      </c>
      <c r="N88" s="58">
        <f t="shared" si="52"/>
        <v>2700000</v>
      </c>
      <c r="O88" s="58"/>
      <c r="P88" s="58" t="e">
        <f t="shared" si="44"/>
        <v>#N/A</v>
      </c>
      <c r="Q88" s="54" t="e">
        <f>INDEX([5]Timeline!$D$12:$D$24,MATCH(A88,[5]Timeline!$B$12:$B$24,0))</f>
        <v>#N/A</v>
      </c>
      <c r="R88" s="55">
        <v>44561</v>
      </c>
      <c r="S88" s="59">
        <f t="shared" si="49"/>
        <v>1.75</v>
      </c>
      <c r="T88" s="59">
        <f t="shared" si="45"/>
        <v>2</v>
      </c>
      <c r="U88" s="60">
        <f t="shared" si="46"/>
        <v>1.5</v>
      </c>
      <c r="V88" s="56">
        <v>2700000</v>
      </c>
      <c r="W88" s="57">
        <v>0</v>
      </c>
      <c r="X88" s="56" t="e">
        <f t="shared" si="42"/>
        <v>#N/A</v>
      </c>
      <c r="Y88" s="45">
        <v>1</v>
      </c>
      <c r="Z88" s="45"/>
      <c r="AA88" s="45"/>
      <c r="AB88" s="45"/>
      <c r="AC88" s="45"/>
      <c r="AD88" s="46">
        <f t="shared" si="48"/>
        <v>0</v>
      </c>
      <c r="AE88" s="45">
        <v>2</v>
      </c>
      <c r="AF88" s="45">
        <v>2</v>
      </c>
      <c r="AG88" s="45">
        <v>1</v>
      </c>
      <c r="AH88" s="45">
        <v>2</v>
      </c>
      <c r="AI88" s="46">
        <f t="shared" si="26"/>
        <v>1.75</v>
      </c>
      <c r="AJ88" s="45"/>
      <c r="AK88" s="45"/>
      <c r="AL88" s="45"/>
      <c r="AM88" s="45"/>
      <c r="AN88" s="46">
        <f t="shared" si="27"/>
        <v>0</v>
      </c>
      <c r="AO88" s="45">
        <v>2</v>
      </c>
      <c r="AP88" s="45">
        <v>2</v>
      </c>
      <c r="AQ88" s="45">
        <v>1</v>
      </c>
      <c r="AR88" s="45">
        <v>2</v>
      </c>
      <c r="AS88" s="46">
        <f t="shared" si="33"/>
        <v>1.75</v>
      </c>
      <c r="AT88" s="45"/>
      <c r="AU88" s="45"/>
      <c r="AV88" s="45"/>
      <c r="AW88" s="45"/>
      <c r="AX88" s="46">
        <f t="shared" si="28"/>
        <v>0</v>
      </c>
      <c r="AY88" s="45">
        <v>2</v>
      </c>
      <c r="AZ88" s="45">
        <v>2</v>
      </c>
      <c r="BA88" s="45">
        <v>1</v>
      </c>
      <c r="BB88" s="45">
        <v>2</v>
      </c>
      <c r="BC88" s="47">
        <f t="shared" si="47"/>
        <v>1.75</v>
      </c>
      <c r="BD88" s="45"/>
      <c r="BE88" s="45"/>
      <c r="BF88" s="45"/>
      <c r="BG88" s="45"/>
      <c r="BH88" s="45"/>
      <c r="BI88" s="45"/>
      <c r="BJ88" s="45"/>
      <c r="BK88" s="45"/>
      <c r="BL88" s="45"/>
      <c r="BM88" s="46">
        <f t="shared" si="34"/>
        <v>0</v>
      </c>
      <c r="BN88" s="45"/>
      <c r="BO88" s="45"/>
      <c r="BP88" s="45"/>
      <c r="BQ88" s="45"/>
      <c r="BR88" s="46">
        <f t="shared" si="35"/>
        <v>0</v>
      </c>
      <c r="BS88" s="45">
        <v>2</v>
      </c>
      <c r="BT88" s="45">
        <v>2</v>
      </c>
      <c r="BU88" s="45">
        <v>1</v>
      </c>
      <c r="BV88" s="45">
        <v>2</v>
      </c>
      <c r="BW88" s="46">
        <f t="shared" si="36"/>
        <v>1.75</v>
      </c>
    </row>
    <row r="89" spans="1:75" ht="76.5">
      <c r="A89" s="45">
        <v>12</v>
      </c>
      <c r="B89" s="50">
        <f t="shared" si="50"/>
        <v>87</v>
      </c>
      <c r="C89" s="51" t="s">
        <v>2914</v>
      </c>
      <c r="D89" s="45" t="s">
        <v>3531</v>
      </c>
      <c r="E89" s="45" t="s">
        <v>4442</v>
      </c>
      <c r="F89" s="45" t="s">
        <v>4443</v>
      </c>
      <c r="G89" s="45" t="s">
        <v>4444</v>
      </c>
      <c r="H89" s="45" t="s">
        <v>4445</v>
      </c>
      <c r="I89" s="52" t="s">
        <v>4441</v>
      </c>
      <c r="J89" s="45" t="s">
        <v>3575</v>
      </c>
      <c r="K89" s="45" t="s">
        <v>4396</v>
      </c>
      <c r="L89" s="45"/>
      <c r="M89" s="45" t="str">
        <f>D89</f>
        <v>WH Batuceper</v>
      </c>
      <c r="N89" s="58">
        <f t="shared" si="52"/>
        <v>900000</v>
      </c>
      <c r="O89" s="58"/>
      <c r="P89" s="58" t="e">
        <f t="shared" si="44"/>
        <v>#N/A</v>
      </c>
      <c r="Q89" s="54" t="e">
        <f>INDEX([5]Timeline!$D$12:$D$24,MATCH(A89,[5]Timeline!$B$12:$B$24,0))</f>
        <v>#N/A</v>
      </c>
      <c r="R89" s="55">
        <v>44561</v>
      </c>
      <c r="S89" s="59">
        <f t="shared" si="49"/>
        <v>3.333333333333333</v>
      </c>
      <c r="T89" s="59">
        <f t="shared" si="45"/>
        <v>3.6666666666666665</v>
      </c>
      <c r="U89" s="60">
        <f t="shared" si="46"/>
        <v>3</v>
      </c>
      <c r="V89" s="56">
        <v>900000</v>
      </c>
      <c r="W89" s="57">
        <v>0</v>
      </c>
      <c r="X89" s="56" t="e">
        <f t="shared" si="42"/>
        <v>#N/A</v>
      </c>
      <c r="Y89" s="45">
        <v>1</v>
      </c>
      <c r="Z89" s="45"/>
      <c r="AA89" s="45"/>
      <c r="AB89" s="45"/>
      <c r="AC89" s="45"/>
      <c r="AD89" s="46">
        <f t="shared" si="48"/>
        <v>0</v>
      </c>
      <c r="AE89" s="45">
        <v>4</v>
      </c>
      <c r="AF89" s="45">
        <v>4</v>
      </c>
      <c r="AG89" s="45">
        <v>2</v>
      </c>
      <c r="AH89" s="45">
        <v>4</v>
      </c>
      <c r="AI89" s="46">
        <f t="shared" si="26"/>
        <v>3.5</v>
      </c>
      <c r="AJ89" s="45"/>
      <c r="AK89" s="45"/>
      <c r="AL89" s="45"/>
      <c r="AM89" s="45"/>
      <c r="AN89" s="46">
        <f t="shared" si="27"/>
        <v>0</v>
      </c>
      <c r="AO89" s="45">
        <v>3</v>
      </c>
      <c r="AP89" s="45">
        <v>3</v>
      </c>
      <c r="AQ89" s="45">
        <v>2</v>
      </c>
      <c r="AR89" s="45">
        <v>4</v>
      </c>
      <c r="AS89" s="46">
        <f t="shared" si="33"/>
        <v>3</v>
      </c>
      <c r="AT89" s="45"/>
      <c r="AU89" s="45"/>
      <c r="AV89" s="45"/>
      <c r="AW89" s="45"/>
      <c r="AX89" s="46">
        <f t="shared" si="28"/>
        <v>0</v>
      </c>
      <c r="AY89" s="45">
        <v>4</v>
      </c>
      <c r="AZ89" s="45">
        <v>4</v>
      </c>
      <c r="BA89" s="45">
        <v>2</v>
      </c>
      <c r="BB89" s="45">
        <v>4</v>
      </c>
      <c r="BC89" s="47">
        <f t="shared" si="47"/>
        <v>3.5</v>
      </c>
      <c r="BD89" s="45"/>
      <c r="BE89" s="45"/>
      <c r="BF89" s="45"/>
      <c r="BG89" s="45"/>
      <c r="BH89" s="45"/>
      <c r="BI89" s="45"/>
      <c r="BJ89" s="45"/>
      <c r="BK89" s="45"/>
      <c r="BL89" s="45"/>
      <c r="BM89" s="46">
        <f t="shared" si="34"/>
        <v>0</v>
      </c>
      <c r="BN89" s="45"/>
      <c r="BO89" s="45"/>
      <c r="BP89" s="45"/>
      <c r="BQ89" s="45"/>
      <c r="BR89" s="46">
        <f t="shared" si="35"/>
        <v>0</v>
      </c>
      <c r="BS89" s="45">
        <v>3</v>
      </c>
      <c r="BT89" s="45">
        <v>3</v>
      </c>
      <c r="BU89" s="45">
        <v>2</v>
      </c>
      <c r="BV89" s="45">
        <v>2</v>
      </c>
      <c r="BW89" s="46">
        <f t="shared" si="36"/>
        <v>2.5</v>
      </c>
    </row>
    <row r="90" spans="1:75" ht="76.5">
      <c r="A90" s="45">
        <v>12</v>
      </c>
      <c r="B90" s="50">
        <f t="shared" si="50"/>
        <v>88</v>
      </c>
      <c r="C90" s="51" t="s">
        <v>2854</v>
      </c>
      <c r="D90" s="45" t="s">
        <v>4446</v>
      </c>
      <c r="E90" s="45" t="s">
        <v>4447</v>
      </c>
      <c r="F90" s="45" t="s">
        <v>4448</v>
      </c>
      <c r="G90" s="45" t="s">
        <v>4449</v>
      </c>
      <c r="H90" s="45" t="s">
        <v>4450</v>
      </c>
      <c r="I90" s="52" t="s">
        <v>4441</v>
      </c>
      <c r="J90" s="45" t="s">
        <v>3575</v>
      </c>
      <c r="K90" s="45" t="s">
        <v>4396</v>
      </c>
      <c r="L90" s="45"/>
      <c r="M90" s="45" t="s">
        <v>4186</v>
      </c>
      <c r="N90" s="58">
        <f t="shared" si="52"/>
        <v>125476</v>
      </c>
      <c r="O90" s="58"/>
      <c r="P90" s="58" t="e">
        <f t="shared" si="44"/>
        <v>#N/A</v>
      </c>
      <c r="Q90" s="54" t="e">
        <f>INDEX([5]Timeline!$D$12:$D$24,MATCH(A90,[5]Timeline!$B$12:$B$24,0))</f>
        <v>#N/A</v>
      </c>
      <c r="R90" s="55">
        <v>44561</v>
      </c>
      <c r="S90" s="59">
        <f t="shared" si="49"/>
        <v>3.333333333333333</v>
      </c>
      <c r="T90" s="59">
        <f t="shared" si="45"/>
        <v>3.5</v>
      </c>
      <c r="U90" s="60">
        <f t="shared" si="46"/>
        <v>3.1666666666666665</v>
      </c>
      <c r="V90" s="56">
        <v>125476</v>
      </c>
      <c r="W90" s="57">
        <v>0</v>
      </c>
      <c r="X90" s="56" t="e">
        <f t="shared" si="42"/>
        <v>#N/A</v>
      </c>
      <c r="Y90" s="45">
        <v>1</v>
      </c>
      <c r="Z90" s="45"/>
      <c r="AA90" s="45"/>
      <c r="AB90" s="45"/>
      <c r="AC90" s="45"/>
      <c r="AD90" s="46">
        <f t="shared" si="48"/>
        <v>0</v>
      </c>
      <c r="AE90" s="45">
        <v>4</v>
      </c>
      <c r="AF90" s="45">
        <v>4</v>
      </c>
      <c r="AG90" s="45">
        <v>2</v>
      </c>
      <c r="AH90" s="45">
        <v>4</v>
      </c>
      <c r="AI90" s="46">
        <f t="shared" si="26"/>
        <v>3.5</v>
      </c>
      <c r="AJ90" s="45"/>
      <c r="AK90" s="45"/>
      <c r="AL90" s="45"/>
      <c r="AM90" s="45"/>
      <c r="AN90" s="46">
        <f t="shared" si="27"/>
        <v>0</v>
      </c>
      <c r="AO90" s="45">
        <v>4</v>
      </c>
      <c r="AP90" s="45">
        <v>2</v>
      </c>
      <c r="AQ90" s="45">
        <v>2</v>
      </c>
      <c r="AR90" s="45">
        <v>4</v>
      </c>
      <c r="AS90" s="46">
        <f t="shared" si="33"/>
        <v>3</v>
      </c>
      <c r="AT90" s="45"/>
      <c r="AU90" s="45"/>
      <c r="AV90" s="45"/>
      <c r="AW90" s="45"/>
      <c r="AX90" s="46">
        <f t="shared" si="28"/>
        <v>0</v>
      </c>
      <c r="AY90" s="45">
        <v>4</v>
      </c>
      <c r="AZ90" s="45">
        <v>3</v>
      </c>
      <c r="BA90" s="45">
        <v>3</v>
      </c>
      <c r="BB90" s="45">
        <v>4</v>
      </c>
      <c r="BC90" s="47">
        <f t="shared" si="47"/>
        <v>3.5</v>
      </c>
      <c r="BD90" s="45"/>
      <c r="BE90" s="45"/>
      <c r="BF90" s="45"/>
      <c r="BG90" s="45"/>
      <c r="BH90" s="45"/>
      <c r="BI90" s="45"/>
      <c r="BJ90" s="45"/>
      <c r="BK90" s="45"/>
      <c r="BL90" s="45"/>
      <c r="BM90" s="46">
        <f t="shared" si="34"/>
        <v>0</v>
      </c>
      <c r="BN90" s="45"/>
      <c r="BO90" s="45"/>
      <c r="BP90" s="45"/>
      <c r="BQ90" s="45"/>
      <c r="BR90" s="46">
        <f t="shared" si="35"/>
        <v>0</v>
      </c>
      <c r="BS90" s="45">
        <v>4</v>
      </c>
      <c r="BT90" s="45">
        <v>3</v>
      </c>
      <c r="BU90" s="45">
        <v>2</v>
      </c>
      <c r="BV90" s="45">
        <v>2</v>
      </c>
      <c r="BW90" s="46">
        <f t="shared" si="36"/>
        <v>2.75</v>
      </c>
    </row>
    <row r="91" spans="1:75" ht="76.5">
      <c r="A91" s="45">
        <v>12</v>
      </c>
      <c r="B91" s="50">
        <f t="shared" si="50"/>
        <v>89</v>
      </c>
      <c r="C91" s="51" t="s">
        <v>2773</v>
      </c>
      <c r="D91" s="262" t="s">
        <v>4330</v>
      </c>
      <c r="E91" s="45" t="s">
        <v>4451</v>
      </c>
      <c r="F91" s="45" t="s">
        <v>4452</v>
      </c>
      <c r="G91" s="45" t="s">
        <v>4453</v>
      </c>
      <c r="H91" s="45" t="s">
        <v>4454</v>
      </c>
      <c r="I91" s="52" t="s">
        <v>4441</v>
      </c>
      <c r="J91" s="45" t="s">
        <v>3575</v>
      </c>
      <c r="K91" s="45" t="s">
        <v>4396</v>
      </c>
      <c r="L91" s="45"/>
      <c r="M91" s="45" t="s">
        <v>2773</v>
      </c>
      <c r="N91" s="58">
        <f t="shared" si="52"/>
        <v>3464458</v>
      </c>
      <c r="O91" s="58"/>
      <c r="P91" s="58" t="e">
        <f t="shared" si="44"/>
        <v>#N/A</v>
      </c>
      <c r="Q91" s="54" t="e">
        <f>INDEX([5]Timeline!$D$12:$D$24,MATCH(A91,[5]Timeline!$B$12:$B$24,0))</f>
        <v>#N/A</v>
      </c>
      <c r="R91" s="55">
        <v>44561</v>
      </c>
      <c r="S91" s="59">
        <f t="shared" si="49"/>
        <v>3.333333333333333</v>
      </c>
      <c r="T91" s="59">
        <f t="shared" si="45"/>
        <v>3.5</v>
      </c>
      <c r="U91" s="60">
        <f t="shared" si="46"/>
        <v>3.1666666666666665</v>
      </c>
      <c r="V91" s="56">
        <v>3464458</v>
      </c>
      <c r="W91" s="57">
        <v>0</v>
      </c>
      <c r="X91" s="56" t="e">
        <f t="shared" si="42"/>
        <v>#N/A</v>
      </c>
      <c r="Y91" s="45">
        <v>1</v>
      </c>
      <c r="Z91" s="45"/>
      <c r="AA91" s="45"/>
      <c r="AB91" s="45"/>
      <c r="AC91" s="45"/>
      <c r="AD91" s="46">
        <f t="shared" si="48"/>
        <v>0</v>
      </c>
      <c r="AE91" s="45">
        <v>4</v>
      </c>
      <c r="AF91" s="45">
        <v>4</v>
      </c>
      <c r="AG91" s="45">
        <v>2</v>
      </c>
      <c r="AH91" s="45">
        <v>4</v>
      </c>
      <c r="AI91" s="46">
        <f t="shared" si="26"/>
        <v>3.5</v>
      </c>
      <c r="AJ91" s="45"/>
      <c r="AK91" s="45"/>
      <c r="AL91" s="45"/>
      <c r="AM91" s="45"/>
      <c r="AN91" s="46">
        <f t="shared" si="27"/>
        <v>0</v>
      </c>
      <c r="AO91" s="45">
        <v>3</v>
      </c>
      <c r="AP91" s="45">
        <v>3</v>
      </c>
      <c r="AQ91" s="45">
        <v>3</v>
      </c>
      <c r="AR91" s="45">
        <v>4</v>
      </c>
      <c r="AS91" s="46">
        <f t="shared" si="33"/>
        <v>3.25</v>
      </c>
      <c r="AT91" s="45"/>
      <c r="AU91" s="45"/>
      <c r="AV91" s="45"/>
      <c r="AW91" s="45"/>
      <c r="AX91" s="46">
        <f t="shared" si="28"/>
        <v>0</v>
      </c>
      <c r="AY91" s="45">
        <v>4</v>
      </c>
      <c r="AZ91" s="45">
        <v>3</v>
      </c>
      <c r="BA91" s="45">
        <v>2</v>
      </c>
      <c r="BB91" s="45">
        <v>4</v>
      </c>
      <c r="BC91" s="47">
        <f t="shared" si="47"/>
        <v>3.25</v>
      </c>
      <c r="BD91" s="45"/>
      <c r="BE91" s="45"/>
      <c r="BF91" s="45"/>
      <c r="BG91" s="45"/>
      <c r="BH91" s="45"/>
      <c r="BI91" s="45"/>
      <c r="BJ91" s="45"/>
      <c r="BK91" s="45"/>
      <c r="BL91" s="45"/>
      <c r="BM91" s="46">
        <f t="shared" si="34"/>
        <v>0</v>
      </c>
      <c r="BN91" s="45"/>
      <c r="BO91" s="45"/>
      <c r="BP91" s="45"/>
      <c r="BQ91" s="45"/>
      <c r="BR91" s="46">
        <f t="shared" si="35"/>
        <v>0</v>
      </c>
      <c r="BS91" s="45">
        <v>3</v>
      </c>
      <c r="BT91" s="45">
        <v>3</v>
      </c>
      <c r="BU91" s="45">
        <v>1</v>
      </c>
      <c r="BV91" s="45">
        <v>2</v>
      </c>
      <c r="BW91" s="46">
        <f t="shared" si="36"/>
        <v>2.25</v>
      </c>
    </row>
    <row r="92" spans="1:75" ht="76.5">
      <c r="A92" s="45">
        <v>12</v>
      </c>
      <c r="B92" s="50">
        <f t="shared" si="50"/>
        <v>90</v>
      </c>
      <c r="C92" s="51" t="s">
        <v>2773</v>
      </c>
      <c r="D92" s="45" t="s">
        <v>4243</v>
      </c>
      <c r="E92" s="45" t="s">
        <v>4455</v>
      </c>
      <c r="F92" s="45" t="s">
        <v>4456</v>
      </c>
      <c r="G92" s="45" t="s">
        <v>4457</v>
      </c>
      <c r="H92" s="45" t="s">
        <v>4458</v>
      </c>
      <c r="I92" s="52" t="s">
        <v>4441</v>
      </c>
      <c r="J92" s="45" t="s">
        <v>3575</v>
      </c>
      <c r="K92" s="45" t="s">
        <v>4357</v>
      </c>
      <c r="L92" s="45"/>
      <c r="M92" s="45" t="s">
        <v>2773</v>
      </c>
      <c r="N92" s="58">
        <f t="shared" si="52"/>
        <v>401333</v>
      </c>
      <c r="O92" s="58"/>
      <c r="P92" s="58" t="e">
        <f t="shared" si="44"/>
        <v>#N/A</v>
      </c>
      <c r="Q92" s="54" t="e">
        <f>INDEX([5]Timeline!$D$12:$D$24,MATCH(A92,[5]Timeline!$B$12:$B$24,0))</f>
        <v>#N/A</v>
      </c>
      <c r="R92" s="55">
        <v>44561</v>
      </c>
      <c r="S92" s="59">
        <f t="shared" si="49"/>
        <v>3.5</v>
      </c>
      <c r="T92" s="59">
        <f t="shared" si="45"/>
        <v>4</v>
      </c>
      <c r="U92" s="60">
        <f t="shared" si="46"/>
        <v>3</v>
      </c>
      <c r="V92" s="56">
        <v>401333</v>
      </c>
      <c r="W92" s="57">
        <v>0</v>
      </c>
      <c r="X92" s="56" t="e">
        <f t="shared" si="42"/>
        <v>#N/A</v>
      </c>
      <c r="Y92" s="45">
        <v>1</v>
      </c>
      <c r="Z92" s="45"/>
      <c r="AA92" s="45"/>
      <c r="AB92" s="45"/>
      <c r="AC92" s="45"/>
      <c r="AD92" s="46">
        <f t="shared" si="48"/>
        <v>0</v>
      </c>
      <c r="AE92" s="45">
        <v>4</v>
      </c>
      <c r="AF92" s="45">
        <v>4</v>
      </c>
      <c r="AG92" s="45">
        <v>4</v>
      </c>
      <c r="AH92" s="45">
        <v>2</v>
      </c>
      <c r="AI92" s="46">
        <f t="shared" si="26"/>
        <v>3.5</v>
      </c>
      <c r="AJ92" s="45"/>
      <c r="AK92" s="45"/>
      <c r="AL92" s="45"/>
      <c r="AM92" s="45"/>
      <c r="AN92" s="46">
        <f t="shared" si="27"/>
        <v>0</v>
      </c>
      <c r="AO92" s="45">
        <v>4</v>
      </c>
      <c r="AP92" s="45">
        <v>4</v>
      </c>
      <c r="AQ92" s="45">
        <v>3</v>
      </c>
      <c r="AR92" s="45">
        <v>3</v>
      </c>
      <c r="AS92" s="46">
        <f t="shared" si="33"/>
        <v>3.5</v>
      </c>
      <c r="AT92" s="45"/>
      <c r="AU92" s="45"/>
      <c r="AV92" s="45"/>
      <c r="AW92" s="45"/>
      <c r="AX92" s="46">
        <f t="shared" si="28"/>
        <v>0</v>
      </c>
      <c r="AY92" s="45">
        <v>4</v>
      </c>
      <c r="AZ92" s="45">
        <v>4</v>
      </c>
      <c r="BA92" s="45">
        <v>3</v>
      </c>
      <c r="BB92" s="45">
        <v>3</v>
      </c>
      <c r="BC92" s="47">
        <f t="shared" si="47"/>
        <v>3.5</v>
      </c>
      <c r="BD92" s="45"/>
      <c r="BE92" s="45"/>
      <c r="BF92" s="45"/>
      <c r="BG92" s="45"/>
      <c r="BH92" s="45"/>
      <c r="BI92" s="45"/>
      <c r="BJ92" s="45"/>
      <c r="BK92" s="45"/>
      <c r="BL92" s="45"/>
      <c r="BM92" s="46">
        <f t="shared" si="34"/>
        <v>0</v>
      </c>
      <c r="BN92" s="45"/>
      <c r="BO92" s="45"/>
      <c r="BP92" s="45"/>
      <c r="BQ92" s="45"/>
      <c r="BR92" s="46">
        <f t="shared" si="35"/>
        <v>0</v>
      </c>
      <c r="BS92" s="45">
        <v>4</v>
      </c>
      <c r="BT92" s="45">
        <v>4</v>
      </c>
      <c r="BU92" s="45">
        <v>1</v>
      </c>
      <c r="BV92" s="45">
        <v>2</v>
      </c>
      <c r="BW92" s="46">
        <f t="shared" si="36"/>
        <v>2.75</v>
      </c>
    </row>
    <row r="93" spans="1:75" ht="76.5">
      <c r="A93" s="45">
        <v>13</v>
      </c>
      <c r="B93" s="50">
        <f t="shared" si="50"/>
        <v>91</v>
      </c>
      <c r="C93" s="51" t="s">
        <v>2817</v>
      </c>
      <c r="D93" s="45" t="s">
        <v>4459</v>
      </c>
      <c r="E93" s="45" t="s">
        <v>4460</v>
      </c>
      <c r="F93" s="45" t="s">
        <v>4461</v>
      </c>
      <c r="G93" s="45" t="s">
        <v>4462</v>
      </c>
      <c r="H93" s="45" t="s">
        <v>4463</v>
      </c>
      <c r="I93" s="52" t="s">
        <v>4464</v>
      </c>
      <c r="J93" s="45" t="s">
        <v>3575</v>
      </c>
      <c r="K93" s="53" t="s">
        <v>4302</v>
      </c>
      <c r="L93" s="45"/>
      <c r="M93" s="45" t="s">
        <v>2817</v>
      </c>
      <c r="N93" s="58">
        <f t="shared" si="52"/>
        <v>19574</v>
      </c>
      <c r="O93" s="58"/>
      <c r="P93" s="58" t="e">
        <f t="shared" si="44"/>
        <v>#N/A</v>
      </c>
      <c r="Q93" s="54" t="e">
        <f>INDEX([5]Timeline!$D$12:$D$26,MATCH(A93,[5]Timeline!$B$12:$B$26,0))</f>
        <v>#N/A</v>
      </c>
      <c r="R93" s="55">
        <v>44561</v>
      </c>
      <c r="S93" s="59">
        <f t="shared" si="49"/>
        <v>2.5625</v>
      </c>
      <c r="T93" s="59">
        <f t="shared" si="45"/>
        <v>3.625</v>
      </c>
      <c r="U93" s="60">
        <f t="shared" si="46"/>
        <v>1.5</v>
      </c>
      <c r="V93" s="56">
        <v>19574</v>
      </c>
      <c r="W93" s="57">
        <v>0</v>
      </c>
      <c r="X93" s="56" t="e">
        <f t="shared" si="42"/>
        <v>#N/A</v>
      </c>
      <c r="Y93" s="45">
        <v>1</v>
      </c>
      <c r="Z93" s="45"/>
      <c r="AA93" s="45"/>
      <c r="AB93" s="45"/>
      <c r="AC93" s="45"/>
      <c r="AD93" s="46">
        <f t="shared" si="48"/>
        <v>0</v>
      </c>
      <c r="AE93" s="45">
        <v>3</v>
      </c>
      <c r="AF93" s="45">
        <v>3</v>
      </c>
      <c r="AG93" s="45"/>
      <c r="AH93" s="45"/>
      <c r="AI93" s="46">
        <f t="shared" si="26"/>
        <v>1.5</v>
      </c>
      <c r="AJ93" s="45">
        <v>4</v>
      </c>
      <c r="AK93" s="45">
        <v>4</v>
      </c>
      <c r="AL93" s="45">
        <v>1</v>
      </c>
      <c r="AM93" s="45">
        <v>2</v>
      </c>
      <c r="AN93" s="46">
        <f t="shared" si="27"/>
        <v>2.75</v>
      </c>
      <c r="AO93" s="45">
        <v>4</v>
      </c>
      <c r="AP93" s="45">
        <v>4</v>
      </c>
      <c r="AQ93" s="45">
        <v>1</v>
      </c>
      <c r="AR93" s="45">
        <v>2</v>
      </c>
      <c r="AS93" s="46">
        <f t="shared" si="33"/>
        <v>2.75</v>
      </c>
      <c r="AT93" s="45"/>
      <c r="AU93" s="45"/>
      <c r="AV93" s="45"/>
      <c r="AW93" s="45"/>
      <c r="AX93" s="46">
        <f t="shared" si="28"/>
        <v>0</v>
      </c>
      <c r="AY93" s="45">
        <v>4</v>
      </c>
      <c r="AZ93" s="45">
        <v>3</v>
      </c>
      <c r="BA93" s="45">
        <v>1</v>
      </c>
      <c r="BB93" s="45">
        <v>2</v>
      </c>
      <c r="BC93" s="47">
        <f t="shared" si="47"/>
        <v>2.5</v>
      </c>
      <c r="BD93" s="45"/>
      <c r="BE93" s="45"/>
      <c r="BF93" s="45"/>
      <c r="BG93" s="45"/>
      <c r="BH93" s="45"/>
      <c r="BI93" s="45"/>
      <c r="BJ93" s="45"/>
      <c r="BK93" s="45"/>
      <c r="BL93" s="45"/>
      <c r="BM93" s="46">
        <f t="shared" si="34"/>
        <v>0</v>
      </c>
      <c r="BN93" s="45"/>
      <c r="BO93" s="45"/>
      <c r="BP93" s="45"/>
      <c r="BQ93" s="45"/>
      <c r="BR93" s="46">
        <f t="shared" si="35"/>
        <v>0</v>
      </c>
      <c r="BS93" s="45">
        <v>3</v>
      </c>
      <c r="BT93" s="45">
        <v>2</v>
      </c>
      <c r="BU93" s="45">
        <v>1</v>
      </c>
      <c r="BV93" s="45">
        <v>2</v>
      </c>
      <c r="BW93" s="46">
        <f t="shared" si="36"/>
        <v>2</v>
      </c>
    </row>
    <row r="94" spans="1:75" ht="121.5">
      <c r="A94" s="45">
        <v>13</v>
      </c>
      <c r="B94" s="50">
        <f t="shared" si="50"/>
        <v>92</v>
      </c>
      <c r="C94" s="51" t="s">
        <v>2854</v>
      </c>
      <c r="D94" s="262" t="s">
        <v>3785</v>
      </c>
      <c r="E94" s="45" t="s">
        <v>4465</v>
      </c>
      <c r="F94" s="45" t="s">
        <v>4466</v>
      </c>
      <c r="G94" s="45" t="s">
        <v>4467</v>
      </c>
      <c r="H94" s="45" t="s">
        <v>4468</v>
      </c>
      <c r="I94" s="52" t="s">
        <v>4464</v>
      </c>
      <c r="J94" s="45" t="s">
        <v>3575</v>
      </c>
      <c r="K94" s="53" t="s">
        <v>4313</v>
      </c>
      <c r="L94" s="45"/>
      <c r="M94" s="45" t="s">
        <v>4071</v>
      </c>
      <c r="N94" s="58">
        <f>V94/1/3</f>
        <v>10706666.666666666</v>
      </c>
      <c r="O94" s="58"/>
      <c r="P94" s="58" t="e">
        <f t="shared" si="44"/>
        <v>#N/A</v>
      </c>
      <c r="Q94" s="54" t="e">
        <f>INDEX([5]Timeline!$D$12:$D$26,MATCH(A94,[5]Timeline!$B$12:$B$26,0))</f>
        <v>#N/A</v>
      </c>
      <c r="R94" s="55">
        <v>44561</v>
      </c>
      <c r="S94" s="59">
        <f t="shared" si="49"/>
        <v>2.916666666666667</v>
      </c>
      <c r="T94" s="59">
        <f t="shared" si="45"/>
        <v>3.8333333333333335</v>
      </c>
      <c r="U94" s="60">
        <f t="shared" si="46"/>
        <v>2</v>
      </c>
      <c r="V94" s="56">
        <v>32120000</v>
      </c>
      <c r="W94" s="57">
        <v>0</v>
      </c>
      <c r="X94" s="56" t="e">
        <f t="shared" si="42"/>
        <v>#N/A</v>
      </c>
      <c r="Y94" s="45">
        <v>1</v>
      </c>
      <c r="Z94" s="45"/>
      <c r="AA94" s="45"/>
      <c r="AB94" s="45"/>
      <c r="AC94" s="45"/>
      <c r="AD94" s="46">
        <f t="shared" si="48"/>
        <v>0</v>
      </c>
      <c r="AE94" s="45">
        <v>4</v>
      </c>
      <c r="AF94" s="45">
        <v>4</v>
      </c>
      <c r="AG94" s="45">
        <v>2</v>
      </c>
      <c r="AH94" s="45">
        <v>2</v>
      </c>
      <c r="AI94" s="46">
        <f t="shared" ref="AI94:AI115" si="53">IFERROR(SUM(AE94:AH94)/4,0)</f>
        <v>3</v>
      </c>
      <c r="AJ94" s="45"/>
      <c r="AK94" s="45"/>
      <c r="AL94" s="45"/>
      <c r="AM94" s="45"/>
      <c r="AN94" s="46">
        <f t="shared" ref="AN94:AN115" si="54">IFERROR(SUM(AJ94:AM94)/4,0)</f>
        <v>0</v>
      </c>
      <c r="AO94" s="45">
        <v>4</v>
      </c>
      <c r="AP94" s="45">
        <v>3</v>
      </c>
      <c r="AQ94" s="45">
        <v>2</v>
      </c>
      <c r="AR94" s="45">
        <v>2</v>
      </c>
      <c r="AS94" s="46">
        <f t="shared" si="33"/>
        <v>2.75</v>
      </c>
      <c r="AT94" s="45"/>
      <c r="AU94" s="45"/>
      <c r="AV94" s="45"/>
      <c r="AW94" s="45"/>
      <c r="AX94" s="46">
        <f t="shared" ref="AX94:AX115" si="55">IFERROR(SUM(AT94:AW94)/4,0)</f>
        <v>0</v>
      </c>
      <c r="AY94" s="45">
        <v>4</v>
      </c>
      <c r="AZ94" s="45">
        <v>4</v>
      </c>
      <c r="BA94" s="45">
        <v>2</v>
      </c>
      <c r="BB94" s="45">
        <v>2</v>
      </c>
      <c r="BC94" s="47">
        <f t="shared" si="47"/>
        <v>3</v>
      </c>
      <c r="BD94" s="45"/>
      <c r="BE94" s="45"/>
      <c r="BF94" s="45"/>
      <c r="BG94" s="45"/>
      <c r="BH94" s="45"/>
      <c r="BI94" s="45"/>
      <c r="BJ94" s="45"/>
      <c r="BK94" s="45"/>
      <c r="BL94" s="45"/>
      <c r="BM94" s="46">
        <f t="shared" si="34"/>
        <v>0</v>
      </c>
      <c r="BN94" s="45"/>
      <c r="BO94" s="45"/>
      <c r="BP94" s="45"/>
      <c r="BQ94" s="45"/>
      <c r="BR94" s="46">
        <f t="shared" si="35"/>
        <v>0</v>
      </c>
      <c r="BS94" s="45">
        <v>3</v>
      </c>
      <c r="BT94" s="45">
        <v>3</v>
      </c>
      <c r="BU94" s="45">
        <v>2</v>
      </c>
      <c r="BV94" s="45">
        <v>2</v>
      </c>
      <c r="BW94" s="46">
        <f t="shared" si="36"/>
        <v>2.5</v>
      </c>
    </row>
    <row r="95" spans="1:75" ht="76.5">
      <c r="A95" s="45">
        <v>13</v>
      </c>
      <c r="B95" s="50">
        <f t="shared" si="50"/>
        <v>93</v>
      </c>
      <c r="C95" s="51" t="s">
        <v>2773</v>
      </c>
      <c r="D95" s="45" t="s">
        <v>4077</v>
      </c>
      <c r="E95" s="45" t="s">
        <v>4469</v>
      </c>
      <c r="F95" s="45" t="s">
        <v>4470</v>
      </c>
      <c r="G95" s="45" t="s">
        <v>4471</v>
      </c>
      <c r="H95" s="45" t="s">
        <v>4472</v>
      </c>
      <c r="I95" s="52" t="s">
        <v>4464</v>
      </c>
      <c r="J95" s="45" t="s">
        <v>3575</v>
      </c>
      <c r="K95" s="53" t="s">
        <v>4357</v>
      </c>
      <c r="L95" s="45"/>
      <c r="M95" s="45" t="s">
        <v>2773</v>
      </c>
      <c r="N95" s="58">
        <f>V95/1</f>
        <v>172000</v>
      </c>
      <c r="O95" s="58"/>
      <c r="P95" s="58" t="e">
        <f t="shared" si="44"/>
        <v>#N/A</v>
      </c>
      <c r="Q95" s="54" t="e">
        <f>INDEX([5]Timeline!$D$12:$D$26,MATCH(A95,[5]Timeline!$B$12:$B$26,0))</f>
        <v>#N/A</v>
      </c>
      <c r="R95" s="55">
        <v>44561</v>
      </c>
      <c r="S95" s="59">
        <f t="shared" si="49"/>
        <v>2.75</v>
      </c>
      <c r="T95" s="59">
        <f t="shared" si="45"/>
        <v>3.8333333333333335</v>
      </c>
      <c r="U95" s="60">
        <f t="shared" si="46"/>
        <v>1.6666666666666667</v>
      </c>
      <c r="V95" s="56">
        <v>172000</v>
      </c>
      <c r="W95" s="57">
        <v>0</v>
      </c>
      <c r="X95" s="56" t="e">
        <f t="shared" si="42"/>
        <v>#N/A</v>
      </c>
      <c r="Y95" s="45">
        <v>1</v>
      </c>
      <c r="Z95" s="45"/>
      <c r="AA95" s="45"/>
      <c r="AB95" s="45"/>
      <c r="AC95" s="45"/>
      <c r="AD95" s="46">
        <f t="shared" si="48"/>
        <v>0</v>
      </c>
      <c r="AE95" s="45">
        <v>4</v>
      </c>
      <c r="AF95" s="45">
        <v>4</v>
      </c>
      <c r="AG95" s="45">
        <v>2</v>
      </c>
      <c r="AH95" s="45">
        <v>2</v>
      </c>
      <c r="AI95" s="46">
        <f t="shared" si="53"/>
        <v>3</v>
      </c>
      <c r="AJ95" s="45"/>
      <c r="AK95" s="45"/>
      <c r="AL95" s="45"/>
      <c r="AM95" s="45"/>
      <c r="AN95" s="46">
        <f t="shared" si="54"/>
        <v>0</v>
      </c>
      <c r="AO95" s="45">
        <v>4</v>
      </c>
      <c r="AP95" s="45">
        <v>4</v>
      </c>
      <c r="AQ95" s="45">
        <v>1</v>
      </c>
      <c r="AR95" s="45">
        <v>2</v>
      </c>
      <c r="AS95" s="46">
        <f t="shared" si="33"/>
        <v>2.75</v>
      </c>
      <c r="AT95" s="45"/>
      <c r="AU95" s="45"/>
      <c r="AV95" s="45"/>
      <c r="AW95" s="45"/>
      <c r="AX95" s="46">
        <f t="shared" si="55"/>
        <v>0</v>
      </c>
      <c r="AY95" s="45">
        <v>4</v>
      </c>
      <c r="AZ95" s="45">
        <v>3</v>
      </c>
      <c r="BA95" s="45">
        <v>1</v>
      </c>
      <c r="BB95" s="45">
        <v>2</v>
      </c>
      <c r="BC95" s="47">
        <f t="shared" si="47"/>
        <v>2.5</v>
      </c>
      <c r="BD95" s="45"/>
      <c r="BE95" s="45"/>
      <c r="BF95" s="45"/>
      <c r="BG95" s="45"/>
      <c r="BH95" s="45"/>
      <c r="BI95" s="45"/>
      <c r="BJ95" s="45"/>
      <c r="BK95" s="45"/>
      <c r="BL95" s="45"/>
      <c r="BM95" s="46">
        <f t="shared" si="34"/>
        <v>0</v>
      </c>
      <c r="BN95" s="45"/>
      <c r="BO95" s="45"/>
      <c r="BP95" s="45"/>
      <c r="BQ95" s="45"/>
      <c r="BR95" s="46">
        <f t="shared" si="35"/>
        <v>0</v>
      </c>
      <c r="BS95" s="45">
        <v>3</v>
      </c>
      <c r="BT95" s="45">
        <v>3</v>
      </c>
      <c r="BU95" s="45">
        <v>1</v>
      </c>
      <c r="BV95" s="45">
        <v>2</v>
      </c>
      <c r="BW95" s="46">
        <f t="shared" si="36"/>
        <v>2.25</v>
      </c>
    </row>
    <row r="96" spans="1:75" ht="76.5">
      <c r="A96" s="45">
        <v>13</v>
      </c>
      <c r="B96" s="50">
        <f t="shared" si="50"/>
        <v>94</v>
      </c>
      <c r="C96" s="51" t="s">
        <v>2817</v>
      </c>
      <c r="D96" s="45" t="s">
        <v>3217</v>
      </c>
      <c r="E96" s="45" t="s">
        <v>4473</v>
      </c>
      <c r="F96" s="45" t="s">
        <v>4474</v>
      </c>
      <c r="G96" s="45" t="s">
        <v>4475</v>
      </c>
      <c r="H96" s="45" t="s">
        <v>4476</v>
      </c>
      <c r="I96" s="52" t="s">
        <v>4464</v>
      </c>
      <c r="J96" s="45" t="s">
        <v>3575</v>
      </c>
      <c r="K96" s="53" t="s">
        <v>4302</v>
      </c>
      <c r="L96" s="45"/>
      <c r="M96" s="45" t="s">
        <v>2817</v>
      </c>
      <c r="N96" s="58">
        <f>V96/1</f>
        <v>294000</v>
      </c>
      <c r="O96" s="58"/>
      <c r="P96" s="58" t="e">
        <f t="shared" si="44"/>
        <v>#N/A</v>
      </c>
      <c r="Q96" s="54" t="e">
        <f>INDEX([5]Timeline!$D$12:$D$26,MATCH(A96,[5]Timeline!$B$12:$B$26,0))</f>
        <v>#N/A</v>
      </c>
      <c r="R96" s="55">
        <v>44561</v>
      </c>
      <c r="S96" s="59">
        <f t="shared" si="49"/>
        <v>2.5</v>
      </c>
      <c r="T96" s="59">
        <f t="shared" si="45"/>
        <v>3.8333333333333335</v>
      </c>
      <c r="U96" s="60">
        <f t="shared" si="46"/>
        <v>1.1666666666666667</v>
      </c>
      <c r="V96" s="56">
        <v>294000</v>
      </c>
      <c r="W96" s="57">
        <v>0</v>
      </c>
      <c r="X96" s="56" t="e">
        <f t="shared" si="42"/>
        <v>#N/A</v>
      </c>
      <c r="Y96" s="45">
        <v>1</v>
      </c>
      <c r="Z96" s="45"/>
      <c r="AA96" s="45"/>
      <c r="AB96" s="45"/>
      <c r="AC96" s="45"/>
      <c r="AD96" s="46">
        <f t="shared" si="48"/>
        <v>0</v>
      </c>
      <c r="AE96" s="45">
        <v>4</v>
      </c>
      <c r="AF96" s="45">
        <v>4</v>
      </c>
      <c r="AG96" s="45">
        <v>2</v>
      </c>
      <c r="AH96" s="45">
        <v>1</v>
      </c>
      <c r="AI96" s="46">
        <f t="shared" si="53"/>
        <v>2.75</v>
      </c>
      <c r="AJ96" s="45"/>
      <c r="AK96" s="45"/>
      <c r="AL96" s="45"/>
      <c r="AM96" s="45"/>
      <c r="AN96" s="46">
        <f t="shared" si="54"/>
        <v>0</v>
      </c>
      <c r="AO96" s="45">
        <v>4</v>
      </c>
      <c r="AP96" s="45">
        <v>4</v>
      </c>
      <c r="AQ96" s="45">
        <v>1</v>
      </c>
      <c r="AR96" s="45">
        <v>1</v>
      </c>
      <c r="AS96" s="46">
        <f t="shared" si="33"/>
        <v>2.5</v>
      </c>
      <c r="AT96" s="45"/>
      <c r="AU96" s="45"/>
      <c r="AV96" s="45"/>
      <c r="AW96" s="45"/>
      <c r="AX96" s="46">
        <f t="shared" si="55"/>
        <v>0</v>
      </c>
      <c r="AY96" s="45">
        <v>4</v>
      </c>
      <c r="AZ96" s="45">
        <v>3</v>
      </c>
      <c r="BA96" s="45">
        <v>1</v>
      </c>
      <c r="BB96" s="45">
        <v>1</v>
      </c>
      <c r="BC96" s="47">
        <f t="shared" si="47"/>
        <v>2.25</v>
      </c>
      <c r="BD96" s="45"/>
      <c r="BE96" s="45"/>
      <c r="BF96" s="45"/>
      <c r="BG96" s="45"/>
      <c r="BH96" s="45"/>
      <c r="BI96" s="45"/>
      <c r="BJ96" s="45"/>
      <c r="BK96" s="45"/>
      <c r="BL96" s="45"/>
      <c r="BM96" s="46">
        <f t="shared" si="34"/>
        <v>0</v>
      </c>
      <c r="BN96" s="45"/>
      <c r="BO96" s="45"/>
      <c r="BP96" s="45"/>
      <c r="BQ96" s="45"/>
      <c r="BR96" s="46">
        <f t="shared" si="35"/>
        <v>0</v>
      </c>
      <c r="BS96" s="45">
        <v>3</v>
      </c>
      <c r="BT96" s="45">
        <v>3</v>
      </c>
      <c r="BU96" s="45">
        <v>1</v>
      </c>
      <c r="BV96" s="45">
        <v>3</v>
      </c>
      <c r="BW96" s="46">
        <f t="shared" si="36"/>
        <v>2.5</v>
      </c>
    </row>
    <row r="97" spans="1:75" ht="76.5">
      <c r="A97" s="45">
        <v>14</v>
      </c>
      <c r="B97" s="50">
        <f t="shared" si="50"/>
        <v>95</v>
      </c>
      <c r="C97" s="51" t="s">
        <v>4082</v>
      </c>
      <c r="D97" s="45" t="s">
        <v>4477</v>
      </c>
      <c r="E97" s="45" t="s">
        <v>4478</v>
      </c>
      <c r="F97" s="45" t="s">
        <v>4479</v>
      </c>
      <c r="G97" s="45" t="s">
        <v>4480</v>
      </c>
      <c r="H97" s="45" t="s">
        <v>4481</v>
      </c>
      <c r="I97" s="52" t="s">
        <v>4482</v>
      </c>
      <c r="J97" s="45" t="s">
        <v>3575</v>
      </c>
      <c r="K97" s="53" t="s">
        <v>4396</v>
      </c>
      <c r="L97" s="45"/>
      <c r="M97" s="51" t="s">
        <v>4483</v>
      </c>
      <c r="N97" s="58">
        <f>V97/2</f>
        <v>15750</v>
      </c>
      <c r="O97" s="58"/>
      <c r="P97" s="58" t="e">
        <f t="shared" si="44"/>
        <v>#N/A</v>
      </c>
      <c r="Q97" s="54" t="e">
        <f>INDEX([5]Timeline!$D$12:$D$26,MATCH(A97,[5]Timeline!$B$12:$B$26,0))</f>
        <v>#N/A</v>
      </c>
      <c r="R97" s="55">
        <v>44561</v>
      </c>
      <c r="S97" s="59">
        <f t="shared" si="49"/>
        <v>2.416666666666667</v>
      </c>
      <c r="T97" s="59">
        <f t="shared" si="45"/>
        <v>3.3333333333333335</v>
      </c>
      <c r="U97" s="60">
        <f t="shared" si="46"/>
        <v>1.5</v>
      </c>
      <c r="V97" s="56">
        <v>31500</v>
      </c>
      <c r="W97" s="57">
        <v>0</v>
      </c>
      <c r="X97" s="56" t="e">
        <f t="shared" si="42"/>
        <v>#N/A</v>
      </c>
      <c r="Y97" s="45">
        <v>1</v>
      </c>
      <c r="Z97" s="45"/>
      <c r="AA97" s="45"/>
      <c r="AB97" s="45"/>
      <c r="AC97" s="45"/>
      <c r="AD97" s="46">
        <f t="shared" si="48"/>
        <v>0</v>
      </c>
      <c r="AE97" s="45">
        <v>4</v>
      </c>
      <c r="AF97" s="45">
        <v>4</v>
      </c>
      <c r="AG97" s="45">
        <v>2</v>
      </c>
      <c r="AH97" s="45">
        <v>2</v>
      </c>
      <c r="AI97" s="46">
        <f t="shared" si="53"/>
        <v>3</v>
      </c>
      <c r="AJ97" s="45"/>
      <c r="AK97" s="45"/>
      <c r="AL97" s="45"/>
      <c r="AM97" s="45"/>
      <c r="AN97" s="46">
        <f t="shared" si="54"/>
        <v>0</v>
      </c>
      <c r="AO97" s="45">
        <v>3</v>
      </c>
      <c r="AP97" s="45">
        <v>3</v>
      </c>
      <c r="AQ97" s="45">
        <v>1</v>
      </c>
      <c r="AR97" s="45">
        <v>1</v>
      </c>
      <c r="AS97" s="46">
        <f t="shared" si="33"/>
        <v>2</v>
      </c>
      <c r="AT97" s="45"/>
      <c r="AU97" s="45"/>
      <c r="AV97" s="45"/>
      <c r="AW97" s="45"/>
      <c r="AX97" s="46">
        <f t="shared" si="55"/>
        <v>0</v>
      </c>
      <c r="AY97" s="45">
        <v>3</v>
      </c>
      <c r="AZ97" s="45">
        <v>3</v>
      </c>
      <c r="BA97" s="45">
        <v>2</v>
      </c>
      <c r="BB97" s="45">
        <v>1</v>
      </c>
      <c r="BC97" s="47">
        <f t="shared" si="47"/>
        <v>2.25</v>
      </c>
      <c r="BD97" s="45"/>
      <c r="BE97" s="45"/>
      <c r="BF97" s="45"/>
      <c r="BG97" s="45"/>
      <c r="BH97" s="45"/>
      <c r="BI97" s="45"/>
      <c r="BJ97" s="45"/>
      <c r="BK97" s="45"/>
      <c r="BL97" s="45"/>
      <c r="BM97" s="46">
        <f t="shared" si="34"/>
        <v>0</v>
      </c>
      <c r="BN97" s="45"/>
      <c r="BO97" s="45"/>
      <c r="BP97" s="45"/>
      <c r="BQ97" s="45"/>
      <c r="BR97" s="46">
        <f t="shared" si="35"/>
        <v>0</v>
      </c>
      <c r="BS97" s="45">
        <v>3</v>
      </c>
      <c r="BT97" s="45">
        <v>3</v>
      </c>
      <c r="BU97" s="45">
        <v>1</v>
      </c>
      <c r="BV97" s="45">
        <v>3</v>
      </c>
      <c r="BW97" s="46">
        <f t="shared" si="36"/>
        <v>2.5</v>
      </c>
    </row>
    <row r="98" spans="1:75" ht="95.45" customHeight="1">
      <c r="A98" s="45">
        <v>14</v>
      </c>
      <c r="B98" s="50">
        <f t="shared" si="50"/>
        <v>96</v>
      </c>
      <c r="C98" s="51" t="s">
        <v>2817</v>
      </c>
      <c r="D98" s="285" t="s">
        <v>4484</v>
      </c>
      <c r="E98" s="45" t="s">
        <v>4485</v>
      </c>
      <c r="F98" s="45" t="s">
        <v>4486</v>
      </c>
      <c r="G98" s="74" t="s">
        <v>4487</v>
      </c>
      <c r="H98" s="74" t="s">
        <v>4488</v>
      </c>
      <c r="I98" s="52" t="s">
        <v>4482</v>
      </c>
      <c r="J98" s="45" t="s">
        <v>3575</v>
      </c>
      <c r="K98" s="53" t="s">
        <v>4313</v>
      </c>
      <c r="L98" s="45"/>
      <c r="M98" s="45" t="s">
        <v>2817</v>
      </c>
      <c r="N98" s="58">
        <f>V98/1</f>
        <v>11246598</v>
      </c>
      <c r="O98" s="58"/>
      <c r="P98" s="58" t="e">
        <f t="shared" si="44"/>
        <v>#N/A</v>
      </c>
      <c r="Q98" s="54" t="e">
        <f>INDEX([5]Timeline!$D$12:$D$26,MATCH(A98,[5]Timeline!$B$12:$B$26,0))</f>
        <v>#N/A</v>
      </c>
      <c r="R98" s="55">
        <v>44561</v>
      </c>
      <c r="S98" s="59">
        <f t="shared" si="49"/>
        <v>2.4166666666666665</v>
      </c>
      <c r="T98" s="59">
        <f t="shared" si="45"/>
        <v>3.1666666666666665</v>
      </c>
      <c r="U98" s="60">
        <f t="shared" si="46"/>
        <v>1.6666666666666667</v>
      </c>
      <c r="V98" s="56">
        <v>11246598</v>
      </c>
      <c r="W98" s="57">
        <v>0</v>
      </c>
      <c r="X98" s="56" t="e">
        <f t="shared" si="42"/>
        <v>#N/A</v>
      </c>
      <c r="Y98" s="45">
        <v>1</v>
      </c>
      <c r="Z98" s="45"/>
      <c r="AA98" s="45"/>
      <c r="AB98" s="45"/>
      <c r="AC98" s="45"/>
      <c r="AD98" s="46">
        <f t="shared" si="48"/>
        <v>0</v>
      </c>
      <c r="AE98" s="45">
        <v>4</v>
      </c>
      <c r="AF98" s="45">
        <v>3</v>
      </c>
      <c r="AG98" s="45">
        <v>2</v>
      </c>
      <c r="AH98" s="45">
        <v>2</v>
      </c>
      <c r="AI98" s="46">
        <f t="shared" si="53"/>
        <v>2.75</v>
      </c>
      <c r="AJ98" s="45"/>
      <c r="AK98" s="45"/>
      <c r="AL98" s="45"/>
      <c r="AM98" s="45"/>
      <c r="AN98" s="46">
        <f t="shared" si="54"/>
        <v>0</v>
      </c>
      <c r="AO98" s="45">
        <v>3</v>
      </c>
      <c r="AP98" s="45">
        <v>3</v>
      </c>
      <c r="AQ98" s="45">
        <v>1</v>
      </c>
      <c r="AR98" s="45">
        <v>1</v>
      </c>
      <c r="AS98" s="46">
        <f t="shared" si="33"/>
        <v>2</v>
      </c>
      <c r="AT98" s="45"/>
      <c r="AU98" s="45"/>
      <c r="AV98" s="45"/>
      <c r="AW98" s="45"/>
      <c r="AX98" s="46">
        <f t="shared" si="55"/>
        <v>0</v>
      </c>
      <c r="AY98" s="45">
        <v>3</v>
      </c>
      <c r="AZ98" s="45">
        <v>3</v>
      </c>
      <c r="BA98" s="45">
        <v>2</v>
      </c>
      <c r="BB98" s="45">
        <v>2</v>
      </c>
      <c r="BC98" s="47">
        <f t="shared" si="47"/>
        <v>2.5</v>
      </c>
      <c r="BD98" s="45"/>
      <c r="BE98" s="45"/>
      <c r="BF98" s="45"/>
      <c r="BG98" s="45"/>
      <c r="BH98" s="45"/>
      <c r="BI98" s="45"/>
      <c r="BJ98" s="45"/>
      <c r="BK98" s="45"/>
      <c r="BL98" s="45"/>
      <c r="BM98" s="46">
        <f t="shared" si="34"/>
        <v>0</v>
      </c>
      <c r="BN98" s="45"/>
      <c r="BO98" s="45"/>
      <c r="BP98" s="45"/>
      <c r="BQ98" s="45"/>
      <c r="BR98" s="46">
        <f t="shared" si="35"/>
        <v>0</v>
      </c>
      <c r="BS98" s="45">
        <v>2</v>
      </c>
      <c r="BT98" s="45">
        <v>2</v>
      </c>
      <c r="BU98" s="45">
        <v>1</v>
      </c>
      <c r="BV98" s="45">
        <v>3</v>
      </c>
      <c r="BW98" s="46">
        <f t="shared" si="36"/>
        <v>2</v>
      </c>
    </row>
    <row r="99" spans="1:75" ht="76.5">
      <c r="A99" s="45">
        <v>14</v>
      </c>
      <c r="B99" s="50">
        <f t="shared" si="50"/>
        <v>97</v>
      </c>
      <c r="C99" s="51" t="s">
        <v>2914</v>
      </c>
      <c r="D99" s="262" t="s">
        <v>4489</v>
      </c>
      <c r="E99" s="45" t="s">
        <v>4490</v>
      </c>
      <c r="F99" s="45" t="s">
        <v>4491</v>
      </c>
      <c r="G99" s="45" t="s">
        <v>4492</v>
      </c>
      <c r="H99" s="45" t="s">
        <v>4493</v>
      </c>
      <c r="I99" s="52" t="s">
        <v>4482</v>
      </c>
      <c r="J99" s="45" t="s">
        <v>3575</v>
      </c>
      <c r="K99" s="53" t="s">
        <v>4396</v>
      </c>
      <c r="L99" s="45"/>
      <c r="M99" s="45" t="str">
        <f>D99</f>
        <v>DPIM &amp; WH Kramat Jati</v>
      </c>
      <c r="N99" s="58">
        <f>V99/2</f>
        <v>745200</v>
      </c>
      <c r="O99" s="58"/>
      <c r="P99" s="58">
        <f t="shared" si="44"/>
        <v>2235600</v>
      </c>
      <c r="Q99" s="54">
        <v>44470</v>
      </c>
      <c r="R99" s="55">
        <v>44561</v>
      </c>
      <c r="S99" s="59">
        <f t="shared" si="49"/>
        <v>3</v>
      </c>
      <c r="T99" s="59">
        <f t="shared" si="45"/>
        <v>4</v>
      </c>
      <c r="U99" s="60">
        <f t="shared" si="46"/>
        <v>2</v>
      </c>
      <c r="V99" s="56">
        <v>1490400</v>
      </c>
      <c r="W99" s="57">
        <v>0</v>
      </c>
      <c r="X99" s="56">
        <f t="shared" si="42"/>
        <v>4471200</v>
      </c>
      <c r="Y99" s="45">
        <v>1</v>
      </c>
      <c r="Z99" s="45"/>
      <c r="AA99" s="45"/>
      <c r="AB99" s="45"/>
      <c r="AC99" s="45"/>
      <c r="AD99" s="46">
        <f t="shared" si="48"/>
        <v>0</v>
      </c>
      <c r="AE99" s="45">
        <v>4</v>
      </c>
      <c r="AF99" s="45">
        <v>4</v>
      </c>
      <c r="AG99" s="45">
        <v>2</v>
      </c>
      <c r="AH99" s="45">
        <v>2</v>
      </c>
      <c r="AI99" s="46">
        <f t="shared" si="53"/>
        <v>3</v>
      </c>
      <c r="AJ99" s="45"/>
      <c r="AK99" s="45"/>
      <c r="AL99" s="45"/>
      <c r="AM99" s="45"/>
      <c r="AN99" s="46">
        <f t="shared" si="54"/>
        <v>0</v>
      </c>
      <c r="AO99" s="45">
        <v>4</v>
      </c>
      <c r="AP99" s="45">
        <v>4</v>
      </c>
      <c r="AQ99" s="45">
        <v>2</v>
      </c>
      <c r="AR99" s="45">
        <v>2</v>
      </c>
      <c r="AS99" s="46">
        <f t="shared" si="33"/>
        <v>3</v>
      </c>
      <c r="AT99" s="45"/>
      <c r="AU99" s="45"/>
      <c r="AV99" s="45"/>
      <c r="AW99" s="45"/>
      <c r="AX99" s="46">
        <f t="shared" si="55"/>
        <v>0</v>
      </c>
      <c r="AY99" s="45">
        <v>4</v>
      </c>
      <c r="AZ99" s="45">
        <v>4</v>
      </c>
      <c r="BA99" s="45">
        <v>2</v>
      </c>
      <c r="BB99" s="45">
        <v>2</v>
      </c>
      <c r="BC99" s="47">
        <f t="shared" si="47"/>
        <v>3</v>
      </c>
      <c r="BD99" s="45"/>
      <c r="BE99" s="45"/>
      <c r="BF99" s="45"/>
      <c r="BG99" s="45"/>
      <c r="BH99" s="45"/>
      <c r="BI99" s="45"/>
      <c r="BJ99" s="45"/>
      <c r="BK99" s="45"/>
      <c r="BL99" s="45"/>
      <c r="BM99" s="46">
        <f t="shared" si="34"/>
        <v>0</v>
      </c>
      <c r="BN99" s="45"/>
      <c r="BO99" s="45"/>
      <c r="BP99" s="45"/>
      <c r="BQ99" s="45"/>
      <c r="BR99" s="46">
        <f t="shared" si="35"/>
        <v>0</v>
      </c>
      <c r="BS99" s="45">
        <v>3</v>
      </c>
      <c r="BT99" s="45">
        <v>3</v>
      </c>
      <c r="BU99" s="45">
        <v>2</v>
      </c>
      <c r="BV99" s="45">
        <v>3</v>
      </c>
      <c r="BW99" s="46">
        <f t="shared" si="36"/>
        <v>2.75</v>
      </c>
    </row>
    <row r="100" spans="1:75" ht="76.5">
      <c r="A100" s="45">
        <v>14</v>
      </c>
      <c r="B100" s="50">
        <f t="shared" si="50"/>
        <v>98</v>
      </c>
      <c r="C100" s="51" t="s">
        <v>2854</v>
      </c>
      <c r="D100" s="262" t="s">
        <v>3785</v>
      </c>
      <c r="E100" s="45" t="s">
        <v>4494</v>
      </c>
      <c r="F100" s="45" t="s">
        <v>4495</v>
      </c>
      <c r="G100" s="45" t="s">
        <v>4496</v>
      </c>
      <c r="H100" s="45" t="s">
        <v>4497</v>
      </c>
      <c r="I100" s="52" t="s">
        <v>4482</v>
      </c>
      <c r="J100" s="45" t="s">
        <v>3575</v>
      </c>
      <c r="K100" s="53" t="s">
        <v>4313</v>
      </c>
      <c r="L100" s="45"/>
      <c r="M100" s="45" t="s">
        <v>4071</v>
      </c>
      <c r="N100" s="58">
        <f>V100/3</f>
        <v>8400000</v>
      </c>
      <c r="O100" s="58"/>
      <c r="P100" s="58" t="e">
        <f t="shared" si="44"/>
        <v>#N/A</v>
      </c>
      <c r="Q100" s="54" t="e">
        <f>INDEX([5]Timeline!$D$12:$D$26,MATCH(A100,[5]Timeline!$B$12:$B$26,0))</f>
        <v>#N/A</v>
      </c>
      <c r="R100" s="55">
        <v>44561</v>
      </c>
      <c r="S100" s="59">
        <f t="shared" si="49"/>
        <v>2.666666666666667</v>
      </c>
      <c r="T100" s="59">
        <f t="shared" si="45"/>
        <v>3.8333333333333335</v>
      </c>
      <c r="U100" s="60">
        <f t="shared" si="46"/>
        <v>1.5</v>
      </c>
      <c r="V100" s="56">
        <v>25200000</v>
      </c>
      <c r="W100" s="57">
        <v>0</v>
      </c>
      <c r="X100" s="56" t="e">
        <f t="shared" si="42"/>
        <v>#N/A</v>
      </c>
      <c r="Y100" s="45">
        <v>1</v>
      </c>
      <c r="Z100" s="45"/>
      <c r="AA100" s="45"/>
      <c r="AB100" s="45"/>
      <c r="AC100" s="45"/>
      <c r="AD100" s="46">
        <f t="shared" si="48"/>
        <v>0</v>
      </c>
      <c r="AE100" s="45">
        <v>4</v>
      </c>
      <c r="AF100" s="45">
        <v>4</v>
      </c>
      <c r="AG100" s="45">
        <v>2</v>
      </c>
      <c r="AH100" s="45">
        <v>1</v>
      </c>
      <c r="AI100" s="46">
        <f t="shared" si="53"/>
        <v>2.75</v>
      </c>
      <c r="AJ100" s="45"/>
      <c r="AK100" s="45"/>
      <c r="AL100" s="45"/>
      <c r="AM100" s="45"/>
      <c r="AN100" s="46">
        <f t="shared" si="54"/>
        <v>0</v>
      </c>
      <c r="AO100" s="45">
        <v>4</v>
      </c>
      <c r="AP100" s="45">
        <v>3</v>
      </c>
      <c r="AQ100" s="45">
        <v>2</v>
      </c>
      <c r="AR100" s="45">
        <v>1</v>
      </c>
      <c r="AS100" s="46">
        <f t="shared" si="33"/>
        <v>2.5</v>
      </c>
      <c r="AT100" s="45"/>
      <c r="AU100" s="45"/>
      <c r="AV100" s="45"/>
      <c r="AW100" s="45"/>
      <c r="AX100" s="46">
        <f t="shared" si="55"/>
        <v>0</v>
      </c>
      <c r="AY100" s="45">
        <v>4</v>
      </c>
      <c r="AZ100" s="45">
        <v>4</v>
      </c>
      <c r="BA100" s="45">
        <v>2</v>
      </c>
      <c r="BB100" s="45">
        <v>1</v>
      </c>
      <c r="BC100" s="47">
        <f t="shared" si="47"/>
        <v>2.75</v>
      </c>
      <c r="BD100" s="45"/>
      <c r="BE100" s="45"/>
      <c r="BF100" s="45"/>
      <c r="BG100" s="45"/>
      <c r="BH100" s="45"/>
      <c r="BI100" s="45"/>
      <c r="BJ100" s="45"/>
      <c r="BK100" s="45"/>
      <c r="BL100" s="45"/>
      <c r="BM100" s="46">
        <f t="shared" si="34"/>
        <v>0</v>
      </c>
      <c r="BN100" s="45"/>
      <c r="BO100" s="45"/>
      <c r="BP100" s="45"/>
      <c r="BQ100" s="45"/>
      <c r="BR100" s="46">
        <f t="shared" si="35"/>
        <v>0</v>
      </c>
      <c r="BS100" s="45">
        <v>3</v>
      </c>
      <c r="BT100" s="45">
        <v>3</v>
      </c>
      <c r="BU100" s="45">
        <v>2</v>
      </c>
      <c r="BV100" s="45">
        <v>3</v>
      </c>
      <c r="BW100" s="46">
        <f t="shared" si="36"/>
        <v>2.75</v>
      </c>
    </row>
    <row r="101" spans="1:75" ht="76.5">
      <c r="A101" s="45">
        <v>14</v>
      </c>
      <c r="B101" s="50">
        <f t="shared" si="50"/>
        <v>99</v>
      </c>
      <c r="C101" s="51" t="s">
        <v>2854</v>
      </c>
      <c r="D101" s="45" t="s">
        <v>3785</v>
      </c>
      <c r="E101" s="45" t="s">
        <v>4498</v>
      </c>
      <c r="F101" s="45" t="s">
        <v>4499</v>
      </c>
      <c r="G101" s="45" t="s">
        <v>4500</v>
      </c>
      <c r="H101" s="45" t="s">
        <v>4501</v>
      </c>
      <c r="I101" s="52" t="s">
        <v>4482</v>
      </c>
      <c r="J101" s="45" t="s">
        <v>3575</v>
      </c>
      <c r="K101" s="53" t="s">
        <v>4302</v>
      </c>
      <c r="L101" s="45"/>
      <c r="M101" s="45" t="s">
        <v>4071</v>
      </c>
      <c r="N101" s="58">
        <f>V101/3</f>
        <v>30400</v>
      </c>
      <c r="O101" s="58"/>
      <c r="P101" s="58" t="e">
        <f t="shared" si="44"/>
        <v>#N/A</v>
      </c>
      <c r="Q101" s="54" t="e">
        <f>INDEX([5]Timeline!$D$12:$D$26,MATCH(A101,[5]Timeline!$B$12:$B$26,0))</f>
        <v>#N/A</v>
      </c>
      <c r="R101" s="55">
        <v>44561</v>
      </c>
      <c r="S101" s="59">
        <f t="shared" si="49"/>
        <v>2.75</v>
      </c>
      <c r="T101" s="59">
        <f t="shared" si="45"/>
        <v>4</v>
      </c>
      <c r="U101" s="60">
        <f t="shared" si="46"/>
        <v>1.5</v>
      </c>
      <c r="V101" s="56">
        <v>91200</v>
      </c>
      <c r="W101" s="57">
        <v>0</v>
      </c>
      <c r="X101" s="56" t="e">
        <f t="shared" si="42"/>
        <v>#N/A</v>
      </c>
      <c r="Y101" s="45">
        <v>1</v>
      </c>
      <c r="Z101" s="45"/>
      <c r="AA101" s="45"/>
      <c r="AB101" s="45"/>
      <c r="AC101" s="45"/>
      <c r="AD101" s="46">
        <f t="shared" si="48"/>
        <v>0</v>
      </c>
      <c r="AE101" s="45">
        <v>4</v>
      </c>
      <c r="AF101" s="45">
        <v>4</v>
      </c>
      <c r="AG101" s="45">
        <v>2</v>
      </c>
      <c r="AH101" s="45">
        <v>1</v>
      </c>
      <c r="AI101" s="46">
        <f t="shared" si="53"/>
        <v>2.75</v>
      </c>
      <c r="AJ101" s="45"/>
      <c r="AK101" s="45"/>
      <c r="AL101" s="45"/>
      <c r="AM101" s="45"/>
      <c r="AN101" s="46">
        <f t="shared" si="54"/>
        <v>0</v>
      </c>
      <c r="AO101" s="45">
        <v>4</v>
      </c>
      <c r="AP101" s="45">
        <v>4</v>
      </c>
      <c r="AQ101" s="45">
        <v>2</v>
      </c>
      <c r="AR101" s="45">
        <v>1</v>
      </c>
      <c r="AS101" s="46">
        <f t="shared" si="33"/>
        <v>2.75</v>
      </c>
      <c r="AT101" s="45"/>
      <c r="AU101" s="45"/>
      <c r="AV101" s="45"/>
      <c r="AW101" s="45"/>
      <c r="AX101" s="46">
        <f t="shared" si="55"/>
        <v>0</v>
      </c>
      <c r="AY101" s="45">
        <v>4</v>
      </c>
      <c r="AZ101" s="45">
        <v>4</v>
      </c>
      <c r="BA101" s="45">
        <v>2</v>
      </c>
      <c r="BB101" s="45">
        <v>1</v>
      </c>
      <c r="BC101" s="47">
        <f t="shared" si="47"/>
        <v>2.75</v>
      </c>
      <c r="BD101" s="45"/>
      <c r="BE101" s="45"/>
      <c r="BF101" s="45"/>
      <c r="BG101" s="45"/>
      <c r="BH101" s="45"/>
      <c r="BI101" s="45"/>
      <c r="BJ101" s="45"/>
      <c r="BK101" s="45"/>
      <c r="BL101" s="45"/>
      <c r="BM101" s="46">
        <f t="shared" si="34"/>
        <v>0</v>
      </c>
      <c r="BN101" s="45"/>
      <c r="BO101" s="45"/>
      <c r="BP101" s="45"/>
      <c r="BQ101" s="45"/>
      <c r="BR101" s="46">
        <f t="shared" si="35"/>
        <v>0</v>
      </c>
      <c r="BS101" s="45">
        <v>3</v>
      </c>
      <c r="BT101" s="45">
        <v>3</v>
      </c>
      <c r="BU101" s="45">
        <v>2</v>
      </c>
      <c r="BV101" s="45">
        <v>3</v>
      </c>
      <c r="BW101" s="46">
        <f t="shared" si="36"/>
        <v>2.75</v>
      </c>
    </row>
    <row r="102" spans="1:75" ht="76.5">
      <c r="A102" s="45">
        <v>14</v>
      </c>
      <c r="B102" s="50">
        <f t="shared" si="50"/>
        <v>100</v>
      </c>
      <c r="C102" s="51" t="s">
        <v>2914</v>
      </c>
      <c r="D102" s="45" t="s">
        <v>3900</v>
      </c>
      <c r="E102" s="45" t="s">
        <v>4502</v>
      </c>
      <c r="F102" s="45" t="s">
        <v>4503</v>
      </c>
      <c r="G102" s="45" t="s">
        <v>4504</v>
      </c>
      <c r="H102" s="45" t="s">
        <v>4505</v>
      </c>
      <c r="I102" s="52" t="s">
        <v>4482</v>
      </c>
      <c r="J102" s="45" t="s">
        <v>3575</v>
      </c>
      <c r="K102" s="53" t="s">
        <v>4396</v>
      </c>
      <c r="L102" s="45"/>
      <c r="M102" s="45" t="str">
        <f>D102</f>
        <v>WH Bandung</v>
      </c>
      <c r="N102" s="58">
        <f t="shared" ref="N102:N106" si="56">V102/1</f>
        <v>1362500</v>
      </c>
      <c r="O102" s="58"/>
      <c r="P102" s="58" t="e">
        <f t="shared" si="44"/>
        <v>#N/A</v>
      </c>
      <c r="Q102" s="54" t="e">
        <f>INDEX([5]Timeline!$D$12:$D$26,MATCH(A102,[5]Timeline!$B$12:$B$26,0))</f>
        <v>#N/A</v>
      </c>
      <c r="R102" s="55">
        <v>44561</v>
      </c>
      <c r="S102" s="59">
        <f t="shared" si="49"/>
        <v>3.083333333333333</v>
      </c>
      <c r="T102" s="59">
        <f t="shared" si="45"/>
        <v>3.5</v>
      </c>
      <c r="U102" s="60">
        <f t="shared" si="46"/>
        <v>2.6666666666666665</v>
      </c>
      <c r="V102" s="56">
        <v>1362500</v>
      </c>
      <c r="W102" s="57">
        <v>0</v>
      </c>
      <c r="X102" s="56" t="e">
        <f t="shared" si="42"/>
        <v>#N/A</v>
      </c>
      <c r="Y102" s="45">
        <v>1</v>
      </c>
      <c r="Z102" s="45"/>
      <c r="AA102" s="45"/>
      <c r="AB102" s="45"/>
      <c r="AC102" s="45"/>
      <c r="AD102" s="46">
        <f t="shared" si="48"/>
        <v>0</v>
      </c>
      <c r="AE102" s="45">
        <v>4</v>
      </c>
      <c r="AF102" s="45">
        <v>3</v>
      </c>
      <c r="AG102" s="45">
        <v>2</v>
      </c>
      <c r="AH102" s="45">
        <v>4</v>
      </c>
      <c r="AI102" s="46">
        <f t="shared" si="53"/>
        <v>3.25</v>
      </c>
      <c r="AJ102" s="45"/>
      <c r="AK102" s="45"/>
      <c r="AL102" s="45"/>
      <c r="AM102" s="45"/>
      <c r="AN102" s="46">
        <f t="shared" si="54"/>
        <v>0</v>
      </c>
      <c r="AO102" s="45">
        <v>3</v>
      </c>
      <c r="AP102" s="45">
        <v>3</v>
      </c>
      <c r="AQ102" s="45">
        <v>3</v>
      </c>
      <c r="AR102" s="45">
        <v>2</v>
      </c>
      <c r="AS102" s="46">
        <f t="shared" ref="AS102:AS122" si="57">IFERROR(SUM(AO102:AR102)/4,0)</f>
        <v>2.75</v>
      </c>
      <c r="AT102" s="45"/>
      <c r="AU102" s="45"/>
      <c r="AV102" s="45"/>
      <c r="AW102" s="45"/>
      <c r="AX102" s="46">
        <f t="shared" si="55"/>
        <v>0</v>
      </c>
      <c r="AY102" s="45">
        <v>4</v>
      </c>
      <c r="AZ102" s="45">
        <v>4</v>
      </c>
      <c r="BA102" s="45">
        <v>3</v>
      </c>
      <c r="BB102" s="45">
        <v>2</v>
      </c>
      <c r="BC102" s="47">
        <f t="shared" si="47"/>
        <v>3.25</v>
      </c>
      <c r="BD102" s="45"/>
      <c r="BE102" s="45"/>
      <c r="BF102" s="45"/>
      <c r="BG102" s="45"/>
      <c r="BH102" s="45"/>
      <c r="BI102" s="45"/>
      <c r="BJ102" s="45"/>
      <c r="BK102" s="45"/>
      <c r="BL102" s="45"/>
      <c r="BM102" s="46">
        <f t="shared" si="34"/>
        <v>0</v>
      </c>
      <c r="BN102" s="45"/>
      <c r="BO102" s="45"/>
      <c r="BP102" s="45"/>
      <c r="BQ102" s="45"/>
      <c r="BR102" s="46">
        <f t="shared" si="35"/>
        <v>0</v>
      </c>
      <c r="BS102" s="45">
        <v>3</v>
      </c>
      <c r="BT102" s="45">
        <v>3</v>
      </c>
      <c r="BU102" s="45">
        <v>2</v>
      </c>
      <c r="BV102" s="45">
        <v>2</v>
      </c>
      <c r="BW102" s="46">
        <f t="shared" si="36"/>
        <v>2.5</v>
      </c>
    </row>
    <row r="103" spans="1:75" ht="76.5">
      <c r="A103" s="45">
        <v>14</v>
      </c>
      <c r="B103" s="50">
        <f t="shared" si="50"/>
        <v>101</v>
      </c>
      <c r="C103" s="51" t="s">
        <v>2773</v>
      </c>
      <c r="D103" s="262" t="s">
        <v>4506</v>
      </c>
      <c r="E103" s="45" t="s">
        <v>4507</v>
      </c>
      <c r="F103" s="45" t="s">
        <v>4508</v>
      </c>
      <c r="G103" s="74" t="s">
        <v>4509</v>
      </c>
      <c r="H103" s="286" t="s">
        <v>4510</v>
      </c>
      <c r="I103" s="52" t="s">
        <v>4482</v>
      </c>
      <c r="J103" s="45" t="s">
        <v>3575</v>
      </c>
      <c r="K103" s="53" t="s">
        <v>4313</v>
      </c>
      <c r="L103" s="45"/>
      <c r="M103" s="45" t="s">
        <v>2773</v>
      </c>
      <c r="N103" s="58">
        <f t="shared" si="56"/>
        <v>3762500</v>
      </c>
      <c r="O103" s="58"/>
      <c r="P103" s="58" t="e">
        <f t="shared" si="44"/>
        <v>#N/A</v>
      </c>
      <c r="Q103" s="54" t="e">
        <f>INDEX([5]Timeline!$D$12:$D$26,MATCH(A103,[5]Timeline!$B$12:$B$26,0))</f>
        <v>#N/A</v>
      </c>
      <c r="R103" s="55">
        <v>44561</v>
      </c>
      <c r="S103" s="59">
        <f t="shared" si="49"/>
        <v>2.6666666666666665</v>
      </c>
      <c r="T103" s="59">
        <f t="shared" si="45"/>
        <v>3.5</v>
      </c>
      <c r="U103" s="60">
        <f t="shared" si="46"/>
        <v>1.8333333333333333</v>
      </c>
      <c r="V103" s="56">
        <v>3762500</v>
      </c>
      <c r="W103" s="57">
        <v>0</v>
      </c>
      <c r="X103" s="56" t="e">
        <f t="shared" si="42"/>
        <v>#N/A</v>
      </c>
      <c r="Y103" s="45">
        <v>1</v>
      </c>
      <c r="Z103" s="45"/>
      <c r="AA103" s="45"/>
      <c r="AB103" s="45"/>
      <c r="AC103" s="45"/>
      <c r="AD103" s="46">
        <f t="shared" si="48"/>
        <v>0</v>
      </c>
      <c r="AE103" s="45">
        <v>4</v>
      </c>
      <c r="AF103" s="45">
        <v>4</v>
      </c>
      <c r="AG103" s="45">
        <v>2</v>
      </c>
      <c r="AH103" s="45">
        <v>2</v>
      </c>
      <c r="AI103" s="46">
        <f t="shared" si="53"/>
        <v>3</v>
      </c>
      <c r="AJ103" s="45"/>
      <c r="AK103" s="45"/>
      <c r="AL103" s="45"/>
      <c r="AM103" s="45"/>
      <c r="AN103" s="46">
        <f t="shared" si="54"/>
        <v>0</v>
      </c>
      <c r="AO103" s="45">
        <v>3</v>
      </c>
      <c r="AP103" s="45">
        <v>3</v>
      </c>
      <c r="AQ103" s="45">
        <v>2</v>
      </c>
      <c r="AR103" s="45">
        <v>2</v>
      </c>
      <c r="AS103" s="46">
        <f t="shared" si="57"/>
        <v>2.5</v>
      </c>
      <c r="AT103" s="45"/>
      <c r="AU103" s="45"/>
      <c r="AV103" s="45"/>
      <c r="AW103" s="45"/>
      <c r="AX103" s="46">
        <f t="shared" si="55"/>
        <v>0</v>
      </c>
      <c r="AY103" s="45">
        <v>4</v>
      </c>
      <c r="AZ103" s="45">
        <v>3</v>
      </c>
      <c r="BA103" s="45">
        <v>1</v>
      </c>
      <c r="BB103" s="45">
        <v>2</v>
      </c>
      <c r="BC103" s="47">
        <f t="shared" si="47"/>
        <v>2.5</v>
      </c>
      <c r="BD103" s="45"/>
      <c r="BE103" s="45"/>
      <c r="BF103" s="45"/>
      <c r="BG103" s="45"/>
      <c r="BH103" s="45"/>
      <c r="BI103" s="45"/>
      <c r="BJ103" s="45"/>
      <c r="BK103" s="45"/>
      <c r="BL103" s="45"/>
      <c r="BM103" s="46">
        <f t="shared" si="34"/>
        <v>0</v>
      </c>
      <c r="BN103" s="45"/>
      <c r="BO103" s="45"/>
      <c r="BP103" s="45"/>
      <c r="BQ103" s="45"/>
      <c r="BR103" s="46">
        <f t="shared" si="35"/>
        <v>0</v>
      </c>
      <c r="BS103" s="45">
        <v>3</v>
      </c>
      <c r="BT103" s="45">
        <v>3</v>
      </c>
      <c r="BU103" s="45">
        <v>1</v>
      </c>
      <c r="BV103" s="45">
        <v>2</v>
      </c>
      <c r="BW103" s="46">
        <f t="shared" si="36"/>
        <v>2.25</v>
      </c>
    </row>
    <row r="104" spans="1:75" ht="91.5">
      <c r="A104" s="45">
        <v>14</v>
      </c>
      <c r="B104" s="50">
        <f t="shared" si="50"/>
        <v>102</v>
      </c>
      <c r="C104" s="51" t="s">
        <v>2773</v>
      </c>
      <c r="D104" s="45" t="s">
        <v>4511</v>
      </c>
      <c r="E104" s="45" t="s">
        <v>4512</v>
      </c>
      <c r="F104" s="45" t="s">
        <v>4513</v>
      </c>
      <c r="G104" s="74" t="s">
        <v>4514</v>
      </c>
      <c r="H104" s="74" t="s">
        <v>4515</v>
      </c>
      <c r="I104" s="52" t="s">
        <v>4482</v>
      </c>
      <c r="J104" s="45" t="s">
        <v>3575</v>
      </c>
      <c r="K104" s="53" t="s">
        <v>4396</v>
      </c>
      <c r="L104" s="45"/>
      <c r="M104" s="45" t="s">
        <v>2773</v>
      </c>
      <c r="N104" s="58">
        <f t="shared" si="56"/>
        <v>1710000</v>
      </c>
      <c r="O104" s="58"/>
      <c r="P104" s="58" t="e">
        <f t="shared" si="44"/>
        <v>#N/A</v>
      </c>
      <c r="Q104" s="54" t="e">
        <f>INDEX([5]Timeline!$D$12:$D$26,MATCH(A104,[5]Timeline!$B$12:$B$26,0))</f>
        <v>#N/A</v>
      </c>
      <c r="R104" s="55">
        <v>44561</v>
      </c>
      <c r="S104" s="59">
        <f t="shared" si="49"/>
        <v>2.8333333333333335</v>
      </c>
      <c r="T104" s="59">
        <f t="shared" si="45"/>
        <v>3.8333333333333335</v>
      </c>
      <c r="U104" s="60">
        <f t="shared" si="46"/>
        <v>1.8333333333333333</v>
      </c>
      <c r="V104" s="56">
        <v>1710000</v>
      </c>
      <c r="W104" s="57">
        <v>0</v>
      </c>
      <c r="X104" s="56" t="e">
        <f t="shared" si="42"/>
        <v>#N/A</v>
      </c>
      <c r="Y104" s="45">
        <v>1</v>
      </c>
      <c r="Z104" s="45"/>
      <c r="AA104" s="45"/>
      <c r="AB104" s="45"/>
      <c r="AC104" s="45"/>
      <c r="AD104" s="46">
        <f t="shared" si="48"/>
        <v>0</v>
      </c>
      <c r="AE104" s="45">
        <v>4</v>
      </c>
      <c r="AF104" s="45">
        <v>4</v>
      </c>
      <c r="AG104" s="45">
        <v>2</v>
      </c>
      <c r="AH104" s="45">
        <v>2</v>
      </c>
      <c r="AI104" s="46">
        <f t="shared" si="53"/>
        <v>3</v>
      </c>
      <c r="AJ104" s="45"/>
      <c r="AK104" s="45"/>
      <c r="AL104" s="45"/>
      <c r="AM104" s="45"/>
      <c r="AN104" s="46">
        <f t="shared" si="54"/>
        <v>0</v>
      </c>
      <c r="AO104" s="45">
        <v>4</v>
      </c>
      <c r="AP104" s="45">
        <v>3</v>
      </c>
      <c r="AQ104" s="45">
        <v>2</v>
      </c>
      <c r="AR104" s="45">
        <v>2</v>
      </c>
      <c r="AS104" s="46">
        <f t="shared" si="57"/>
        <v>2.75</v>
      </c>
      <c r="AT104" s="45"/>
      <c r="AU104" s="45"/>
      <c r="AV104" s="45"/>
      <c r="AW104" s="45"/>
      <c r="AX104" s="46">
        <f t="shared" si="55"/>
        <v>0</v>
      </c>
      <c r="AY104" s="45">
        <v>4</v>
      </c>
      <c r="AZ104" s="45">
        <v>4</v>
      </c>
      <c r="BA104" s="45">
        <v>1</v>
      </c>
      <c r="BB104" s="45">
        <v>2</v>
      </c>
      <c r="BC104" s="47">
        <f t="shared" si="47"/>
        <v>2.75</v>
      </c>
      <c r="BD104" s="45"/>
      <c r="BE104" s="45"/>
      <c r="BF104" s="45"/>
      <c r="BG104" s="45"/>
      <c r="BH104" s="45"/>
      <c r="BI104" s="45"/>
      <c r="BJ104" s="45"/>
      <c r="BK104" s="45"/>
      <c r="BL104" s="45"/>
      <c r="BM104" s="46">
        <f t="shared" ref="BM104:BM124" si="58">IFERROR(SUM(BI104:BL104)/4,0)</f>
        <v>0</v>
      </c>
      <c r="BN104" s="45"/>
      <c r="BO104" s="45"/>
      <c r="BP104" s="45"/>
      <c r="BQ104" s="45"/>
      <c r="BR104" s="46">
        <f t="shared" ref="BR104:BR124" si="59">IFERROR(SUM(BN104:BQ104)/4,0)</f>
        <v>0</v>
      </c>
      <c r="BS104" s="45">
        <v>3</v>
      </c>
      <c r="BT104" s="45">
        <v>3</v>
      </c>
      <c r="BU104" s="45">
        <v>1</v>
      </c>
      <c r="BV104" s="45">
        <v>2</v>
      </c>
      <c r="BW104" s="46">
        <f t="shared" ref="BW104:BW124" si="60">IFERROR(SUM(BS104:BV104)/4,0)</f>
        <v>2.25</v>
      </c>
    </row>
    <row r="105" spans="1:75" ht="76.5">
      <c r="A105" s="45">
        <v>14</v>
      </c>
      <c r="B105" s="50">
        <f t="shared" si="50"/>
        <v>103</v>
      </c>
      <c r="C105" s="51" t="s">
        <v>2773</v>
      </c>
      <c r="D105" s="45" t="s">
        <v>4237</v>
      </c>
      <c r="E105" s="45" t="s">
        <v>4516</v>
      </c>
      <c r="F105" s="45" t="s">
        <v>4517</v>
      </c>
      <c r="G105" s="45" t="s">
        <v>4518</v>
      </c>
      <c r="H105" s="45" t="s">
        <v>4519</v>
      </c>
      <c r="I105" s="52" t="s">
        <v>4482</v>
      </c>
      <c r="J105" s="45" t="s">
        <v>3575</v>
      </c>
      <c r="K105" s="53" t="s">
        <v>4308</v>
      </c>
      <c r="L105" s="45"/>
      <c r="M105" s="45" t="s">
        <v>2773</v>
      </c>
      <c r="N105" s="58">
        <f t="shared" si="56"/>
        <v>265333</v>
      </c>
      <c r="O105" s="58"/>
      <c r="P105" s="58" t="e">
        <f t="shared" si="44"/>
        <v>#N/A</v>
      </c>
      <c r="Q105" s="54" t="e">
        <f>INDEX([5]Timeline!$D$12:$D$26,MATCH(A105,[5]Timeline!$B$12:$B$26,0))</f>
        <v>#N/A</v>
      </c>
      <c r="R105" s="55">
        <v>44561</v>
      </c>
      <c r="S105" s="59">
        <f t="shared" si="49"/>
        <v>3</v>
      </c>
      <c r="T105" s="59">
        <f t="shared" si="45"/>
        <v>3.6666666666666665</v>
      </c>
      <c r="U105" s="60">
        <f t="shared" si="46"/>
        <v>2.3333333333333335</v>
      </c>
      <c r="V105" s="56">
        <v>265333</v>
      </c>
      <c r="W105" s="57">
        <v>0</v>
      </c>
      <c r="X105" s="56" t="e">
        <f t="shared" si="42"/>
        <v>#N/A</v>
      </c>
      <c r="Y105" s="45">
        <v>1</v>
      </c>
      <c r="Z105" s="45"/>
      <c r="AA105" s="45"/>
      <c r="AB105" s="45"/>
      <c r="AC105" s="45"/>
      <c r="AD105" s="46">
        <f t="shared" si="48"/>
        <v>0</v>
      </c>
      <c r="AE105" s="45">
        <v>4</v>
      </c>
      <c r="AF105" s="45">
        <v>4</v>
      </c>
      <c r="AG105" s="45">
        <v>2</v>
      </c>
      <c r="AH105" s="45">
        <v>4</v>
      </c>
      <c r="AI105" s="46">
        <f t="shared" si="53"/>
        <v>3.5</v>
      </c>
      <c r="AJ105" s="45"/>
      <c r="AK105" s="45"/>
      <c r="AL105" s="45"/>
      <c r="AM105" s="45"/>
      <c r="AN105" s="46">
        <f t="shared" si="54"/>
        <v>0</v>
      </c>
      <c r="AO105" s="45">
        <v>4</v>
      </c>
      <c r="AP105" s="45">
        <v>4</v>
      </c>
      <c r="AQ105" s="45">
        <v>2</v>
      </c>
      <c r="AR105" s="45">
        <v>2</v>
      </c>
      <c r="AS105" s="46">
        <f t="shared" si="57"/>
        <v>3</v>
      </c>
      <c r="AT105" s="45"/>
      <c r="AU105" s="45"/>
      <c r="AV105" s="45"/>
      <c r="AW105" s="45"/>
      <c r="AX105" s="46">
        <f t="shared" si="55"/>
        <v>0</v>
      </c>
      <c r="AY105" s="45">
        <v>3</v>
      </c>
      <c r="AZ105" s="45">
        <v>3</v>
      </c>
      <c r="BA105" s="45">
        <v>2</v>
      </c>
      <c r="BB105" s="45">
        <v>2</v>
      </c>
      <c r="BC105" s="47">
        <f t="shared" si="47"/>
        <v>2.5</v>
      </c>
      <c r="BD105" s="45"/>
      <c r="BE105" s="45"/>
      <c r="BF105" s="45"/>
      <c r="BG105" s="45"/>
      <c r="BH105" s="45"/>
      <c r="BI105" s="45"/>
      <c r="BJ105" s="45"/>
      <c r="BK105" s="45"/>
      <c r="BL105" s="45"/>
      <c r="BM105" s="46">
        <f t="shared" si="58"/>
        <v>0</v>
      </c>
      <c r="BN105" s="45"/>
      <c r="BO105" s="45"/>
      <c r="BP105" s="45"/>
      <c r="BQ105" s="45"/>
      <c r="BR105" s="46">
        <f t="shared" si="59"/>
        <v>0</v>
      </c>
      <c r="BS105" s="45">
        <v>3</v>
      </c>
      <c r="BT105" s="45">
        <v>3</v>
      </c>
      <c r="BU105" s="45">
        <v>1</v>
      </c>
      <c r="BV105" s="45">
        <v>2</v>
      </c>
      <c r="BW105" s="46">
        <f t="shared" si="60"/>
        <v>2.25</v>
      </c>
    </row>
    <row r="106" spans="1:75" ht="80.099999999999994" customHeight="1">
      <c r="A106" s="45">
        <v>14</v>
      </c>
      <c r="B106" s="50">
        <f t="shared" si="50"/>
        <v>104</v>
      </c>
      <c r="C106" s="51" t="s">
        <v>2914</v>
      </c>
      <c r="D106" s="45" t="s">
        <v>4520</v>
      </c>
      <c r="E106" s="45" t="s">
        <v>4521</v>
      </c>
      <c r="F106" s="45" t="s">
        <v>4522</v>
      </c>
      <c r="G106" s="45" t="s">
        <v>4523</v>
      </c>
      <c r="H106" s="45" t="s">
        <v>4524</v>
      </c>
      <c r="I106" s="52" t="s">
        <v>4482</v>
      </c>
      <c r="J106" s="45" t="s">
        <v>3575</v>
      </c>
      <c r="K106" s="53" t="s">
        <v>4308</v>
      </c>
      <c r="L106" s="45"/>
      <c r="M106" s="45" t="str">
        <f>D106</f>
        <v>WH Offline</v>
      </c>
      <c r="N106" s="58">
        <f t="shared" si="56"/>
        <v>595833</v>
      </c>
      <c r="O106" s="58"/>
      <c r="P106" s="58" t="e">
        <f t="shared" si="44"/>
        <v>#N/A</v>
      </c>
      <c r="Q106" s="54" t="e">
        <f>INDEX([5]Timeline!$D$12:$D$26,MATCH(A106,[5]Timeline!$B$12:$B$26,0))</f>
        <v>#N/A</v>
      </c>
      <c r="R106" s="55">
        <v>44561</v>
      </c>
      <c r="S106" s="59">
        <f t="shared" si="49"/>
        <v>2.666666666666667</v>
      </c>
      <c r="T106" s="59">
        <f t="shared" si="45"/>
        <v>3.3333333333333335</v>
      </c>
      <c r="U106" s="60">
        <f t="shared" si="46"/>
        <v>2</v>
      </c>
      <c r="V106" s="56">
        <v>595833</v>
      </c>
      <c r="W106" s="57">
        <v>0</v>
      </c>
      <c r="X106" s="56" t="e">
        <f t="shared" si="42"/>
        <v>#N/A</v>
      </c>
      <c r="Y106" s="45">
        <v>1</v>
      </c>
      <c r="Z106" s="45"/>
      <c r="AA106" s="45"/>
      <c r="AB106" s="45"/>
      <c r="AC106" s="45"/>
      <c r="AD106" s="46">
        <f t="shared" si="48"/>
        <v>0</v>
      </c>
      <c r="AE106" s="45">
        <v>4</v>
      </c>
      <c r="AF106" s="45">
        <v>4</v>
      </c>
      <c r="AG106" s="45">
        <v>2</v>
      </c>
      <c r="AH106" s="45">
        <v>2</v>
      </c>
      <c r="AI106" s="46">
        <f t="shared" si="53"/>
        <v>3</v>
      </c>
      <c r="AJ106" s="45"/>
      <c r="AK106" s="45"/>
      <c r="AL106" s="45"/>
      <c r="AM106" s="45"/>
      <c r="AN106" s="46">
        <f t="shared" si="54"/>
        <v>0</v>
      </c>
      <c r="AO106" s="45">
        <v>3</v>
      </c>
      <c r="AP106" s="45">
        <v>3</v>
      </c>
      <c r="AQ106" s="45">
        <v>2</v>
      </c>
      <c r="AR106" s="45">
        <v>2</v>
      </c>
      <c r="AS106" s="46">
        <f t="shared" si="57"/>
        <v>2.5</v>
      </c>
      <c r="AT106" s="45"/>
      <c r="AU106" s="45"/>
      <c r="AV106" s="45"/>
      <c r="AW106" s="45"/>
      <c r="AX106" s="46">
        <f t="shared" si="55"/>
        <v>0</v>
      </c>
      <c r="AY106" s="45">
        <v>3</v>
      </c>
      <c r="AZ106" s="45">
        <v>3</v>
      </c>
      <c r="BA106" s="45">
        <v>2</v>
      </c>
      <c r="BB106" s="45">
        <v>2</v>
      </c>
      <c r="BC106" s="47">
        <f t="shared" si="47"/>
        <v>2.5</v>
      </c>
      <c r="BD106" s="45"/>
      <c r="BE106" s="45"/>
      <c r="BF106" s="45"/>
      <c r="BG106" s="45"/>
      <c r="BH106" s="45"/>
      <c r="BI106" s="45"/>
      <c r="BJ106" s="45"/>
      <c r="BK106" s="45"/>
      <c r="BL106" s="45"/>
      <c r="BM106" s="46">
        <f t="shared" si="58"/>
        <v>0</v>
      </c>
      <c r="BN106" s="45"/>
      <c r="BO106" s="45"/>
      <c r="BP106" s="45"/>
      <c r="BQ106" s="45"/>
      <c r="BR106" s="46">
        <f t="shared" si="59"/>
        <v>0</v>
      </c>
      <c r="BS106" s="45">
        <v>3</v>
      </c>
      <c r="BT106" s="45">
        <v>3</v>
      </c>
      <c r="BU106" s="45">
        <v>2</v>
      </c>
      <c r="BV106" s="45">
        <v>2</v>
      </c>
      <c r="BW106" s="46">
        <f t="shared" si="60"/>
        <v>2.5</v>
      </c>
    </row>
    <row r="107" spans="1:75">
      <c r="A107" s="45"/>
      <c r="B107" s="50"/>
      <c r="C107" s="51"/>
      <c r="D107" s="45"/>
      <c r="E107" s="45"/>
      <c r="F107" s="45"/>
      <c r="G107" s="45"/>
      <c r="H107" s="45"/>
      <c r="I107" s="52"/>
      <c r="J107" s="45"/>
      <c r="K107" s="45"/>
      <c r="L107" s="45"/>
      <c r="M107" s="45"/>
      <c r="N107" s="58"/>
      <c r="O107" s="58"/>
      <c r="P107" s="58"/>
      <c r="Q107" s="54"/>
      <c r="R107" s="55"/>
      <c r="S107" s="59"/>
      <c r="T107" s="59"/>
      <c r="U107" s="60"/>
      <c r="V107" s="56"/>
      <c r="W107" s="57"/>
      <c r="X107" s="56"/>
      <c r="Y107" s="45"/>
      <c r="Z107" s="45"/>
      <c r="AA107" s="45"/>
      <c r="AB107" s="45"/>
      <c r="AC107" s="45"/>
      <c r="AD107" s="46">
        <f t="shared" si="48"/>
        <v>0</v>
      </c>
      <c r="AE107" s="45"/>
      <c r="AF107" s="45"/>
      <c r="AG107" s="45"/>
      <c r="AH107" s="45"/>
      <c r="AI107" s="46">
        <f t="shared" si="53"/>
        <v>0</v>
      </c>
      <c r="AJ107" s="45"/>
      <c r="AK107" s="45"/>
      <c r="AL107" s="45"/>
      <c r="AM107" s="45"/>
      <c r="AN107" s="46">
        <f t="shared" si="54"/>
        <v>0</v>
      </c>
      <c r="AO107" s="45"/>
      <c r="AP107" s="45"/>
      <c r="AQ107" s="45"/>
      <c r="AR107" s="45"/>
      <c r="AS107" s="46">
        <f t="shared" si="57"/>
        <v>0</v>
      </c>
      <c r="AT107" s="45"/>
      <c r="AU107" s="45"/>
      <c r="AV107" s="45"/>
      <c r="AW107" s="45"/>
      <c r="AX107" s="46">
        <f t="shared" si="55"/>
        <v>0</v>
      </c>
      <c r="AY107" s="45"/>
      <c r="AZ107" s="45"/>
      <c r="BA107" s="45"/>
      <c r="BB107" s="45"/>
      <c r="BC107" s="47">
        <f t="shared" si="47"/>
        <v>0</v>
      </c>
      <c r="BD107" s="45"/>
      <c r="BE107" s="45"/>
      <c r="BF107" s="45"/>
      <c r="BG107" s="45"/>
      <c r="BH107" s="45"/>
      <c r="BI107" s="45"/>
      <c r="BJ107" s="45"/>
      <c r="BK107" s="45"/>
      <c r="BL107" s="45"/>
      <c r="BM107" s="46">
        <f t="shared" si="58"/>
        <v>0</v>
      </c>
      <c r="BN107" s="45"/>
      <c r="BO107" s="45"/>
      <c r="BP107" s="45"/>
      <c r="BQ107" s="45"/>
      <c r="BR107" s="46">
        <f t="shared" si="59"/>
        <v>0</v>
      </c>
      <c r="BS107" s="45"/>
      <c r="BT107" s="45"/>
      <c r="BU107" s="45"/>
      <c r="BV107" s="45"/>
      <c r="BW107" s="46">
        <f t="shared" si="60"/>
        <v>0</v>
      </c>
    </row>
    <row r="108" spans="1:75">
      <c r="A108" s="45"/>
      <c r="B108" s="50"/>
      <c r="C108" s="51"/>
      <c r="D108" s="45"/>
      <c r="E108" s="45"/>
      <c r="F108" s="45"/>
      <c r="G108" s="45"/>
      <c r="H108" s="45"/>
      <c r="I108" s="52"/>
      <c r="J108" s="45"/>
      <c r="K108" s="45"/>
      <c r="L108" s="45"/>
      <c r="M108" s="45"/>
      <c r="N108" s="58"/>
      <c r="O108" s="58"/>
      <c r="P108" s="58"/>
      <c r="Q108" s="54"/>
      <c r="R108" s="55"/>
      <c r="S108" s="59"/>
      <c r="T108" s="59"/>
      <c r="U108" s="60"/>
      <c r="V108" s="56"/>
      <c r="W108" s="57"/>
      <c r="X108" s="56"/>
      <c r="Y108" s="45"/>
      <c r="Z108" s="45"/>
      <c r="AA108" s="45"/>
      <c r="AB108" s="45"/>
      <c r="AC108" s="45"/>
      <c r="AD108" s="46">
        <f t="shared" si="48"/>
        <v>0</v>
      </c>
      <c r="AE108" s="45"/>
      <c r="AF108" s="45"/>
      <c r="AG108" s="45"/>
      <c r="AH108" s="45"/>
      <c r="AI108" s="46">
        <f t="shared" si="53"/>
        <v>0</v>
      </c>
      <c r="AJ108" s="45"/>
      <c r="AK108" s="45"/>
      <c r="AL108" s="45"/>
      <c r="AM108" s="45"/>
      <c r="AN108" s="46">
        <f t="shared" si="54"/>
        <v>0</v>
      </c>
      <c r="AO108" s="45"/>
      <c r="AP108" s="45"/>
      <c r="AQ108" s="45"/>
      <c r="AR108" s="45"/>
      <c r="AS108" s="46">
        <f t="shared" si="57"/>
        <v>0</v>
      </c>
      <c r="AT108" s="45"/>
      <c r="AU108" s="45"/>
      <c r="AV108" s="45"/>
      <c r="AW108" s="45"/>
      <c r="AX108" s="46">
        <f t="shared" si="55"/>
        <v>0</v>
      </c>
      <c r="AY108" s="45"/>
      <c r="AZ108" s="45"/>
      <c r="BA108" s="45"/>
      <c r="BB108" s="45"/>
      <c r="BC108" s="47">
        <f t="shared" si="47"/>
        <v>0</v>
      </c>
      <c r="BD108" s="45"/>
      <c r="BE108" s="45"/>
      <c r="BF108" s="45"/>
      <c r="BG108" s="45"/>
      <c r="BH108" s="45"/>
      <c r="BI108" s="45"/>
      <c r="BJ108" s="45"/>
      <c r="BK108" s="45"/>
      <c r="BL108" s="45"/>
      <c r="BM108" s="46">
        <f t="shared" si="58"/>
        <v>0</v>
      </c>
      <c r="BN108" s="45"/>
      <c r="BO108" s="45"/>
      <c r="BP108" s="45"/>
      <c r="BQ108" s="45"/>
      <c r="BR108" s="46">
        <f t="shared" si="59"/>
        <v>0</v>
      </c>
      <c r="BS108" s="45"/>
      <c r="BT108" s="45"/>
      <c r="BU108" s="45"/>
      <c r="BV108" s="45"/>
      <c r="BW108" s="46">
        <f t="shared" si="60"/>
        <v>0</v>
      </c>
    </row>
    <row r="109" spans="1:75">
      <c r="A109" s="45"/>
      <c r="B109" s="50"/>
      <c r="C109" s="51"/>
      <c r="D109" s="45"/>
      <c r="E109" s="45"/>
      <c r="F109" s="45"/>
      <c r="G109" s="45"/>
      <c r="H109" s="45"/>
      <c r="I109" s="52"/>
      <c r="J109" s="45"/>
      <c r="K109" s="45"/>
      <c r="L109" s="45"/>
      <c r="M109" s="45"/>
      <c r="N109" s="58"/>
      <c r="O109" s="58"/>
      <c r="P109" s="58"/>
      <c r="Q109" s="54"/>
      <c r="R109" s="55"/>
      <c r="S109" s="59"/>
      <c r="T109" s="59"/>
      <c r="U109" s="60"/>
      <c r="V109" s="56"/>
      <c r="W109" s="57"/>
      <c r="X109" s="56"/>
      <c r="Y109" s="45"/>
      <c r="Z109" s="45"/>
      <c r="AA109" s="45"/>
      <c r="AB109" s="45"/>
      <c r="AC109" s="45"/>
      <c r="AD109" s="46">
        <f t="shared" si="48"/>
        <v>0</v>
      </c>
      <c r="AE109" s="45"/>
      <c r="AF109" s="45"/>
      <c r="AG109" s="45"/>
      <c r="AH109" s="45"/>
      <c r="AI109" s="46">
        <f t="shared" si="53"/>
        <v>0</v>
      </c>
      <c r="AJ109" s="45"/>
      <c r="AK109" s="45"/>
      <c r="AL109" s="45"/>
      <c r="AM109" s="45"/>
      <c r="AN109" s="46">
        <f t="shared" si="54"/>
        <v>0</v>
      </c>
      <c r="AO109" s="45"/>
      <c r="AP109" s="45"/>
      <c r="AQ109" s="45"/>
      <c r="AR109" s="45"/>
      <c r="AS109" s="46">
        <f t="shared" si="57"/>
        <v>0</v>
      </c>
      <c r="AT109" s="45"/>
      <c r="AU109" s="45"/>
      <c r="AV109" s="45"/>
      <c r="AW109" s="45"/>
      <c r="AX109" s="46">
        <f t="shared" si="55"/>
        <v>0</v>
      </c>
      <c r="AY109" s="45"/>
      <c r="AZ109" s="45"/>
      <c r="BA109" s="45"/>
      <c r="BB109" s="45"/>
      <c r="BC109" s="47">
        <f t="shared" si="47"/>
        <v>0</v>
      </c>
      <c r="BD109" s="45"/>
      <c r="BE109" s="45"/>
      <c r="BF109" s="45"/>
      <c r="BG109" s="45"/>
      <c r="BH109" s="45"/>
      <c r="BI109" s="45"/>
      <c r="BJ109" s="45"/>
      <c r="BK109" s="45"/>
      <c r="BL109" s="45"/>
      <c r="BM109" s="46">
        <f t="shared" si="58"/>
        <v>0</v>
      </c>
      <c r="BN109" s="45"/>
      <c r="BO109" s="45"/>
      <c r="BP109" s="45"/>
      <c r="BQ109" s="45"/>
      <c r="BR109" s="46">
        <f t="shared" si="59"/>
        <v>0</v>
      </c>
      <c r="BS109" s="45"/>
      <c r="BT109" s="45"/>
      <c r="BU109" s="45"/>
      <c r="BV109" s="45"/>
      <c r="BW109" s="46">
        <f t="shared" si="60"/>
        <v>0</v>
      </c>
    </row>
    <row r="110" spans="1:75">
      <c r="A110" s="45"/>
      <c r="B110" s="50"/>
      <c r="C110" s="51"/>
      <c r="D110" s="45"/>
      <c r="E110" s="45"/>
      <c r="F110" s="45"/>
      <c r="G110" s="45"/>
      <c r="H110" s="45"/>
      <c r="I110" s="52"/>
      <c r="J110" s="45"/>
      <c r="K110" s="45"/>
      <c r="L110" s="45"/>
      <c r="M110" s="45"/>
      <c r="N110" s="58"/>
      <c r="O110" s="58"/>
      <c r="P110" s="58"/>
      <c r="Q110" s="54"/>
      <c r="R110" s="55"/>
      <c r="S110" s="59"/>
      <c r="T110" s="59"/>
      <c r="U110" s="60"/>
      <c r="V110" s="56"/>
      <c r="W110" s="57"/>
      <c r="X110" s="56"/>
      <c r="Y110" s="45"/>
      <c r="Z110" s="45"/>
      <c r="AA110" s="45"/>
      <c r="AB110" s="45"/>
      <c r="AC110" s="45"/>
      <c r="AD110" s="46">
        <f t="shared" si="48"/>
        <v>0</v>
      </c>
      <c r="AE110" s="45"/>
      <c r="AF110" s="45"/>
      <c r="AG110" s="45"/>
      <c r="AH110" s="45"/>
      <c r="AI110" s="46">
        <f t="shared" si="53"/>
        <v>0</v>
      </c>
      <c r="AJ110" s="45"/>
      <c r="AK110" s="45"/>
      <c r="AL110" s="45"/>
      <c r="AM110" s="45"/>
      <c r="AN110" s="46">
        <f t="shared" si="54"/>
        <v>0</v>
      </c>
      <c r="AO110" s="45"/>
      <c r="AP110" s="45"/>
      <c r="AQ110" s="45"/>
      <c r="AR110" s="45"/>
      <c r="AS110" s="46">
        <f t="shared" si="57"/>
        <v>0</v>
      </c>
      <c r="AT110" s="45"/>
      <c r="AU110" s="45"/>
      <c r="AV110" s="45"/>
      <c r="AW110" s="45"/>
      <c r="AX110" s="46">
        <f t="shared" si="55"/>
        <v>0</v>
      </c>
      <c r="AY110" s="45"/>
      <c r="AZ110" s="45"/>
      <c r="BA110" s="45"/>
      <c r="BB110" s="45"/>
      <c r="BC110" s="47">
        <f t="shared" si="47"/>
        <v>0</v>
      </c>
      <c r="BD110" s="45"/>
      <c r="BE110" s="45"/>
      <c r="BF110" s="45"/>
      <c r="BG110" s="45"/>
      <c r="BH110" s="45"/>
      <c r="BI110" s="45"/>
      <c r="BJ110" s="45"/>
      <c r="BK110" s="45"/>
      <c r="BL110" s="45"/>
      <c r="BM110" s="46">
        <f t="shared" si="58"/>
        <v>0</v>
      </c>
      <c r="BN110" s="45"/>
      <c r="BO110" s="45"/>
      <c r="BP110" s="45"/>
      <c r="BQ110" s="45"/>
      <c r="BR110" s="46">
        <f t="shared" si="59"/>
        <v>0</v>
      </c>
      <c r="BS110" s="45"/>
      <c r="BT110" s="45"/>
      <c r="BU110" s="45"/>
      <c r="BV110" s="45"/>
      <c r="BW110" s="46">
        <f t="shared" si="60"/>
        <v>0</v>
      </c>
    </row>
    <row r="111" spans="1:75">
      <c r="A111" s="45"/>
      <c r="B111" s="50"/>
      <c r="C111" s="51"/>
      <c r="D111" s="45"/>
      <c r="E111" s="45"/>
      <c r="F111" s="45"/>
      <c r="G111" s="45"/>
      <c r="H111" s="45"/>
      <c r="I111" s="52"/>
      <c r="J111" s="45"/>
      <c r="K111" s="45"/>
      <c r="L111" s="45"/>
      <c r="M111" s="45"/>
      <c r="N111" s="58"/>
      <c r="O111" s="58"/>
      <c r="P111" s="58"/>
      <c r="Q111" s="54"/>
      <c r="R111" s="55"/>
      <c r="S111" s="59"/>
      <c r="T111" s="59"/>
      <c r="U111" s="60"/>
      <c r="V111" s="56"/>
      <c r="W111" s="57"/>
      <c r="X111" s="56"/>
      <c r="Y111" s="45"/>
      <c r="Z111" s="45"/>
      <c r="AA111" s="45"/>
      <c r="AB111" s="45"/>
      <c r="AC111" s="45"/>
      <c r="AD111" s="46">
        <f t="shared" si="48"/>
        <v>0</v>
      </c>
      <c r="AE111" s="45"/>
      <c r="AF111" s="45"/>
      <c r="AG111" s="45"/>
      <c r="AH111" s="45"/>
      <c r="AI111" s="46">
        <f t="shared" si="53"/>
        <v>0</v>
      </c>
      <c r="AJ111" s="45"/>
      <c r="AK111" s="45"/>
      <c r="AL111" s="45"/>
      <c r="AM111" s="45"/>
      <c r="AN111" s="46">
        <f t="shared" si="54"/>
        <v>0</v>
      </c>
      <c r="AO111" s="45"/>
      <c r="AP111" s="45"/>
      <c r="AQ111" s="45"/>
      <c r="AR111" s="45"/>
      <c r="AS111" s="46">
        <f t="shared" si="57"/>
        <v>0</v>
      </c>
      <c r="AT111" s="45"/>
      <c r="AU111" s="45"/>
      <c r="AV111" s="45"/>
      <c r="AW111" s="45"/>
      <c r="AX111" s="46">
        <f t="shared" si="55"/>
        <v>0</v>
      </c>
      <c r="AY111" s="45"/>
      <c r="AZ111" s="45"/>
      <c r="BA111" s="45"/>
      <c r="BB111" s="45"/>
      <c r="BC111" s="47">
        <f t="shared" si="47"/>
        <v>0</v>
      </c>
      <c r="BD111" s="45"/>
      <c r="BE111" s="45"/>
      <c r="BF111" s="45"/>
      <c r="BG111" s="45"/>
      <c r="BH111" s="45"/>
      <c r="BI111" s="45"/>
      <c r="BJ111" s="45"/>
      <c r="BK111" s="45"/>
      <c r="BL111" s="45"/>
      <c r="BM111" s="46">
        <f t="shared" si="58"/>
        <v>0</v>
      </c>
      <c r="BN111" s="45"/>
      <c r="BO111" s="45"/>
      <c r="BP111" s="45"/>
      <c r="BQ111" s="45"/>
      <c r="BR111" s="46">
        <f t="shared" si="59"/>
        <v>0</v>
      </c>
      <c r="BS111" s="45"/>
      <c r="BT111" s="45"/>
      <c r="BU111" s="45"/>
      <c r="BV111" s="45"/>
      <c r="BW111" s="46">
        <f t="shared" si="60"/>
        <v>0</v>
      </c>
    </row>
    <row r="112" spans="1:75">
      <c r="A112" s="45"/>
      <c r="B112" s="50"/>
      <c r="C112" s="51"/>
      <c r="D112" s="45"/>
      <c r="E112" s="45"/>
      <c r="F112" s="45"/>
      <c r="G112" s="45"/>
      <c r="H112" s="45"/>
      <c r="I112" s="52"/>
      <c r="J112" s="45"/>
      <c r="K112" s="45"/>
      <c r="L112" s="45"/>
      <c r="M112" s="45"/>
      <c r="N112" s="58"/>
      <c r="O112" s="58"/>
      <c r="P112" s="58"/>
      <c r="Q112" s="54"/>
      <c r="R112" s="55"/>
      <c r="S112" s="59"/>
      <c r="T112" s="59"/>
      <c r="U112" s="60"/>
      <c r="V112" s="56"/>
      <c r="W112" s="57"/>
      <c r="X112" s="56"/>
      <c r="Y112" s="45"/>
      <c r="Z112" s="45"/>
      <c r="AA112" s="45"/>
      <c r="AB112" s="45"/>
      <c r="AC112" s="45"/>
      <c r="AD112" s="46">
        <f t="shared" si="48"/>
        <v>0</v>
      </c>
      <c r="AE112" s="45"/>
      <c r="AF112" s="45"/>
      <c r="AG112" s="45"/>
      <c r="AH112" s="45"/>
      <c r="AI112" s="46">
        <f t="shared" si="53"/>
        <v>0</v>
      </c>
      <c r="AJ112" s="45"/>
      <c r="AK112" s="45"/>
      <c r="AL112" s="45"/>
      <c r="AM112" s="45"/>
      <c r="AN112" s="46">
        <f t="shared" si="54"/>
        <v>0</v>
      </c>
      <c r="AO112" s="45"/>
      <c r="AP112" s="45"/>
      <c r="AQ112" s="45"/>
      <c r="AR112" s="45"/>
      <c r="AS112" s="46">
        <f t="shared" si="57"/>
        <v>0</v>
      </c>
      <c r="AT112" s="45"/>
      <c r="AU112" s="45"/>
      <c r="AV112" s="45"/>
      <c r="AW112" s="45"/>
      <c r="AX112" s="46">
        <f t="shared" si="55"/>
        <v>0</v>
      </c>
      <c r="AY112" s="45"/>
      <c r="AZ112" s="45"/>
      <c r="BA112" s="45"/>
      <c r="BB112" s="45"/>
      <c r="BC112" s="47">
        <f t="shared" si="47"/>
        <v>0</v>
      </c>
      <c r="BD112" s="45"/>
      <c r="BE112" s="45"/>
      <c r="BF112" s="45"/>
      <c r="BG112" s="45"/>
      <c r="BH112" s="45"/>
      <c r="BI112" s="45"/>
      <c r="BJ112" s="45"/>
      <c r="BK112" s="45"/>
      <c r="BL112" s="45"/>
      <c r="BM112" s="46">
        <f t="shared" si="58"/>
        <v>0</v>
      </c>
      <c r="BN112" s="45"/>
      <c r="BO112" s="45"/>
      <c r="BP112" s="45"/>
      <c r="BQ112" s="45"/>
      <c r="BR112" s="46">
        <f t="shared" si="59"/>
        <v>0</v>
      </c>
      <c r="BS112" s="45"/>
      <c r="BT112" s="45"/>
      <c r="BU112" s="45"/>
      <c r="BV112" s="45"/>
      <c r="BW112" s="46">
        <f t="shared" si="60"/>
        <v>0</v>
      </c>
    </row>
    <row r="113" spans="1:75">
      <c r="A113" s="45"/>
      <c r="B113" s="50"/>
      <c r="C113" s="51"/>
      <c r="D113" s="45"/>
      <c r="E113" s="45"/>
      <c r="F113" s="45"/>
      <c r="G113" s="45"/>
      <c r="H113" s="45"/>
      <c r="I113" s="52"/>
      <c r="J113" s="45"/>
      <c r="K113" s="45"/>
      <c r="L113" s="45"/>
      <c r="M113" s="45"/>
      <c r="N113" s="58"/>
      <c r="O113" s="58"/>
      <c r="P113" s="58"/>
      <c r="Q113" s="54"/>
      <c r="R113" s="55"/>
      <c r="S113" s="59"/>
      <c r="T113" s="59"/>
      <c r="U113" s="60"/>
      <c r="V113" s="56"/>
      <c r="W113" s="57"/>
      <c r="X113" s="56"/>
      <c r="Y113" s="45"/>
      <c r="Z113" s="45"/>
      <c r="AA113" s="45"/>
      <c r="AB113" s="45"/>
      <c r="AC113" s="45"/>
      <c r="AD113" s="46">
        <f t="shared" si="48"/>
        <v>0</v>
      </c>
      <c r="AE113" s="45"/>
      <c r="AF113" s="45"/>
      <c r="AG113" s="45"/>
      <c r="AH113" s="45"/>
      <c r="AI113" s="46">
        <f t="shared" si="53"/>
        <v>0</v>
      </c>
      <c r="AJ113" s="45"/>
      <c r="AK113" s="45"/>
      <c r="AL113" s="45"/>
      <c r="AM113" s="45"/>
      <c r="AN113" s="46">
        <f t="shared" si="54"/>
        <v>0</v>
      </c>
      <c r="AO113" s="45"/>
      <c r="AP113" s="45"/>
      <c r="AQ113" s="45"/>
      <c r="AR113" s="45"/>
      <c r="AS113" s="46">
        <f t="shared" si="57"/>
        <v>0</v>
      </c>
      <c r="AT113" s="45"/>
      <c r="AU113" s="45"/>
      <c r="AV113" s="45"/>
      <c r="AW113" s="45"/>
      <c r="AX113" s="46">
        <f t="shared" si="55"/>
        <v>0</v>
      </c>
      <c r="AY113" s="45"/>
      <c r="AZ113" s="45"/>
      <c r="BA113" s="45"/>
      <c r="BB113" s="45"/>
      <c r="BC113" s="47">
        <f t="shared" si="47"/>
        <v>0</v>
      </c>
      <c r="BD113" s="45"/>
      <c r="BE113" s="45"/>
      <c r="BF113" s="45"/>
      <c r="BG113" s="45"/>
      <c r="BH113" s="45"/>
      <c r="BI113" s="45"/>
      <c r="BJ113" s="45"/>
      <c r="BK113" s="45"/>
      <c r="BL113" s="45"/>
      <c r="BM113" s="46">
        <f t="shared" si="58"/>
        <v>0</v>
      </c>
      <c r="BN113" s="45"/>
      <c r="BO113" s="45"/>
      <c r="BP113" s="45"/>
      <c r="BQ113" s="45"/>
      <c r="BR113" s="46">
        <f t="shared" si="59"/>
        <v>0</v>
      </c>
      <c r="BS113" s="45"/>
      <c r="BT113" s="45"/>
      <c r="BU113" s="45"/>
      <c r="BV113" s="45"/>
      <c r="BW113" s="46">
        <f t="shared" si="60"/>
        <v>0</v>
      </c>
    </row>
    <row r="114" spans="1:75">
      <c r="A114" s="45"/>
      <c r="B114" s="50"/>
      <c r="C114" s="51"/>
      <c r="D114" s="45"/>
      <c r="E114" s="45"/>
      <c r="F114" s="45"/>
      <c r="G114" s="45"/>
      <c r="H114" s="45"/>
      <c r="I114" s="52"/>
      <c r="J114" s="45"/>
      <c r="K114" s="45"/>
      <c r="L114" s="45"/>
      <c r="M114" s="45"/>
      <c r="N114" s="58"/>
      <c r="O114" s="58"/>
      <c r="P114" s="58"/>
      <c r="Q114" s="54"/>
      <c r="R114" s="55"/>
      <c r="S114" s="59"/>
      <c r="T114" s="59"/>
      <c r="U114" s="60"/>
      <c r="V114" s="56"/>
      <c r="W114" s="57"/>
      <c r="X114" s="56"/>
      <c r="Y114" s="45"/>
      <c r="Z114" s="45"/>
      <c r="AA114" s="45"/>
      <c r="AB114" s="45"/>
      <c r="AC114" s="45"/>
      <c r="AD114" s="46">
        <f t="shared" si="48"/>
        <v>0</v>
      </c>
      <c r="AE114" s="45"/>
      <c r="AF114" s="45"/>
      <c r="AG114" s="45"/>
      <c r="AH114" s="45"/>
      <c r="AI114" s="46">
        <f t="shared" si="53"/>
        <v>0</v>
      </c>
      <c r="AJ114" s="45"/>
      <c r="AK114" s="45"/>
      <c r="AL114" s="45"/>
      <c r="AM114" s="45"/>
      <c r="AN114" s="46">
        <f t="shared" si="54"/>
        <v>0</v>
      </c>
      <c r="AO114" s="45"/>
      <c r="AP114" s="45"/>
      <c r="AQ114" s="45"/>
      <c r="AR114" s="45"/>
      <c r="AS114" s="46">
        <f t="shared" si="57"/>
        <v>0</v>
      </c>
      <c r="AT114" s="45"/>
      <c r="AU114" s="45"/>
      <c r="AV114" s="45"/>
      <c r="AW114" s="45"/>
      <c r="AX114" s="46">
        <f t="shared" si="55"/>
        <v>0</v>
      </c>
      <c r="AY114" s="45"/>
      <c r="AZ114" s="45"/>
      <c r="BA114" s="45"/>
      <c r="BB114" s="45"/>
      <c r="BC114" s="47">
        <f t="shared" si="47"/>
        <v>0</v>
      </c>
      <c r="BD114" s="45"/>
      <c r="BE114" s="45"/>
      <c r="BF114" s="45"/>
      <c r="BG114" s="45"/>
      <c r="BH114" s="45"/>
      <c r="BI114" s="45"/>
      <c r="BJ114" s="45"/>
      <c r="BK114" s="45"/>
      <c r="BL114" s="45"/>
      <c r="BM114" s="46">
        <f t="shared" si="58"/>
        <v>0</v>
      </c>
      <c r="BN114" s="45"/>
      <c r="BO114" s="45"/>
      <c r="BP114" s="45"/>
      <c r="BQ114" s="45"/>
      <c r="BR114" s="46">
        <f t="shared" si="59"/>
        <v>0</v>
      </c>
      <c r="BS114" s="45"/>
      <c r="BT114" s="45"/>
      <c r="BU114" s="45"/>
      <c r="BV114" s="45"/>
      <c r="BW114" s="46">
        <f t="shared" si="60"/>
        <v>0</v>
      </c>
    </row>
    <row r="115" spans="1:75">
      <c r="A115" s="45"/>
      <c r="B115" s="50"/>
      <c r="C115" s="51"/>
      <c r="D115" s="45"/>
      <c r="E115" s="45"/>
      <c r="F115" s="45"/>
      <c r="G115" s="45"/>
      <c r="H115" s="45"/>
      <c r="I115" s="52"/>
      <c r="J115" s="45"/>
      <c r="K115" s="45"/>
      <c r="L115" s="45"/>
      <c r="M115" s="45"/>
      <c r="N115" s="58"/>
      <c r="O115" s="58"/>
      <c r="P115" s="58"/>
      <c r="Q115" s="54"/>
      <c r="R115" s="55"/>
      <c r="S115" s="59"/>
      <c r="T115" s="59"/>
      <c r="U115" s="60"/>
      <c r="V115" s="56"/>
      <c r="W115" s="57"/>
      <c r="X115" s="56"/>
      <c r="Y115" s="45"/>
      <c r="Z115" s="45"/>
      <c r="AA115" s="45"/>
      <c r="AB115" s="45"/>
      <c r="AC115" s="45"/>
      <c r="AD115" s="46">
        <f t="shared" si="48"/>
        <v>0</v>
      </c>
      <c r="AE115" s="45"/>
      <c r="AF115" s="45"/>
      <c r="AG115" s="45"/>
      <c r="AH115" s="45"/>
      <c r="AI115" s="46">
        <f t="shared" si="53"/>
        <v>0</v>
      </c>
      <c r="AJ115" s="45"/>
      <c r="AK115" s="45"/>
      <c r="AL115" s="45"/>
      <c r="AM115" s="45"/>
      <c r="AN115" s="46">
        <f t="shared" si="54"/>
        <v>0</v>
      </c>
      <c r="AO115" s="45"/>
      <c r="AP115" s="45"/>
      <c r="AQ115" s="45"/>
      <c r="AR115" s="45"/>
      <c r="AS115" s="46">
        <f t="shared" si="57"/>
        <v>0</v>
      </c>
      <c r="AT115" s="45"/>
      <c r="AU115" s="45"/>
      <c r="AV115" s="45"/>
      <c r="AW115" s="45"/>
      <c r="AX115" s="46">
        <f t="shared" si="55"/>
        <v>0</v>
      </c>
      <c r="AY115" s="45"/>
      <c r="AZ115" s="45"/>
      <c r="BA115" s="45"/>
      <c r="BB115" s="45"/>
      <c r="BC115" s="47">
        <f t="shared" si="47"/>
        <v>0</v>
      </c>
      <c r="BD115" s="45"/>
      <c r="BE115" s="45"/>
      <c r="BF115" s="45"/>
      <c r="BG115" s="45"/>
      <c r="BH115" s="45"/>
      <c r="BI115" s="45"/>
      <c r="BJ115" s="45"/>
      <c r="BK115" s="45"/>
      <c r="BL115" s="45"/>
      <c r="BM115" s="46">
        <f t="shared" si="58"/>
        <v>0</v>
      </c>
      <c r="BN115" s="45"/>
      <c r="BO115" s="45"/>
      <c r="BP115" s="45"/>
      <c r="BQ115" s="45"/>
      <c r="BR115" s="46">
        <f t="shared" si="59"/>
        <v>0</v>
      </c>
      <c r="BS115" s="45"/>
      <c r="BT115" s="45"/>
      <c r="BU115" s="45"/>
      <c r="BV115" s="45"/>
      <c r="BW115" s="46">
        <f t="shared" si="60"/>
        <v>0</v>
      </c>
    </row>
  </sheetData>
  <mergeCells count="10">
    <mergeCell ref="BD1:BH1"/>
    <mergeCell ref="BI1:BM1"/>
    <mergeCell ref="BN1:BR1"/>
    <mergeCell ref="BS1:BW1"/>
    <mergeCell ref="Z1:AD1"/>
    <mergeCell ref="AE1:AI1"/>
    <mergeCell ref="AJ1:AN1"/>
    <mergeCell ref="AO1:AS1"/>
    <mergeCell ref="AT1:AX1"/>
    <mergeCell ref="AY1:BC1"/>
  </mergeCells>
  <hyperlinks>
    <hyperlink ref="I3" r:id="rId1" xr:uid="{9F9FACE5-A07A-47A0-A868-D5A60DA60D14}"/>
    <hyperlink ref="I15" r:id="rId2" xr:uid="{9BF7F0F9-F957-4F6E-BDEB-845BD3D3F433}"/>
    <hyperlink ref="I17" r:id="rId3" xr:uid="{2B68F939-C7C1-461E-9216-3EAF8E8CDB2E}"/>
    <hyperlink ref="I24" r:id="rId4" xr:uid="{D07C54D5-8540-4FAD-89A5-3F87A4853690}"/>
    <hyperlink ref="I28" r:id="rId5" xr:uid="{6BF7EE91-744A-4E94-823E-6BA8A7B96B12}"/>
    <hyperlink ref="I25" r:id="rId6" xr:uid="{D5F051E8-355B-4EFA-B94B-DD8D97A39FE9}"/>
    <hyperlink ref="I33" r:id="rId7" xr:uid="{138AFA4B-7166-410E-BA51-054F0C85F98A}"/>
    <hyperlink ref="I34" r:id="rId8" xr:uid="{AFF159B5-90EF-4ACA-8F33-13E8A0111FE9}"/>
    <hyperlink ref="I35" r:id="rId9" xr:uid="{0426103C-D0A1-4F90-80CC-BF274B96D133}"/>
    <hyperlink ref="I36" r:id="rId10" xr:uid="{D8AF0752-7990-4921-BBA2-E6B8D127038A}"/>
    <hyperlink ref="I44" r:id="rId11" xr:uid="{C81CA5AC-66CC-4906-8BEA-9FA444A89DA5}"/>
    <hyperlink ref="I49" r:id="rId12" xr:uid="{4B3D0425-3129-4F5C-BCF2-894D3DB64DB8}"/>
    <hyperlink ref="I50:I57" r:id="rId13" display="https://gdncomm.sharepoint.com/:f:/s/Operation/Eo4ANNfZ7WZGssuqFTGzZkIBxRr-r7LvnphlxP2EVBxYOw?e=V19lbs" xr:uid="{4D057493-C896-45C5-AC23-852051BAF245}"/>
    <hyperlink ref="I40" r:id="rId14" xr:uid="{70FABA11-49ED-4116-ADF2-5ED4EA1B90F9}"/>
    <hyperlink ref="I43" r:id="rId15" xr:uid="{E1642A97-C3A3-4E53-9001-9A0D425B58FD}"/>
    <hyperlink ref="I18" r:id="rId16" xr:uid="{F6BCFAC2-3D5A-4493-B5CE-260F80C4A43F}"/>
    <hyperlink ref="I58" r:id="rId17" xr:uid="{0079D978-D241-4F4C-9FAE-EB43F1C6AF13}"/>
    <hyperlink ref="I65" r:id="rId18" xr:uid="{DD00F5EC-EE9F-484C-8B75-014E06D7818A}"/>
    <hyperlink ref="I74" r:id="rId19" xr:uid="{32315698-B3D0-4AB3-A6DF-B9E0266877DC}"/>
    <hyperlink ref="I82" r:id="rId20" xr:uid="{76FDDD83-5CFF-4193-BECE-47197389BA65}"/>
    <hyperlink ref="I77" r:id="rId21" xr:uid="{FDDA3CBF-4AAD-4D1B-9BE7-1F4C4CAEF9A0}"/>
    <hyperlink ref="I60" r:id="rId22" xr:uid="{1972EBFC-B915-421D-A211-6CC472F0B66C}"/>
    <hyperlink ref="I59" r:id="rId23" xr:uid="{E997431C-73D6-4D90-966C-F8DD66551F03}"/>
    <hyperlink ref="I67" r:id="rId24" xr:uid="{1D430096-1E93-459C-8436-39A48E056275}"/>
    <hyperlink ref="I93" r:id="rId25" xr:uid="{5B1D6E97-08E4-4679-876B-9B422100D59F}"/>
    <hyperlink ref="I94:I96" r:id="rId26" display="https://gdncomm.sharepoint.com/:f:/s/Operation/EqEPN_Nb4ShOpp3djV8_EpMB2r3a-ojQTuH-n_P6SoJiTg?e=pdVram" xr:uid="{5AAC07EC-EED9-4289-9BA0-81540CBE15AC}"/>
    <hyperlink ref="I84" r:id="rId27" xr:uid="{970FBFE2-52FC-4158-92B3-ABE2C4C10317}"/>
    <hyperlink ref="I97" r:id="rId28" xr:uid="{89846667-ACB0-4161-AD26-72DE2C984EF2}"/>
    <hyperlink ref="I100" r:id="rId29" xr:uid="{516C5EB5-F7E6-4B71-A89B-6C358E846C3E}"/>
  </hyperlinks>
  <pageMargins left="0.7" right="0.7" top="0.75" bottom="0.75" header="0.3" footer="0.3"/>
  <pageSetup orientation="portrait"/>
  <legacyDrawing r:id="rId3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4C250-3B72-4C64-B74C-ADA6A553DB75}">
  <dimension ref="A1:CM119"/>
  <sheetViews>
    <sheetView zoomScale="85" zoomScaleNormal="85" zoomScaleSheetLayoutView="40" workbookViewId="0">
      <pane xSplit="1" ySplit="3" topLeftCell="B4" activePane="bottomRight" state="frozen"/>
      <selection pane="bottomRight"/>
      <selection pane="bottomLeft"/>
      <selection pane="topRight"/>
    </sheetView>
  </sheetViews>
  <sheetFormatPr defaultColWidth="8.5703125" defaultRowHeight="15"/>
  <cols>
    <col min="1" max="1" width="10.42578125" style="14" bestFit="1" customWidth="1"/>
    <col min="2" max="2" width="7.42578125" style="14" customWidth="1"/>
    <col min="3" max="3" width="18.42578125" style="14" bestFit="1" customWidth="1"/>
    <col min="4" max="4" width="11.5703125" style="14" customWidth="1"/>
    <col min="5" max="5" width="21.42578125" style="14" customWidth="1"/>
    <col min="6" max="6" width="15.42578125" style="14" customWidth="1"/>
    <col min="7" max="7" width="33.5703125" style="14" customWidth="1"/>
    <col min="8" max="8" width="37.5703125" style="14" customWidth="1"/>
    <col min="9" max="9" width="30.5703125" style="14" customWidth="1"/>
    <col min="10" max="10" width="21.42578125" style="14" customWidth="1"/>
    <col min="11" max="11" width="30.5703125" style="14" customWidth="1"/>
    <col min="12" max="12" width="11.42578125" style="14" customWidth="1"/>
    <col min="13" max="13" width="11.5703125" style="14" customWidth="1"/>
    <col min="14" max="14" width="15.42578125" style="107" customWidth="1"/>
    <col min="15" max="19" width="15.42578125" style="14" customWidth="1"/>
    <col min="20" max="22" width="13.42578125" style="14" customWidth="1"/>
    <col min="23" max="23" width="13.5703125" style="14" customWidth="1"/>
    <col min="24" max="26" width="10.42578125" style="14" customWidth="1"/>
    <col min="27" max="27" width="14.42578125" style="14" hidden="1" customWidth="1"/>
    <col min="28" max="28" width="11.42578125" style="14" hidden="1" customWidth="1"/>
    <col min="29" max="30" width="8.5703125" style="14" hidden="1" customWidth="1"/>
    <col min="31" max="31" width="14.42578125" style="14" hidden="1" customWidth="1"/>
    <col min="32" max="33" width="11.42578125" style="14" hidden="1" customWidth="1"/>
    <col min="34" max="34" width="8.5703125" style="14" hidden="1" customWidth="1"/>
    <col min="35" max="35" width="14.42578125" style="14" hidden="1" customWidth="1"/>
    <col min="36" max="36" width="11.42578125" style="14" hidden="1" customWidth="1"/>
    <col min="37" max="37" width="8.5703125" style="108" hidden="1" customWidth="1"/>
    <col min="38" max="38" width="11" style="14" hidden="1" customWidth="1"/>
    <col min="39" max="39" width="14.42578125" style="14" hidden="1" customWidth="1"/>
    <col min="40" max="40" width="11.42578125" style="14" hidden="1" customWidth="1"/>
    <col min="41" max="42" width="8.5703125" style="14" hidden="1" customWidth="1"/>
    <col min="43" max="43" width="14.42578125" style="14" hidden="1" customWidth="1"/>
    <col min="44" max="44" width="11.42578125" style="14" hidden="1" customWidth="1"/>
    <col min="45" max="45" width="8.5703125" style="14" hidden="1" customWidth="1"/>
    <col min="46" max="46" width="0.42578125" style="14" customWidth="1"/>
    <col min="47" max="47" width="14.42578125" style="14" customWidth="1"/>
    <col min="48" max="48" width="11.42578125" style="14" customWidth="1"/>
    <col min="49" max="52" width="8.5703125" style="14" customWidth="1"/>
    <col min="53" max="53" width="10.42578125" style="14" customWidth="1"/>
    <col min="54" max="57" width="8.5703125" style="14" customWidth="1"/>
    <col min="58" max="58" width="10.5703125" style="14" customWidth="1"/>
    <col min="59" max="62" width="8.5703125" style="14" customWidth="1"/>
    <col min="63" max="63" width="11.42578125" style="14" customWidth="1"/>
    <col min="64" max="67" width="8.5703125" style="14" customWidth="1"/>
    <col min="68" max="68" width="11.42578125" style="14" customWidth="1"/>
    <col min="69" max="72" width="8.5703125" style="14" customWidth="1"/>
    <col min="73" max="73" width="11.42578125" style="14" customWidth="1"/>
    <col min="74" max="77" width="8.5703125" style="14" customWidth="1"/>
    <col min="78" max="78" width="11.42578125" style="14" customWidth="1"/>
    <col min="79" max="82" width="8.5703125" style="14" customWidth="1"/>
    <col min="83" max="83" width="11.42578125" style="14" customWidth="1"/>
    <col min="84" max="87" width="8.5703125" style="14" customWidth="1"/>
    <col min="88" max="88" width="11.42578125" style="14" customWidth="1"/>
    <col min="89" max="91" width="8.5703125" style="14" customWidth="1"/>
    <col min="92" max="16384" width="8.5703125" style="14"/>
  </cols>
  <sheetData>
    <row r="1" spans="1:91">
      <c r="A1" s="1"/>
      <c r="B1" s="2"/>
      <c r="C1" s="3"/>
      <c r="D1" s="4"/>
      <c r="E1" s="4"/>
      <c r="F1" s="4"/>
      <c r="G1" s="4"/>
      <c r="H1" s="4"/>
      <c r="I1" s="4"/>
      <c r="J1" s="4"/>
      <c r="K1" s="4"/>
      <c r="L1" s="4"/>
      <c r="M1" s="4"/>
      <c r="N1" s="5"/>
      <c r="O1" s="6"/>
      <c r="P1" s="6"/>
      <c r="Q1" s="6"/>
      <c r="R1" s="6"/>
      <c r="S1" s="6"/>
      <c r="T1" s="4"/>
      <c r="U1" s="4"/>
      <c r="V1" s="4"/>
      <c r="W1" s="7"/>
      <c r="X1" s="4"/>
      <c r="Y1" s="4"/>
      <c r="Z1" s="4"/>
      <c r="AA1" s="8" t="s">
        <v>3404</v>
      </c>
      <c r="AB1" s="8"/>
      <c r="AC1" s="8"/>
      <c r="AD1" s="8"/>
      <c r="AE1" s="8"/>
      <c r="AF1" s="8" t="s">
        <v>3405</v>
      </c>
      <c r="AG1" s="8"/>
      <c r="AH1" s="8"/>
      <c r="AI1" s="8"/>
      <c r="AJ1" s="8"/>
      <c r="AK1" s="8" t="s">
        <v>3492</v>
      </c>
      <c r="AL1" s="8"/>
      <c r="AM1" s="8"/>
      <c r="AN1" s="8"/>
      <c r="AO1" s="8"/>
      <c r="AP1" s="9" t="s">
        <v>4020</v>
      </c>
      <c r="AQ1" s="9"/>
      <c r="AR1" s="9"/>
      <c r="AS1" s="9"/>
      <c r="AT1" s="9"/>
      <c r="AU1" s="10" t="s">
        <v>4525</v>
      </c>
      <c r="AV1" s="10"/>
      <c r="AW1" s="10"/>
      <c r="AX1" s="10"/>
      <c r="AY1" s="10"/>
      <c r="AZ1" s="10" t="s">
        <v>4526</v>
      </c>
      <c r="BA1" s="10"/>
      <c r="BB1" s="10"/>
      <c r="BC1" s="10"/>
      <c r="BD1" s="10"/>
      <c r="BE1" s="11" t="s">
        <v>4527</v>
      </c>
      <c r="BF1" s="12"/>
      <c r="BG1" s="12"/>
      <c r="BH1" s="12"/>
      <c r="BI1" s="12"/>
      <c r="BJ1" s="13" t="s">
        <v>4528</v>
      </c>
      <c r="BK1" s="13"/>
      <c r="BL1" s="13"/>
      <c r="BM1" s="13"/>
      <c r="BN1" s="13"/>
      <c r="BO1" s="13" t="s">
        <v>4529</v>
      </c>
      <c r="BP1" s="13"/>
      <c r="BQ1" s="13"/>
      <c r="BR1" s="13"/>
      <c r="BS1" s="13"/>
      <c r="BT1" s="13" t="s">
        <v>4530</v>
      </c>
      <c r="BU1" s="13"/>
      <c r="BV1" s="13"/>
      <c r="BW1" s="13"/>
      <c r="BX1" s="13"/>
      <c r="BY1" s="13" t="s">
        <v>4531</v>
      </c>
      <c r="BZ1" s="13"/>
      <c r="CA1" s="13"/>
      <c r="CB1" s="13"/>
      <c r="CC1" s="13"/>
      <c r="CD1" s="13" t="s">
        <v>4532</v>
      </c>
      <c r="CE1" s="13"/>
      <c r="CF1" s="13"/>
      <c r="CG1" s="13"/>
      <c r="CH1" s="13"/>
      <c r="CI1" s="13" t="s">
        <v>4533</v>
      </c>
      <c r="CJ1" s="13"/>
      <c r="CK1" s="13"/>
      <c r="CL1" s="13"/>
      <c r="CM1" s="13"/>
    </row>
    <row r="2" spans="1:91" ht="91.5">
      <c r="A2" s="15" t="s">
        <v>14</v>
      </c>
      <c r="B2" s="15" t="s">
        <v>1330</v>
      </c>
      <c r="C2" s="15" t="s">
        <v>3559</v>
      </c>
      <c r="D2" s="15" t="s">
        <v>4534</v>
      </c>
      <c r="E2" s="15" t="s">
        <v>7</v>
      </c>
      <c r="F2" s="15" t="s">
        <v>2</v>
      </c>
      <c r="G2" s="15" t="s">
        <v>16</v>
      </c>
      <c r="H2" s="15" t="s">
        <v>3556</v>
      </c>
      <c r="I2" s="15" t="s">
        <v>4022</v>
      </c>
      <c r="J2" s="15" t="s">
        <v>4023</v>
      </c>
      <c r="K2" s="15" t="s">
        <v>4024</v>
      </c>
      <c r="L2" s="15" t="s">
        <v>3561</v>
      </c>
      <c r="M2" s="15" t="s">
        <v>3562</v>
      </c>
      <c r="N2" s="16" t="s">
        <v>3409</v>
      </c>
      <c r="O2" s="16" t="s">
        <v>4032</v>
      </c>
      <c r="P2" s="16" t="s">
        <v>3557</v>
      </c>
      <c r="Q2" s="16" t="s">
        <v>4025</v>
      </c>
      <c r="R2" s="17" t="s">
        <v>4535</v>
      </c>
      <c r="S2" s="17" t="s">
        <v>4536</v>
      </c>
      <c r="T2" s="17" t="s">
        <v>4026</v>
      </c>
      <c r="U2" s="18" t="s">
        <v>4027</v>
      </c>
      <c r="V2" s="18" t="s">
        <v>4028</v>
      </c>
      <c r="W2" s="19" t="s">
        <v>4537</v>
      </c>
      <c r="X2" s="20" t="s">
        <v>4029</v>
      </c>
      <c r="Y2" s="20" t="s">
        <v>4030</v>
      </c>
      <c r="Z2" s="20" t="s">
        <v>4031</v>
      </c>
      <c r="AA2" s="19" t="s">
        <v>1334</v>
      </c>
      <c r="AB2" s="19" t="s">
        <v>3413</v>
      </c>
      <c r="AC2" s="19" t="s">
        <v>4034</v>
      </c>
      <c r="AD2" s="19" t="s">
        <v>4035</v>
      </c>
      <c r="AE2" s="19" t="s">
        <v>3414</v>
      </c>
      <c r="AF2" s="19" t="s">
        <v>1334</v>
      </c>
      <c r="AG2" s="19" t="s">
        <v>3413</v>
      </c>
      <c r="AH2" s="19" t="s">
        <v>4034</v>
      </c>
      <c r="AI2" s="19" t="s">
        <v>4035</v>
      </c>
      <c r="AJ2" s="21" t="s">
        <v>3414</v>
      </c>
      <c r="AK2" s="22" t="s">
        <v>1334</v>
      </c>
      <c r="AL2" s="19" t="s">
        <v>3413</v>
      </c>
      <c r="AM2" s="19" t="s">
        <v>4034</v>
      </c>
      <c r="AN2" s="19" t="s">
        <v>4035</v>
      </c>
      <c r="AO2" s="23" t="s">
        <v>3414</v>
      </c>
      <c r="AP2" s="24" t="s">
        <v>1334</v>
      </c>
      <c r="AQ2" s="19" t="s">
        <v>3413</v>
      </c>
      <c r="AR2" s="19" t="s">
        <v>4034</v>
      </c>
      <c r="AS2" s="19" t="s">
        <v>4035</v>
      </c>
      <c r="AT2" s="19" t="s">
        <v>3414</v>
      </c>
      <c r="AU2" s="19" t="s">
        <v>1334</v>
      </c>
      <c r="AV2" s="19" t="s">
        <v>3413</v>
      </c>
      <c r="AW2" s="19" t="s">
        <v>4034</v>
      </c>
      <c r="AX2" s="19" t="s">
        <v>4035</v>
      </c>
      <c r="AY2" s="19" t="s">
        <v>3414</v>
      </c>
      <c r="AZ2" s="19" t="s">
        <v>1334</v>
      </c>
      <c r="BA2" s="19" t="s">
        <v>3413</v>
      </c>
      <c r="BB2" s="19" t="s">
        <v>4034</v>
      </c>
      <c r="BC2" s="19" t="s">
        <v>4035</v>
      </c>
      <c r="BD2" s="21" t="s">
        <v>3414</v>
      </c>
      <c r="BE2" s="25" t="s">
        <v>1334</v>
      </c>
      <c r="BF2" s="19" t="s">
        <v>3413</v>
      </c>
      <c r="BG2" s="19" t="s">
        <v>4034</v>
      </c>
      <c r="BH2" s="19" t="s">
        <v>4035</v>
      </c>
      <c r="BI2" s="26" t="s">
        <v>3414</v>
      </c>
      <c r="BJ2" s="24" t="s">
        <v>1334</v>
      </c>
      <c r="BK2" s="19" t="s">
        <v>3413</v>
      </c>
      <c r="BL2" s="19" t="s">
        <v>4034</v>
      </c>
      <c r="BM2" s="19" t="s">
        <v>4035</v>
      </c>
      <c r="BN2" s="19" t="s">
        <v>3414</v>
      </c>
      <c r="BO2" s="19" t="s">
        <v>1334</v>
      </c>
      <c r="BP2" s="19" t="s">
        <v>3413</v>
      </c>
      <c r="BQ2" s="19" t="s">
        <v>4034</v>
      </c>
      <c r="BR2" s="19" t="s">
        <v>4035</v>
      </c>
      <c r="BS2" s="19" t="s">
        <v>3414</v>
      </c>
      <c r="BT2" s="19" t="s">
        <v>1334</v>
      </c>
      <c r="BU2" s="19" t="s">
        <v>3413</v>
      </c>
      <c r="BV2" s="19" t="s">
        <v>4034</v>
      </c>
      <c r="BW2" s="19" t="s">
        <v>4035</v>
      </c>
      <c r="BX2" s="19" t="s">
        <v>3414</v>
      </c>
      <c r="BY2" s="19" t="s">
        <v>1334</v>
      </c>
      <c r="BZ2" s="19" t="s">
        <v>3413</v>
      </c>
      <c r="CA2" s="19" t="s">
        <v>4034</v>
      </c>
      <c r="CB2" s="19" t="s">
        <v>4035</v>
      </c>
      <c r="CC2" s="19" t="s">
        <v>3414</v>
      </c>
      <c r="CD2" s="19" t="s">
        <v>1334</v>
      </c>
      <c r="CE2" s="19" t="s">
        <v>3413</v>
      </c>
      <c r="CF2" s="19" t="s">
        <v>4034</v>
      </c>
      <c r="CG2" s="19" t="s">
        <v>4035</v>
      </c>
      <c r="CH2" s="19" t="s">
        <v>3414</v>
      </c>
      <c r="CI2" s="19" t="s">
        <v>1334</v>
      </c>
      <c r="CJ2" s="19" t="s">
        <v>3413</v>
      </c>
      <c r="CK2" s="19" t="s">
        <v>4034</v>
      </c>
      <c r="CL2" s="19" t="s">
        <v>4035</v>
      </c>
      <c r="CM2" s="19" t="s">
        <v>3414</v>
      </c>
    </row>
    <row r="3" spans="1:91">
      <c r="A3" s="15"/>
      <c r="B3" s="15"/>
      <c r="C3" s="15"/>
      <c r="D3" s="15"/>
      <c r="E3" s="15"/>
      <c r="F3" s="15"/>
      <c r="G3" s="15"/>
      <c r="H3" s="15"/>
      <c r="I3" s="15"/>
      <c r="J3" s="15"/>
      <c r="K3" s="15"/>
      <c r="L3" s="15"/>
      <c r="M3" s="15"/>
      <c r="N3" s="16"/>
      <c r="O3" s="16"/>
      <c r="P3" s="16"/>
      <c r="Q3" s="16"/>
      <c r="R3" s="17"/>
      <c r="S3" s="17"/>
      <c r="T3" s="17"/>
      <c r="U3" s="18"/>
      <c r="V3" s="18"/>
      <c r="W3" s="19"/>
      <c r="X3" s="20"/>
      <c r="Y3" s="20"/>
      <c r="Z3" s="20"/>
      <c r="AA3" s="19"/>
      <c r="AB3" s="19"/>
      <c r="AC3" s="19"/>
      <c r="AD3" s="19"/>
      <c r="AE3" s="19"/>
      <c r="AF3" s="19"/>
      <c r="AG3" s="19"/>
      <c r="AH3" s="19"/>
      <c r="AI3" s="19"/>
      <c r="AJ3" s="21"/>
      <c r="AK3" s="22"/>
      <c r="AL3" s="19"/>
      <c r="AM3" s="19"/>
      <c r="AN3" s="19"/>
      <c r="AO3" s="23"/>
      <c r="AP3" s="24"/>
      <c r="AQ3" s="19"/>
      <c r="AR3" s="19"/>
      <c r="AS3" s="19"/>
      <c r="AT3" s="19"/>
      <c r="AU3" s="19"/>
      <c r="AV3" s="19"/>
      <c r="AW3" s="19"/>
      <c r="AX3" s="19"/>
      <c r="AY3" s="19"/>
      <c r="AZ3" s="19"/>
      <c r="BA3" s="19"/>
      <c r="BB3" s="19"/>
      <c r="BC3" s="19"/>
      <c r="BD3" s="21"/>
      <c r="BE3" s="27"/>
      <c r="BF3" s="28"/>
      <c r="BG3" s="28"/>
      <c r="BH3" s="28"/>
      <c r="BI3" s="29"/>
      <c r="BJ3" s="24"/>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row>
    <row r="4" spans="1:91" ht="76.5">
      <c r="A4" s="30" t="s">
        <v>4538</v>
      </c>
      <c r="B4" s="31">
        <f>IFERROR(B2+1,1)</f>
        <v>1</v>
      </c>
      <c r="C4" s="32" t="s">
        <v>4539</v>
      </c>
      <c r="D4" s="30" t="s">
        <v>4540</v>
      </c>
      <c r="E4" s="30" t="s">
        <v>4490</v>
      </c>
      <c r="F4" s="30" t="s">
        <v>4491</v>
      </c>
      <c r="G4" s="30" t="s">
        <v>4492</v>
      </c>
      <c r="H4" s="30" t="s">
        <v>4493</v>
      </c>
      <c r="I4" s="33" t="s">
        <v>4482</v>
      </c>
      <c r="J4" s="30" t="s">
        <v>3575</v>
      </c>
      <c r="K4" s="34"/>
      <c r="L4" s="35" t="e">
        <f>INDEX([1]Timeline!$E$10:$E$24,MATCH(A4,[1]Timeline!$C$10:$C$24,0))</f>
        <v>#N/A</v>
      </c>
      <c r="M4" s="36">
        <v>44561</v>
      </c>
      <c r="N4" s="37">
        <v>0</v>
      </c>
      <c r="O4" s="37" t="e">
        <f>MAX((6-MONTH(L4)+1)*N4,0)</f>
        <v>#N/A</v>
      </c>
      <c r="P4" s="37" t="e">
        <f t="shared" ref="P4:P67" si="0">(MONTH(M4)-MONTH(L4)+1)*N4</f>
        <v>#N/A</v>
      </c>
      <c r="Q4" s="37"/>
      <c r="R4" s="37">
        <f>1+LEN(D4)-LEN(SUBSTITUTE(D4,",",""))</f>
        <v>2</v>
      </c>
      <c r="S4" s="37">
        <f>1/R4</f>
        <v>0.5</v>
      </c>
      <c r="T4" s="38">
        <f>N4*S4</f>
        <v>0</v>
      </c>
      <c r="U4" s="38" t="e">
        <f>MAX(0,(6-MONTH(L4)+1)*T4)</f>
        <v>#N/A</v>
      </c>
      <c r="V4" s="38" t="e">
        <f t="shared" ref="V4:V67" si="1">(MONTH(M4)-MONTH(L4)+1)*T4</f>
        <v>#N/A</v>
      </c>
      <c r="W4" s="30">
        <v>1</v>
      </c>
      <c r="X4" s="39" t="e">
        <f t="shared" ref="X4" si="2">AVERAGE(Y4:Z4)</f>
        <v>#DIV/0!</v>
      </c>
      <c r="Y4" s="39" t="e">
        <f t="shared" ref="Y4" si="3">IF(W4&gt;0,AVERAGE(AA4:AB4,AF4:AG4,AK4:AL4,AP4:AQ4,AU4:AV4,AZ4:BA4,BE4:BF4,BJ4:BK4),0)</f>
        <v>#DIV/0!</v>
      </c>
      <c r="Z4" s="39" t="e">
        <f t="shared" ref="Z4" si="4">IF(W4&gt;0,AVERAGE(AC4:AD4,AH4:AI4,AM4:AN4,AR4:AS4,AW4:AX4,BB4:BC4,BG4:BH4,BL4:BM4),0)</f>
        <v>#DIV/0!</v>
      </c>
      <c r="AA4" s="30"/>
      <c r="AB4" s="30"/>
      <c r="AC4" s="30"/>
      <c r="AD4" s="30"/>
      <c r="AE4" s="40">
        <f t="shared" ref="AE4:AE67" si="5">IFERROR(SUM(AA4:AD4)/4,0)</f>
        <v>0</v>
      </c>
      <c r="AF4" s="30"/>
      <c r="AG4" s="30"/>
      <c r="AH4" s="30"/>
      <c r="AI4" s="30"/>
      <c r="AJ4" s="41">
        <f t="shared" ref="AJ4:AJ67" si="6">IFERROR(SUM(AF4:AI4)/4,0)</f>
        <v>0</v>
      </c>
      <c r="AK4" s="42"/>
      <c r="AL4" s="30"/>
      <c r="AM4" s="30"/>
      <c r="AN4" s="30"/>
      <c r="AO4" s="43">
        <f t="shared" ref="AO4:AO67" si="7">IFERROR(SUM(AK4:AN4)/4,0)</f>
        <v>0</v>
      </c>
      <c r="AP4" s="44"/>
      <c r="AQ4" s="30"/>
      <c r="AR4" s="30"/>
      <c r="AS4" s="30"/>
      <c r="AT4" s="40">
        <f t="shared" ref="AT4:AT67" si="8">IFERROR(SUM(AP4:AS4)/4,0)</f>
        <v>0</v>
      </c>
      <c r="AU4" s="45"/>
      <c r="AV4" s="45"/>
      <c r="AW4" s="45"/>
      <c r="AX4" s="45"/>
      <c r="AY4" s="46">
        <f t="shared" ref="AY4:AY67" si="9">IFERROR(SUM(AU4:AX4)/4,0)</f>
        <v>0</v>
      </c>
      <c r="AZ4" s="45"/>
      <c r="BA4" s="45"/>
      <c r="BB4" s="45"/>
      <c r="BC4" s="45"/>
      <c r="BD4" s="47">
        <f t="shared" ref="BD4:BD67" si="10">IFERROR(SUM(AZ4:BC4)/4,0)</f>
        <v>0</v>
      </c>
      <c r="BE4" s="48"/>
      <c r="BF4" s="48"/>
      <c r="BG4" s="48"/>
      <c r="BH4" s="48"/>
      <c r="BI4" s="49">
        <f t="shared" ref="BI4:BI43" si="11">IFERROR(SUM(BE4:BH4)/4,0)</f>
        <v>0</v>
      </c>
      <c r="BJ4" s="45"/>
      <c r="BK4" s="45"/>
      <c r="BL4" s="45"/>
      <c r="BM4" s="45"/>
      <c r="BN4" s="46">
        <f t="shared" ref="BN4:BN67" si="12">IFERROR(SUM(BJ4:BM4)/4,0)</f>
        <v>0</v>
      </c>
      <c r="BO4" s="45"/>
      <c r="BP4" s="45"/>
      <c r="BQ4" s="45"/>
      <c r="BR4" s="45"/>
      <c r="BS4" s="46">
        <f t="shared" ref="BS4:BS67" si="13">IFERROR(SUM(BO4:BR4)/4,0)</f>
        <v>0</v>
      </c>
      <c r="BT4" s="45"/>
      <c r="BU4" s="45"/>
      <c r="BV4" s="45"/>
      <c r="BW4" s="45"/>
      <c r="BX4" s="46">
        <f t="shared" ref="BX4:BX67" si="14">IFERROR(SUM(BT4:BW4)/4,0)</f>
        <v>0</v>
      </c>
      <c r="BY4" s="45"/>
      <c r="BZ4" s="45"/>
      <c r="CA4" s="45"/>
      <c r="CB4" s="45"/>
      <c r="CC4" s="46">
        <f t="shared" ref="CC4:CC67" si="15">IFERROR(SUM(BY4:CB4)/4,0)</f>
        <v>0</v>
      </c>
      <c r="CD4" s="45"/>
      <c r="CE4" s="45"/>
      <c r="CF4" s="45"/>
      <c r="CG4" s="45"/>
      <c r="CH4" s="46">
        <f t="shared" ref="CH4:CH67" si="16">IFERROR(SUM(CD4:CG4)/4,0)</f>
        <v>0</v>
      </c>
      <c r="CI4" s="45"/>
      <c r="CJ4" s="45"/>
      <c r="CK4" s="45"/>
      <c r="CL4" s="45"/>
      <c r="CM4" s="46">
        <f t="shared" ref="CM4:CM67" si="17">IFERROR(SUM(CI4:CL4)/4,0)</f>
        <v>0</v>
      </c>
    </row>
    <row r="5" spans="1:91" ht="198">
      <c r="A5" s="45">
        <v>1</v>
      </c>
      <c r="B5" s="50">
        <f>IFERROR(#REF!+1,1)</f>
        <v>1</v>
      </c>
      <c r="C5" s="51" t="s">
        <v>4324</v>
      </c>
      <c r="D5" s="45" t="s">
        <v>3513</v>
      </c>
      <c r="E5" s="45" t="s">
        <v>4541</v>
      </c>
      <c r="F5" s="45" t="s">
        <v>4542</v>
      </c>
      <c r="G5" s="45" t="s">
        <v>4543</v>
      </c>
      <c r="H5" s="45" t="s">
        <v>4544</v>
      </c>
      <c r="I5" s="52" t="s">
        <v>4545</v>
      </c>
      <c r="J5" s="45" t="s">
        <v>3575</v>
      </c>
      <c r="K5" s="53"/>
      <c r="L5" s="54" t="e">
        <f>INDEX([1]Timeline!$E$10:$E$24,MATCH(A5,[1]Timeline!$C$10:$C$24,0))</f>
        <v>#N/A</v>
      </c>
      <c r="M5" s="55">
        <v>44561</v>
      </c>
      <c r="N5" s="56">
        <v>486750</v>
      </c>
      <c r="O5" s="57" t="e">
        <f>MAX((6-MONTH(L5)+1)*N5,0)</f>
        <v>#N/A</v>
      </c>
      <c r="P5" s="56" t="e">
        <f t="shared" si="0"/>
        <v>#N/A</v>
      </c>
      <c r="Q5" s="56" t="s">
        <v>4546</v>
      </c>
      <c r="R5" s="56">
        <v>2</v>
      </c>
      <c r="S5" s="56">
        <v>1</v>
      </c>
      <c r="T5" s="58">
        <f>N5/R5</f>
        <v>243375</v>
      </c>
      <c r="U5" s="58" t="e">
        <f>MAX(0,(6-MONTH(L5)+1)*T5)</f>
        <v>#N/A</v>
      </c>
      <c r="V5" s="58" t="e">
        <f t="shared" si="1"/>
        <v>#N/A</v>
      </c>
      <c r="W5" s="45">
        <v>1</v>
      </c>
      <c r="X5" s="59">
        <f>AVERAGE(Y5:Z5)</f>
        <v>3.125</v>
      </c>
      <c r="Y5" s="59">
        <f>IF(W5&gt;0,AVERAGE(AA5:AB5,AF5:AG5,AK5:AL5,AP5:AQ5,AU5:AV5,AZ5:BA5,BE5:BF5,BJ5:BK5,BO5:BP5,BT5:BU5,BY5:BZ5,CD5:CE5,CI5:CJ5),0)</f>
        <v>3.8333333333333335</v>
      </c>
      <c r="Z5" s="60">
        <f>IF(W5&gt;0,AVERAGE(AC5:AD5,AH5:AI5,AM5:AN5,AR5:AS5,AW5:AX5,BB5:BC5,BG5:BH5,BL5:BM5,BQ5:BR5,BV5:BW5,CA5:CB5,CF5:CG5,CK5:CL5),0)</f>
        <v>2.4166666666666665</v>
      </c>
      <c r="AA5" s="45">
        <v>4</v>
      </c>
      <c r="AB5" s="45">
        <v>4</v>
      </c>
      <c r="AC5" s="45">
        <v>1</v>
      </c>
      <c r="AD5" s="45">
        <v>2</v>
      </c>
      <c r="AE5" s="46">
        <f t="shared" si="5"/>
        <v>2.75</v>
      </c>
      <c r="AF5" s="45">
        <v>4</v>
      </c>
      <c r="AG5" s="45">
        <v>4</v>
      </c>
      <c r="AH5" s="45">
        <v>1</v>
      </c>
      <c r="AI5" s="45">
        <v>3</v>
      </c>
      <c r="AJ5" s="61">
        <f t="shared" si="6"/>
        <v>3</v>
      </c>
      <c r="AK5" s="62">
        <v>4</v>
      </c>
      <c r="AL5" s="45">
        <v>4</v>
      </c>
      <c r="AM5" s="45">
        <v>4</v>
      </c>
      <c r="AN5" s="45">
        <v>3</v>
      </c>
      <c r="AO5" s="63">
        <f t="shared" si="7"/>
        <v>3.75</v>
      </c>
      <c r="AP5" s="64">
        <v>3</v>
      </c>
      <c r="AQ5" s="45">
        <v>3</v>
      </c>
      <c r="AR5" s="45">
        <v>4</v>
      </c>
      <c r="AS5" s="45">
        <v>3</v>
      </c>
      <c r="AT5" s="46">
        <f t="shared" si="8"/>
        <v>3.25</v>
      </c>
      <c r="AU5" s="45">
        <v>4</v>
      </c>
      <c r="AV5" s="45">
        <v>4</v>
      </c>
      <c r="AW5" s="45">
        <v>1</v>
      </c>
      <c r="AX5" s="45">
        <v>2</v>
      </c>
      <c r="AY5" s="46">
        <f t="shared" si="9"/>
        <v>2.75</v>
      </c>
      <c r="AZ5" s="45"/>
      <c r="BA5" s="45"/>
      <c r="BB5" s="45"/>
      <c r="BC5" s="45"/>
      <c r="BD5" s="47">
        <f t="shared" si="10"/>
        <v>0</v>
      </c>
      <c r="BE5" s="45"/>
      <c r="BF5" s="45"/>
      <c r="BG5" s="45"/>
      <c r="BH5" s="45"/>
      <c r="BI5" s="46">
        <f t="shared" si="11"/>
        <v>0</v>
      </c>
      <c r="BJ5" s="45">
        <v>4</v>
      </c>
      <c r="BK5" s="45">
        <v>4</v>
      </c>
      <c r="BL5" s="45">
        <v>2</v>
      </c>
      <c r="BM5" s="45">
        <v>3</v>
      </c>
      <c r="BN5" s="46">
        <f t="shared" si="12"/>
        <v>3.25</v>
      </c>
      <c r="BO5" s="45"/>
      <c r="BP5" s="45"/>
      <c r="BQ5" s="45"/>
      <c r="BR5" s="45"/>
      <c r="BS5" s="46">
        <f t="shared" si="13"/>
        <v>0</v>
      </c>
      <c r="BT5" s="45"/>
      <c r="BU5" s="45"/>
      <c r="BV5" s="45"/>
      <c r="BW5" s="45"/>
      <c r="BX5" s="46">
        <f t="shared" si="14"/>
        <v>0</v>
      </c>
      <c r="BY5" s="45"/>
      <c r="BZ5" s="45"/>
      <c r="CA5" s="45"/>
      <c r="CB5" s="45"/>
      <c r="CC5" s="46">
        <f t="shared" si="15"/>
        <v>0</v>
      </c>
      <c r="CD5" s="45"/>
      <c r="CE5" s="45"/>
      <c r="CF5" s="45"/>
      <c r="CG5" s="45"/>
      <c r="CH5" s="46">
        <f t="shared" si="16"/>
        <v>0</v>
      </c>
      <c r="CI5" s="45"/>
      <c r="CJ5" s="45"/>
      <c r="CK5" s="45"/>
      <c r="CL5" s="45"/>
      <c r="CM5" s="46">
        <f t="shared" si="17"/>
        <v>0</v>
      </c>
    </row>
    <row r="6" spans="1:91" ht="213">
      <c r="A6" s="45">
        <v>1</v>
      </c>
      <c r="B6" s="50">
        <f t="shared" ref="B6:B69" si="18">IFERROR(B5+1,1)</f>
        <v>2</v>
      </c>
      <c r="C6" s="51" t="s">
        <v>2773</v>
      </c>
      <c r="D6" s="45" t="s">
        <v>3737</v>
      </c>
      <c r="E6" s="45" t="s">
        <v>4547</v>
      </c>
      <c r="F6" s="45" t="s">
        <v>4548</v>
      </c>
      <c r="G6" s="45" t="s">
        <v>4549</v>
      </c>
      <c r="H6" s="45" t="s">
        <v>4550</v>
      </c>
      <c r="I6" s="52" t="s">
        <v>4551</v>
      </c>
      <c r="J6" s="45" t="s">
        <v>3575</v>
      </c>
      <c r="K6" s="53"/>
      <c r="L6" s="54" t="e">
        <f>INDEX([1]Timeline!$E$10:$E$24,MATCH(A6,[1]Timeline!$C$10:$C$24,0))</f>
        <v>#N/A</v>
      </c>
      <c r="M6" s="55">
        <v>44561</v>
      </c>
      <c r="N6" s="56">
        <v>664160</v>
      </c>
      <c r="O6" s="57" t="e">
        <f>MAX((6-MONTH(L6)+1)*N6,0)</f>
        <v>#N/A</v>
      </c>
      <c r="P6" s="56" t="e">
        <f t="shared" si="0"/>
        <v>#N/A</v>
      </c>
      <c r="Q6" s="56" t="s">
        <v>2773</v>
      </c>
      <c r="R6" s="56">
        <v>1</v>
      </c>
      <c r="S6" s="56">
        <v>1</v>
      </c>
      <c r="T6" s="58">
        <f t="shared" ref="T6:T46" si="19">N6/R6</f>
        <v>664160</v>
      </c>
      <c r="U6" s="58" t="e">
        <f t="shared" ref="U6:U69" si="20">MAX(0,(6-MONTH(L6)+1)*T6)</f>
        <v>#N/A</v>
      </c>
      <c r="V6" s="58" t="e">
        <f t="shared" si="1"/>
        <v>#N/A</v>
      </c>
      <c r="W6" s="45">
        <v>1</v>
      </c>
      <c r="X6" s="59">
        <f t="shared" ref="X6:X69" si="21">AVERAGE(Y6:Z6)</f>
        <v>2.625</v>
      </c>
      <c r="Y6" s="59">
        <f t="shared" ref="Y6:Y69" si="22">IF(W6&gt;0,AVERAGE(AA6:AB6,AF6:AG6,AK6:AL6,AP6:AQ6,AU6:AV6,AZ6:BA6,BE6:BF6,BJ6:BK6,BO6:BP6,BT6:BU6,BY6:BZ6,CD6:CE6,CI6:CJ6),0)</f>
        <v>3.1666666666666665</v>
      </c>
      <c r="Z6" s="60">
        <f t="shared" ref="Z6:Z69" si="23">IF(W6&gt;0,AVERAGE(AC6:AD6,AH6:AI6,AM6:AN6,AR6:AS6,AW6:AX6,BB6:BC6,BG6:BH6,BL6:BM6,BQ6:BR6,BV6:BW6,CA6:CB6,CF6:CG6,CK6:CL6),0)</f>
        <v>2.0833333333333335</v>
      </c>
      <c r="AA6" s="45">
        <v>3</v>
      </c>
      <c r="AB6" s="45">
        <v>3</v>
      </c>
      <c r="AC6" s="45">
        <v>2</v>
      </c>
      <c r="AD6" s="45">
        <v>2</v>
      </c>
      <c r="AE6" s="46">
        <f t="shared" si="5"/>
        <v>2.5</v>
      </c>
      <c r="AF6" s="45">
        <v>4</v>
      </c>
      <c r="AG6" s="45">
        <v>3</v>
      </c>
      <c r="AH6" s="45">
        <v>2</v>
      </c>
      <c r="AI6" s="45">
        <v>3</v>
      </c>
      <c r="AJ6" s="61">
        <f t="shared" si="6"/>
        <v>3</v>
      </c>
      <c r="AK6" s="62">
        <v>3</v>
      </c>
      <c r="AL6" s="45">
        <v>3</v>
      </c>
      <c r="AM6" s="45">
        <v>1</v>
      </c>
      <c r="AN6" s="45">
        <v>2</v>
      </c>
      <c r="AO6" s="63">
        <f t="shared" si="7"/>
        <v>2.25</v>
      </c>
      <c r="AP6" s="64">
        <v>3</v>
      </c>
      <c r="AQ6" s="45">
        <v>3</v>
      </c>
      <c r="AR6" s="45">
        <v>2</v>
      </c>
      <c r="AS6" s="45">
        <v>3</v>
      </c>
      <c r="AT6" s="46">
        <f t="shared" si="8"/>
        <v>2.75</v>
      </c>
      <c r="AU6" s="45">
        <v>4</v>
      </c>
      <c r="AV6" s="45">
        <v>3</v>
      </c>
      <c r="AW6" s="45">
        <v>2</v>
      </c>
      <c r="AX6" s="45">
        <v>2</v>
      </c>
      <c r="AY6" s="46">
        <f t="shared" si="9"/>
        <v>2.75</v>
      </c>
      <c r="AZ6" s="45"/>
      <c r="BA6" s="45"/>
      <c r="BB6" s="45"/>
      <c r="BC6" s="45"/>
      <c r="BD6" s="47">
        <f t="shared" si="10"/>
        <v>0</v>
      </c>
      <c r="BE6" s="45"/>
      <c r="BF6" s="45"/>
      <c r="BG6" s="45"/>
      <c r="BH6" s="45"/>
      <c r="BI6" s="46">
        <f t="shared" si="11"/>
        <v>0</v>
      </c>
      <c r="BJ6" s="45">
        <v>3</v>
      </c>
      <c r="BK6" s="45">
        <v>3</v>
      </c>
      <c r="BL6" s="45">
        <v>2</v>
      </c>
      <c r="BM6" s="45">
        <v>2</v>
      </c>
      <c r="BN6" s="46">
        <f t="shared" si="12"/>
        <v>2.5</v>
      </c>
      <c r="BO6" s="45"/>
      <c r="BP6" s="45"/>
      <c r="BQ6" s="45"/>
      <c r="BR6" s="45"/>
      <c r="BS6" s="46">
        <f t="shared" si="13"/>
        <v>0</v>
      </c>
      <c r="BT6" s="45"/>
      <c r="BU6" s="45"/>
      <c r="BV6" s="45"/>
      <c r="BW6" s="45"/>
      <c r="BX6" s="46">
        <f t="shared" si="14"/>
        <v>0</v>
      </c>
      <c r="BY6" s="45"/>
      <c r="BZ6" s="45"/>
      <c r="CA6" s="45"/>
      <c r="CB6" s="45"/>
      <c r="CC6" s="46">
        <f t="shared" si="15"/>
        <v>0</v>
      </c>
      <c r="CD6" s="45"/>
      <c r="CE6" s="45"/>
      <c r="CF6" s="45"/>
      <c r="CG6" s="45"/>
      <c r="CH6" s="46">
        <f t="shared" si="16"/>
        <v>0</v>
      </c>
      <c r="CI6" s="45"/>
      <c r="CJ6" s="45"/>
      <c r="CK6" s="45"/>
      <c r="CL6" s="45"/>
      <c r="CM6" s="46">
        <f t="shared" si="17"/>
        <v>0</v>
      </c>
    </row>
    <row r="7" spans="1:91" ht="137.25">
      <c r="A7" s="45">
        <v>1</v>
      </c>
      <c r="B7" s="50">
        <f t="shared" si="18"/>
        <v>3</v>
      </c>
      <c r="C7" s="51" t="s">
        <v>2773</v>
      </c>
      <c r="D7" s="45" t="s">
        <v>4552</v>
      </c>
      <c r="E7" s="45" t="s">
        <v>4553</v>
      </c>
      <c r="F7" s="45" t="s">
        <v>4554</v>
      </c>
      <c r="G7" s="45" t="s">
        <v>4555</v>
      </c>
      <c r="H7" s="45" t="s">
        <v>4556</v>
      </c>
      <c r="I7" s="52" t="s">
        <v>4557</v>
      </c>
      <c r="J7" s="45" t="s">
        <v>3575</v>
      </c>
      <c r="K7" s="53"/>
      <c r="L7" s="54" t="e">
        <f>INDEX([1]Timeline!$E$10:$E$24,MATCH(A7,[1]Timeline!$C$10:$C$24,0))</f>
        <v>#N/A</v>
      </c>
      <c r="M7" s="55">
        <v>44561</v>
      </c>
      <c r="N7" s="56">
        <v>850000</v>
      </c>
      <c r="O7" s="57" t="e">
        <f t="shared" ref="O7:O42" si="24">MAX((6-MONTH(L7)+1)*N7,0)</f>
        <v>#N/A</v>
      </c>
      <c r="P7" s="56" t="e">
        <f t="shared" si="0"/>
        <v>#N/A</v>
      </c>
      <c r="Q7" s="56" t="s">
        <v>2773</v>
      </c>
      <c r="R7" s="56">
        <v>1</v>
      </c>
      <c r="S7" s="56">
        <v>1</v>
      </c>
      <c r="T7" s="58">
        <f t="shared" si="19"/>
        <v>850000</v>
      </c>
      <c r="U7" s="58" t="e">
        <f t="shared" si="20"/>
        <v>#N/A</v>
      </c>
      <c r="V7" s="58" t="e">
        <f t="shared" si="1"/>
        <v>#N/A</v>
      </c>
      <c r="W7" s="45">
        <v>1</v>
      </c>
      <c r="X7" s="59">
        <f t="shared" si="21"/>
        <v>2.833333333333333</v>
      </c>
      <c r="Y7" s="59">
        <f t="shared" si="22"/>
        <v>3.1666666666666665</v>
      </c>
      <c r="Z7" s="60">
        <f t="shared" si="23"/>
        <v>2.5</v>
      </c>
      <c r="AA7" s="45">
        <v>3</v>
      </c>
      <c r="AB7" s="45">
        <v>3</v>
      </c>
      <c r="AC7" s="45">
        <v>2</v>
      </c>
      <c r="AD7" s="45">
        <v>2</v>
      </c>
      <c r="AE7" s="46">
        <f t="shared" si="5"/>
        <v>2.5</v>
      </c>
      <c r="AF7" s="45">
        <v>4</v>
      </c>
      <c r="AG7" s="45">
        <v>4</v>
      </c>
      <c r="AH7" s="45">
        <v>3</v>
      </c>
      <c r="AI7" s="45">
        <v>3</v>
      </c>
      <c r="AJ7" s="61">
        <f t="shared" si="6"/>
        <v>3.5</v>
      </c>
      <c r="AK7" s="62">
        <v>4</v>
      </c>
      <c r="AL7" s="45">
        <v>3</v>
      </c>
      <c r="AM7" s="45">
        <v>3</v>
      </c>
      <c r="AN7" s="45">
        <v>3</v>
      </c>
      <c r="AO7" s="63">
        <f t="shared" si="7"/>
        <v>3.25</v>
      </c>
      <c r="AP7" s="64">
        <v>2</v>
      </c>
      <c r="AQ7" s="45">
        <v>2</v>
      </c>
      <c r="AR7" s="45">
        <v>3</v>
      </c>
      <c r="AS7" s="45">
        <v>2</v>
      </c>
      <c r="AT7" s="46">
        <f t="shared" si="8"/>
        <v>2.25</v>
      </c>
      <c r="AU7" s="45">
        <v>3</v>
      </c>
      <c r="AV7" s="45">
        <v>4</v>
      </c>
      <c r="AW7" s="45">
        <v>2</v>
      </c>
      <c r="AX7" s="45">
        <v>2</v>
      </c>
      <c r="AY7" s="46">
        <f t="shared" si="9"/>
        <v>2.75</v>
      </c>
      <c r="AZ7" s="45"/>
      <c r="BA7" s="45"/>
      <c r="BB7" s="45"/>
      <c r="BC7" s="45"/>
      <c r="BD7" s="47">
        <f t="shared" si="10"/>
        <v>0</v>
      </c>
      <c r="BE7" s="45"/>
      <c r="BF7" s="45"/>
      <c r="BG7" s="45"/>
      <c r="BH7" s="45"/>
      <c r="BI7" s="46">
        <f t="shared" si="11"/>
        <v>0</v>
      </c>
      <c r="BJ7" s="45">
        <v>3</v>
      </c>
      <c r="BK7" s="45">
        <v>3</v>
      </c>
      <c r="BL7" s="45">
        <v>3</v>
      </c>
      <c r="BM7" s="45">
        <v>2</v>
      </c>
      <c r="BN7" s="46">
        <f t="shared" si="12"/>
        <v>2.75</v>
      </c>
      <c r="BO7" s="45"/>
      <c r="BP7" s="45"/>
      <c r="BQ7" s="45"/>
      <c r="BR7" s="45"/>
      <c r="BS7" s="46">
        <f t="shared" si="13"/>
        <v>0</v>
      </c>
      <c r="BT7" s="45"/>
      <c r="BU7" s="45"/>
      <c r="BV7" s="45"/>
      <c r="BW7" s="45"/>
      <c r="BX7" s="46">
        <f t="shared" si="14"/>
        <v>0</v>
      </c>
      <c r="BY7" s="45"/>
      <c r="BZ7" s="45"/>
      <c r="CA7" s="45"/>
      <c r="CB7" s="45"/>
      <c r="CC7" s="46">
        <f t="shared" si="15"/>
        <v>0</v>
      </c>
      <c r="CD7" s="45"/>
      <c r="CE7" s="45"/>
      <c r="CF7" s="45"/>
      <c r="CG7" s="45"/>
      <c r="CH7" s="46">
        <f t="shared" si="16"/>
        <v>0</v>
      </c>
      <c r="CI7" s="45"/>
      <c r="CJ7" s="45"/>
      <c r="CK7" s="45"/>
      <c r="CL7" s="45"/>
      <c r="CM7" s="46">
        <f t="shared" si="17"/>
        <v>0</v>
      </c>
    </row>
    <row r="8" spans="1:91" ht="275.25">
      <c r="A8" s="45">
        <v>2</v>
      </c>
      <c r="B8" s="50">
        <f t="shared" si="18"/>
        <v>4</v>
      </c>
      <c r="C8" s="51" t="s">
        <v>2817</v>
      </c>
      <c r="D8" s="45" t="s">
        <v>4558</v>
      </c>
      <c r="E8" s="45" t="s">
        <v>4559</v>
      </c>
      <c r="F8" s="45" t="s">
        <v>4560</v>
      </c>
      <c r="G8" s="45" t="s">
        <v>4561</v>
      </c>
      <c r="H8" s="45" t="s">
        <v>4562</v>
      </c>
      <c r="I8" s="52" t="s">
        <v>4563</v>
      </c>
      <c r="J8" s="45" t="s">
        <v>3575</v>
      </c>
      <c r="K8" s="53"/>
      <c r="L8" s="54" t="e">
        <f>INDEX([1]Timeline!$E$10:$E$24,MATCH(A8,[1]Timeline!$C$10:$C$24,0))</f>
        <v>#N/A</v>
      </c>
      <c r="M8" s="55">
        <v>44561</v>
      </c>
      <c r="N8" s="56">
        <v>4860000</v>
      </c>
      <c r="O8" s="57" t="e">
        <f t="shared" si="24"/>
        <v>#N/A</v>
      </c>
      <c r="P8" s="56" t="e">
        <f t="shared" si="0"/>
        <v>#N/A</v>
      </c>
      <c r="Q8" s="56" t="s">
        <v>2817</v>
      </c>
      <c r="R8" s="56">
        <v>1</v>
      </c>
      <c r="S8" s="56">
        <v>1</v>
      </c>
      <c r="T8" s="58">
        <f t="shared" si="19"/>
        <v>4860000</v>
      </c>
      <c r="U8" s="58" t="e">
        <f t="shared" si="20"/>
        <v>#N/A</v>
      </c>
      <c r="V8" s="58" t="e">
        <f t="shared" si="1"/>
        <v>#N/A</v>
      </c>
      <c r="W8" s="45">
        <v>1</v>
      </c>
      <c r="X8" s="59">
        <f t="shared" si="21"/>
        <v>2.666666666666667</v>
      </c>
      <c r="Y8" s="59">
        <f t="shared" si="22"/>
        <v>3.0833333333333335</v>
      </c>
      <c r="Z8" s="60">
        <f t="shared" si="23"/>
        <v>2.25</v>
      </c>
      <c r="AA8" s="45">
        <v>2</v>
      </c>
      <c r="AB8" s="45">
        <v>2</v>
      </c>
      <c r="AC8" s="45">
        <v>1</v>
      </c>
      <c r="AD8" s="45">
        <v>2</v>
      </c>
      <c r="AE8" s="46">
        <f t="shared" si="5"/>
        <v>1.75</v>
      </c>
      <c r="AF8" s="45">
        <v>3</v>
      </c>
      <c r="AG8" s="45">
        <v>3</v>
      </c>
      <c r="AH8" s="45">
        <v>1</v>
      </c>
      <c r="AI8" s="45">
        <v>3</v>
      </c>
      <c r="AJ8" s="61">
        <f t="shared" si="6"/>
        <v>2.5</v>
      </c>
      <c r="AK8" s="62">
        <v>3</v>
      </c>
      <c r="AL8" s="45">
        <v>3</v>
      </c>
      <c r="AM8" s="45">
        <v>1</v>
      </c>
      <c r="AN8" s="45">
        <v>3</v>
      </c>
      <c r="AO8" s="63">
        <f t="shared" si="7"/>
        <v>2.5</v>
      </c>
      <c r="AP8" s="64">
        <v>4</v>
      </c>
      <c r="AQ8" s="45">
        <v>3</v>
      </c>
      <c r="AR8" s="45">
        <v>3</v>
      </c>
      <c r="AS8" s="45">
        <v>3</v>
      </c>
      <c r="AT8" s="46">
        <f t="shared" si="8"/>
        <v>3.25</v>
      </c>
      <c r="AU8" s="45">
        <v>4</v>
      </c>
      <c r="AV8" s="45">
        <v>4</v>
      </c>
      <c r="AW8" s="45">
        <v>3</v>
      </c>
      <c r="AX8" s="45">
        <v>2</v>
      </c>
      <c r="AY8" s="46">
        <f t="shared" si="9"/>
        <v>3.25</v>
      </c>
      <c r="AZ8" s="45"/>
      <c r="BA8" s="45"/>
      <c r="BB8" s="45"/>
      <c r="BC8" s="45"/>
      <c r="BD8" s="47">
        <f t="shared" si="10"/>
        <v>0</v>
      </c>
      <c r="BE8" s="45"/>
      <c r="BF8" s="45"/>
      <c r="BG8" s="45"/>
      <c r="BH8" s="45"/>
      <c r="BI8" s="46">
        <f t="shared" si="11"/>
        <v>0</v>
      </c>
      <c r="BJ8" s="45">
        <v>3</v>
      </c>
      <c r="BK8" s="45">
        <v>3</v>
      </c>
      <c r="BL8" s="45">
        <v>2</v>
      </c>
      <c r="BM8" s="45">
        <v>3</v>
      </c>
      <c r="BN8" s="46">
        <f t="shared" si="12"/>
        <v>2.75</v>
      </c>
      <c r="BO8" s="45"/>
      <c r="BP8" s="45"/>
      <c r="BQ8" s="45"/>
      <c r="BR8" s="45"/>
      <c r="BS8" s="46">
        <f t="shared" si="13"/>
        <v>0</v>
      </c>
      <c r="BT8" s="45"/>
      <c r="BU8" s="45"/>
      <c r="BV8" s="45"/>
      <c r="BW8" s="45"/>
      <c r="BX8" s="46">
        <f t="shared" si="14"/>
        <v>0</v>
      </c>
      <c r="BY8" s="45"/>
      <c r="BZ8" s="45"/>
      <c r="CA8" s="45"/>
      <c r="CB8" s="45"/>
      <c r="CC8" s="46">
        <f t="shared" si="15"/>
        <v>0</v>
      </c>
      <c r="CD8" s="45"/>
      <c r="CE8" s="45"/>
      <c r="CF8" s="45"/>
      <c r="CG8" s="45"/>
      <c r="CH8" s="46">
        <f t="shared" si="16"/>
        <v>0</v>
      </c>
      <c r="CI8" s="45"/>
      <c r="CJ8" s="45"/>
      <c r="CK8" s="45"/>
      <c r="CL8" s="45"/>
      <c r="CM8" s="46">
        <f t="shared" si="17"/>
        <v>0</v>
      </c>
    </row>
    <row r="9" spans="1:91" ht="152.25">
      <c r="A9" s="45">
        <v>2</v>
      </c>
      <c r="B9" s="50">
        <f t="shared" si="18"/>
        <v>5</v>
      </c>
      <c r="C9" s="51" t="s">
        <v>4324</v>
      </c>
      <c r="D9" s="45" t="s">
        <v>3645</v>
      </c>
      <c r="E9" s="45" t="s">
        <v>4564</v>
      </c>
      <c r="F9" s="45" t="s">
        <v>4565</v>
      </c>
      <c r="G9" s="45" t="s">
        <v>4566</v>
      </c>
      <c r="H9" s="45" t="s">
        <v>4567</v>
      </c>
      <c r="I9" s="52" t="s">
        <v>4568</v>
      </c>
      <c r="J9" s="45" t="s">
        <v>3575</v>
      </c>
      <c r="K9" s="53"/>
      <c r="L9" s="54" t="e">
        <f>INDEX([1]Timeline!$E$10:$E$24,MATCH(A9,[1]Timeline!$C$10:$C$24,0))</f>
        <v>#N/A</v>
      </c>
      <c r="M9" s="55">
        <v>44561</v>
      </c>
      <c r="N9" s="56">
        <v>1000000</v>
      </c>
      <c r="O9" s="57" t="e">
        <f t="shared" si="24"/>
        <v>#N/A</v>
      </c>
      <c r="P9" s="56" t="e">
        <f t="shared" si="0"/>
        <v>#N/A</v>
      </c>
      <c r="Q9" s="56" t="s">
        <v>4569</v>
      </c>
      <c r="R9" s="56">
        <v>2</v>
      </c>
      <c r="S9" s="56">
        <v>1</v>
      </c>
      <c r="T9" s="58">
        <f t="shared" si="19"/>
        <v>500000</v>
      </c>
      <c r="U9" s="58" t="e">
        <f t="shared" si="20"/>
        <v>#N/A</v>
      </c>
      <c r="V9" s="58" t="e">
        <f t="shared" si="1"/>
        <v>#N/A</v>
      </c>
      <c r="W9" s="45">
        <v>1</v>
      </c>
      <c r="X9" s="59">
        <f t="shared" si="21"/>
        <v>2.458333333333333</v>
      </c>
      <c r="Y9" s="59">
        <f t="shared" si="22"/>
        <v>2.9166666666666665</v>
      </c>
      <c r="Z9" s="60">
        <f t="shared" si="23"/>
        <v>2</v>
      </c>
      <c r="AA9" s="45">
        <v>2</v>
      </c>
      <c r="AB9" s="45">
        <v>2</v>
      </c>
      <c r="AC9" s="45">
        <v>2</v>
      </c>
      <c r="AD9" s="45">
        <v>2</v>
      </c>
      <c r="AE9" s="46">
        <f t="shared" si="5"/>
        <v>2</v>
      </c>
      <c r="AF9" s="45">
        <v>4</v>
      </c>
      <c r="AG9" s="45">
        <v>3</v>
      </c>
      <c r="AH9" s="45">
        <v>2</v>
      </c>
      <c r="AI9" s="45">
        <v>3</v>
      </c>
      <c r="AJ9" s="61">
        <f t="shared" si="6"/>
        <v>3</v>
      </c>
      <c r="AK9" s="62">
        <v>4</v>
      </c>
      <c r="AL9" s="45">
        <v>3</v>
      </c>
      <c r="AM9" s="45">
        <v>2</v>
      </c>
      <c r="AN9" s="45">
        <v>3</v>
      </c>
      <c r="AO9" s="63">
        <f t="shared" si="7"/>
        <v>3</v>
      </c>
      <c r="AP9" s="64">
        <v>2</v>
      </c>
      <c r="AQ9" s="45">
        <v>2</v>
      </c>
      <c r="AR9" s="45">
        <v>1</v>
      </c>
      <c r="AS9" s="45">
        <v>2</v>
      </c>
      <c r="AT9" s="46">
        <f t="shared" si="8"/>
        <v>1.75</v>
      </c>
      <c r="AU9" s="45">
        <v>4</v>
      </c>
      <c r="AV9" s="45">
        <v>3</v>
      </c>
      <c r="AW9" s="45">
        <v>1</v>
      </c>
      <c r="AX9" s="45">
        <v>2</v>
      </c>
      <c r="AY9" s="46">
        <f t="shared" si="9"/>
        <v>2.5</v>
      </c>
      <c r="AZ9" s="45"/>
      <c r="BA9" s="45"/>
      <c r="BB9" s="45"/>
      <c r="BC9" s="45"/>
      <c r="BD9" s="47">
        <f t="shared" si="10"/>
        <v>0</v>
      </c>
      <c r="BE9" s="45"/>
      <c r="BF9" s="45"/>
      <c r="BG9" s="45"/>
      <c r="BH9" s="45"/>
      <c r="BI9" s="46">
        <f t="shared" si="11"/>
        <v>0</v>
      </c>
      <c r="BJ9" s="45">
        <v>3</v>
      </c>
      <c r="BK9" s="45">
        <v>3</v>
      </c>
      <c r="BL9" s="45">
        <v>2</v>
      </c>
      <c r="BM9" s="45">
        <v>2</v>
      </c>
      <c r="BN9" s="46">
        <f t="shared" si="12"/>
        <v>2.5</v>
      </c>
      <c r="BO9" s="45"/>
      <c r="BP9" s="45"/>
      <c r="BQ9" s="45"/>
      <c r="BR9" s="45"/>
      <c r="BS9" s="46">
        <f t="shared" si="13"/>
        <v>0</v>
      </c>
      <c r="BT9" s="45"/>
      <c r="BU9" s="45"/>
      <c r="BV9" s="45"/>
      <c r="BW9" s="45"/>
      <c r="BX9" s="46">
        <f t="shared" si="14"/>
        <v>0</v>
      </c>
      <c r="BY9" s="45"/>
      <c r="BZ9" s="45"/>
      <c r="CA9" s="45"/>
      <c r="CB9" s="45"/>
      <c r="CC9" s="46">
        <f t="shared" si="15"/>
        <v>0</v>
      </c>
      <c r="CD9" s="45"/>
      <c r="CE9" s="45"/>
      <c r="CF9" s="45"/>
      <c r="CG9" s="45"/>
      <c r="CH9" s="46">
        <f t="shared" si="16"/>
        <v>0</v>
      </c>
      <c r="CI9" s="45"/>
      <c r="CJ9" s="45"/>
      <c r="CK9" s="45"/>
      <c r="CL9" s="45"/>
      <c r="CM9" s="46">
        <f t="shared" si="17"/>
        <v>0</v>
      </c>
    </row>
    <row r="10" spans="1:91" ht="183.75">
      <c r="A10" s="45">
        <v>2</v>
      </c>
      <c r="B10" s="50">
        <f t="shared" si="18"/>
        <v>6</v>
      </c>
      <c r="C10" s="51" t="s">
        <v>2773</v>
      </c>
      <c r="D10" s="45" t="s">
        <v>4077</v>
      </c>
      <c r="E10" s="45" t="s">
        <v>4570</v>
      </c>
      <c r="F10" s="45" t="s">
        <v>4571</v>
      </c>
      <c r="G10" s="65" t="s">
        <v>4572</v>
      </c>
      <c r="H10" s="45" t="s">
        <v>4573</v>
      </c>
      <c r="I10" s="52" t="s">
        <v>4574</v>
      </c>
      <c r="J10" s="45" t="s">
        <v>3575</v>
      </c>
      <c r="K10" s="53"/>
      <c r="L10" s="54" t="e">
        <f>INDEX([1]Timeline!$E$10:$E$24,MATCH(A10,[1]Timeline!$C$10:$C$24,0))</f>
        <v>#N/A</v>
      </c>
      <c r="M10" s="55">
        <v>44561</v>
      </c>
      <c r="N10" s="56">
        <v>119000</v>
      </c>
      <c r="O10" s="57" t="e">
        <f t="shared" si="24"/>
        <v>#N/A</v>
      </c>
      <c r="P10" s="56" t="e">
        <f t="shared" si="0"/>
        <v>#N/A</v>
      </c>
      <c r="Q10" s="56" t="s">
        <v>2773</v>
      </c>
      <c r="R10" s="56">
        <v>1</v>
      </c>
      <c r="S10" s="56">
        <v>1</v>
      </c>
      <c r="T10" s="58">
        <f t="shared" si="19"/>
        <v>119000</v>
      </c>
      <c r="U10" s="58" t="e">
        <f t="shared" si="20"/>
        <v>#N/A</v>
      </c>
      <c r="V10" s="58" t="e">
        <f t="shared" si="1"/>
        <v>#N/A</v>
      </c>
      <c r="W10" s="45">
        <v>1</v>
      </c>
      <c r="X10" s="59">
        <f t="shared" si="21"/>
        <v>3.125</v>
      </c>
      <c r="Y10" s="59">
        <f t="shared" si="22"/>
        <v>3.6666666666666665</v>
      </c>
      <c r="Z10" s="60">
        <f t="shared" si="23"/>
        <v>2.5833333333333335</v>
      </c>
      <c r="AA10" s="45">
        <v>3</v>
      </c>
      <c r="AB10" s="45">
        <v>3</v>
      </c>
      <c r="AC10" s="45">
        <v>3</v>
      </c>
      <c r="AD10" s="45">
        <v>4</v>
      </c>
      <c r="AE10" s="46">
        <f t="shared" si="5"/>
        <v>3.25</v>
      </c>
      <c r="AF10" s="45">
        <v>4</v>
      </c>
      <c r="AG10" s="45">
        <v>4</v>
      </c>
      <c r="AH10" s="45">
        <v>4</v>
      </c>
      <c r="AI10" s="45">
        <v>4</v>
      </c>
      <c r="AJ10" s="61">
        <f t="shared" si="6"/>
        <v>4</v>
      </c>
      <c r="AK10" s="62">
        <v>4</v>
      </c>
      <c r="AL10" s="45">
        <v>4</v>
      </c>
      <c r="AM10" s="45">
        <v>2</v>
      </c>
      <c r="AN10" s="45">
        <v>2</v>
      </c>
      <c r="AO10" s="63">
        <f t="shared" si="7"/>
        <v>3</v>
      </c>
      <c r="AP10" s="64">
        <v>3</v>
      </c>
      <c r="AQ10" s="45">
        <v>3</v>
      </c>
      <c r="AR10" s="45">
        <v>2</v>
      </c>
      <c r="AS10" s="45">
        <v>2</v>
      </c>
      <c r="AT10" s="46">
        <f t="shared" si="8"/>
        <v>2.5</v>
      </c>
      <c r="AU10" s="45">
        <v>4</v>
      </c>
      <c r="AV10" s="45">
        <v>4</v>
      </c>
      <c r="AW10" s="45">
        <v>1</v>
      </c>
      <c r="AX10" s="45">
        <v>2</v>
      </c>
      <c r="AY10" s="46">
        <f t="shared" si="9"/>
        <v>2.75</v>
      </c>
      <c r="AZ10" s="45"/>
      <c r="BA10" s="45"/>
      <c r="BB10" s="45"/>
      <c r="BC10" s="45"/>
      <c r="BD10" s="47">
        <f t="shared" si="10"/>
        <v>0</v>
      </c>
      <c r="BE10" s="45"/>
      <c r="BF10" s="45"/>
      <c r="BG10" s="45"/>
      <c r="BH10" s="45"/>
      <c r="BI10" s="46">
        <f t="shared" si="11"/>
        <v>0</v>
      </c>
      <c r="BJ10" s="45">
        <v>4</v>
      </c>
      <c r="BK10" s="45">
        <v>4</v>
      </c>
      <c r="BL10" s="45">
        <v>2</v>
      </c>
      <c r="BM10" s="45">
        <v>3</v>
      </c>
      <c r="BN10" s="46">
        <f t="shared" si="12"/>
        <v>3.25</v>
      </c>
      <c r="BO10" s="45"/>
      <c r="BP10" s="45"/>
      <c r="BQ10" s="45"/>
      <c r="BR10" s="45"/>
      <c r="BS10" s="46">
        <f t="shared" si="13"/>
        <v>0</v>
      </c>
      <c r="BT10" s="45"/>
      <c r="BU10" s="45"/>
      <c r="BV10" s="45"/>
      <c r="BW10" s="45"/>
      <c r="BX10" s="46">
        <f t="shared" si="14"/>
        <v>0</v>
      </c>
      <c r="BY10" s="45"/>
      <c r="BZ10" s="45"/>
      <c r="CA10" s="45"/>
      <c r="CB10" s="45"/>
      <c r="CC10" s="46">
        <f t="shared" si="15"/>
        <v>0</v>
      </c>
      <c r="CD10" s="45"/>
      <c r="CE10" s="45"/>
      <c r="CF10" s="45"/>
      <c r="CG10" s="45"/>
      <c r="CH10" s="46">
        <f t="shared" si="16"/>
        <v>0</v>
      </c>
      <c r="CI10" s="45"/>
      <c r="CJ10" s="45"/>
      <c r="CK10" s="45"/>
      <c r="CL10" s="45"/>
      <c r="CM10" s="46">
        <f t="shared" si="17"/>
        <v>0</v>
      </c>
    </row>
    <row r="11" spans="1:91" ht="167.25">
      <c r="A11" s="45">
        <v>2</v>
      </c>
      <c r="B11" s="50">
        <f t="shared" si="18"/>
        <v>7</v>
      </c>
      <c r="C11" s="51" t="s">
        <v>2773</v>
      </c>
      <c r="D11" s="45" t="s">
        <v>4575</v>
      </c>
      <c r="E11" s="45" t="s">
        <v>4576</v>
      </c>
      <c r="F11" s="45" t="s">
        <v>4577</v>
      </c>
      <c r="G11" s="45" t="s">
        <v>4578</v>
      </c>
      <c r="H11" s="45" t="s">
        <v>4579</v>
      </c>
      <c r="I11" s="52" t="s">
        <v>4580</v>
      </c>
      <c r="J11" s="45" t="s">
        <v>3575</v>
      </c>
      <c r="K11" s="53"/>
      <c r="L11" s="54" t="e">
        <f>INDEX([1]Timeline!$E$10:$E$24,MATCH(A11,[1]Timeline!$C$10:$C$24,0))</f>
        <v>#N/A</v>
      </c>
      <c r="M11" s="55">
        <v>44561</v>
      </c>
      <c r="N11" s="56">
        <v>3978000</v>
      </c>
      <c r="O11" s="57" t="e">
        <f t="shared" si="24"/>
        <v>#N/A</v>
      </c>
      <c r="P11" s="56" t="e">
        <f t="shared" si="0"/>
        <v>#N/A</v>
      </c>
      <c r="Q11" s="56" t="s">
        <v>2773</v>
      </c>
      <c r="R11" s="56">
        <v>1</v>
      </c>
      <c r="S11" s="56">
        <v>1</v>
      </c>
      <c r="T11" s="58">
        <f t="shared" si="19"/>
        <v>3978000</v>
      </c>
      <c r="U11" s="58" t="e">
        <f t="shared" si="20"/>
        <v>#N/A</v>
      </c>
      <c r="V11" s="58" t="e">
        <f t="shared" si="1"/>
        <v>#N/A</v>
      </c>
      <c r="W11" s="45">
        <v>1</v>
      </c>
      <c r="X11" s="59">
        <f t="shared" si="21"/>
        <v>3.25</v>
      </c>
      <c r="Y11" s="59">
        <f t="shared" si="22"/>
        <v>3.9166666666666665</v>
      </c>
      <c r="Z11" s="60">
        <f t="shared" si="23"/>
        <v>2.5833333333333335</v>
      </c>
      <c r="AA11" s="45">
        <v>4</v>
      </c>
      <c r="AB11" s="45">
        <v>4</v>
      </c>
      <c r="AC11" s="45">
        <v>2</v>
      </c>
      <c r="AD11" s="45">
        <v>2</v>
      </c>
      <c r="AE11" s="46">
        <f t="shared" si="5"/>
        <v>3</v>
      </c>
      <c r="AF11" s="45">
        <v>4</v>
      </c>
      <c r="AG11" s="45">
        <v>4</v>
      </c>
      <c r="AH11" s="45">
        <v>4</v>
      </c>
      <c r="AI11" s="45">
        <v>3</v>
      </c>
      <c r="AJ11" s="61">
        <f t="shared" si="6"/>
        <v>3.75</v>
      </c>
      <c r="AK11" s="62">
        <v>4</v>
      </c>
      <c r="AL11" s="45">
        <v>4</v>
      </c>
      <c r="AM11" s="45">
        <v>4</v>
      </c>
      <c r="AN11" s="45">
        <v>2</v>
      </c>
      <c r="AO11" s="63">
        <f t="shared" si="7"/>
        <v>3.5</v>
      </c>
      <c r="AP11" s="64">
        <v>3</v>
      </c>
      <c r="AQ11" s="45">
        <v>4</v>
      </c>
      <c r="AR11" s="45">
        <v>4</v>
      </c>
      <c r="AS11" s="45">
        <v>2</v>
      </c>
      <c r="AT11" s="46">
        <f t="shared" si="8"/>
        <v>3.25</v>
      </c>
      <c r="AU11" s="45">
        <v>4</v>
      </c>
      <c r="AV11" s="45">
        <v>4</v>
      </c>
      <c r="AW11" s="45">
        <v>1</v>
      </c>
      <c r="AX11" s="45">
        <v>2</v>
      </c>
      <c r="AY11" s="46">
        <f t="shared" si="9"/>
        <v>2.75</v>
      </c>
      <c r="AZ11" s="45"/>
      <c r="BA11" s="45"/>
      <c r="BB11" s="45"/>
      <c r="BC11" s="45"/>
      <c r="BD11" s="47">
        <f t="shared" si="10"/>
        <v>0</v>
      </c>
      <c r="BE11" s="45"/>
      <c r="BF11" s="45"/>
      <c r="BG11" s="45"/>
      <c r="BH11" s="45"/>
      <c r="BI11" s="46">
        <f t="shared" si="11"/>
        <v>0</v>
      </c>
      <c r="BJ11" s="45">
        <v>4</v>
      </c>
      <c r="BK11" s="45">
        <v>4</v>
      </c>
      <c r="BL11" s="45">
        <v>3</v>
      </c>
      <c r="BM11" s="45">
        <v>2</v>
      </c>
      <c r="BN11" s="46">
        <f t="shared" si="12"/>
        <v>3.25</v>
      </c>
      <c r="BO11" s="45"/>
      <c r="BP11" s="45"/>
      <c r="BQ11" s="45"/>
      <c r="BR11" s="45"/>
      <c r="BS11" s="46">
        <f t="shared" si="13"/>
        <v>0</v>
      </c>
      <c r="BT11" s="45"/>
      <c r="BU11" s="45"/>
      <c r="BV11" s="45"/>
      <c r="BW11" s="45"/>
      <c r="BX11" s="46">
        <f t="shared" si="14"/>
        <v>0</v>
      </c>
      <c r="BY11" s="45"/>
      <c r="BZ11" s="45"/>
      <c r="CA11" s="45"/>
      <c r="CB11" s="45"/>
      <c r="CC11" s="46">
        <f t="shared" si="15"/>
        <v>0</v>
      </c>
      <c r="CD11" s="45"/>
      <c r="CE11" s="45"/>
      <c r="CF11" s="45"/>
      <c r="CG11" s="45"/>
      <c r="CH11" s="46">
        <f t="shared" si="16"/>
        <v>0</v>
      </c>
      <c r="CI11" s="45"/>
      <c r="CJ11" s="45"/>
      <c r="CK11" s="45"/>
      <c r="CL11" s="45"/>
      <c r="CM11" s="46">
        <f t="shared" si="17"/>
        <v>0</v>
      </c>
    </row>
    <row r="12" spans="1:91" ht="275.25">
      <c r="A12" s="45">
        <v>2</v>
      </c>
      <c r="B12" s="50">
        <f t="shared" si="18"/>
        <v>8</v>
      </c>
      <c r="C12" s="51" t="s">
        <v>2817</v>
      </c>
      <c r="D12" s="45" t="s">
        <v>3571</v>
      </c>
      <c r="E12" s="45" t="s">
        <v>4581</v>
      </c>
      <c r="F12" s="45" t="s">
        <v>4582</v>
      </c>
      <c r="G12" s="45" t="s">
        <v>4583</v>
      </c>
      <c r="H12" s="45" t="s">
        <v>4584</v>
      </c>
      <c r="I12" s="52" t="s">
        <v>4585</v>
      </c>
      <c r="J12" s="45" t="s">
        <v>3575</v>
      </c>
      <c r="K12" s="53"/>
      <c r="L12" s="54" t="e">
        <f>INDEX([1]Timeline!$E$10:$E$24,MATCH(A12,[1]Timeline!$C$10:$C$24,0))</f>
        <v>#N/A</v>
      </c>
      <c r="M12" s="55">
        <v>44561</v>
      </c>
      <c r="N12" s="56">
        <v>4257000</v>
      </c>
      <c r="O12" s="57" t="e">
        <f t="shared" si="24"/>
        <v>#N/A</v>
      </c>
      <c r="P12" s="56" t="e">
        <f t="shared" si="0"/>
        <v>#N/A</v>
      </c>
      <c r="Q12" s="56" t="s">
        <v>2817</v>
      </c>
      <c r="R12" s="56">
        <v>1</v>
      </c>
      <c r="S12" s="56">
        <v>1</v>
      </c>
      <c r="T12" s="58">
        <f t="shared" si="19"/>
        <v>4257000</v>
      </c>
      <c r="U12" s="58" t="e">
        <f t="shared" si="20"/>
        <v>#N/A</v>
      </c>
      <c r="V12" s="58" t="e">
        <f t="shared" si="1"/>
        <v>#N/A</v>
      </c>
      <c r="W12" s="45">
        <v>1</v>
      </c>
      <c r="X12" s="59">
        <f t="shared" si="21"/>
        <v>2.5833333333333335</v>
      </c>
      <c r="Y12" s="59">
        <f t="shared" si="22"/>
        <v>3.5</v>
      </c>
      <c r="Z12" s="60">
        <f t="shared" si="23"/>
        <v>1.6666666666666667</v>
      </c>
      <c r="AA12" s="45">
        <v>2</v>
      </c>
      <c r="AB12" s="45">
        <v>2</v>
      </c>
      <c r="AC12" s="45">
        <v>1</v>
      </c>
      <c r="AD12" s="45">
        <v>2</v>
      </c>
      <c r="AE12" s="46">
        <f t="shared" si="5"/>
        <v>1.75</v>
      </c>
      <c r="AF12" s="45">
        <v>4</v>
      </c>
      <c r="AG12" s="45">
        <v>4</v>
      </c>
      <c r="AH12" s="45">
        <v>2</v>
      </c>
      <c r="AI12" s="45">
        <v>3</v>
      </c>
      <c r="AJ12" s="61">
        <f t="shared" si="6"/>
        <v>3.25</v>
      </c>
      <c r="AK12" s="62">
        <v>4</v>
      </c>
      <c r="AL12" s="45">
        <v>4</v>
      </c>
      <c r="AM12" s="45">
        <v>1</v>
      </c>
      <c r="AN12" s="45">
        <v>2</v>
      </c>
      <c r="AO12" s="63">
        <f t="shared" si="7"/>
        <v>2.75</v>
      </c>
      <c r="AP12" s="64">
        <v>4</v>
      </c>
      <c r="AQ12" s="45">
        <v>3</v>
      </c>
      <c r="AR12" s="45">
        <v>1</v>
      </c>
      <c r="AS12" s="45">
        <v>2</v>
      </c>
      <c r="AT12" s="46">
        <f t="shared" si="8"/>
        <v>2.5</v>
      </c>
      <c r="AU12" s="45">
        <v>4</v>
      </c>
      <c r="AV12" s="45">
        <v>4</v>
      </c>
      <c r="AW12" s="45">
        <v>1</v>
      </c>
      <c r="AX12" s="45">
        <v>2</v>
      </c>
      <c r="AY12" s="46">
        <f t="shared" si="9"/>
        <v>2.75</v>
      </c>
      <c r="AZ12" s="45"/>
      <c r="BA12" s="45"/>
      <c r="BB12" s="45"/>
      <c r="BC12" s="45"/>
      <c r="BD12" s="47">
        <f t="shared" si="10"/>
        <v>0</v>
      </c>
      <c r="BE12" s="45"/>
      <c r="BF12" s="45"/>
      <c r="BG12" s="45"/>
      <c r="BH12" s="45"/>
      <c r="BI12" s="46">
        <f t="shared" si="11"/>
        <v>0</v>
      </c>
      <c r="BJ12" s="45">
        <v>4</v>
      </c>
      <c r="BK12" s="45">
        <v>3</v>
      </c>
      <c r="BL12" s="45">
        <v>1</v>
      </c>
      <c r="BM12" s="45">
        <v>2</v>
      </c>
      <c r="BN12" s="46">
        <f t="shared" si="12"/>
        <v>2.5</v>
      </c>
      <c r="BO12" s="45"/>
      <c r="BP12" s="45"/>
      <c r="BQ12" s="45"/>
      <c r="BR12" s="45"/>
      <c r="BS12" s="46">
        <f t="shared" si="13"/>
        <v>0</v>
      </c>
      <c r="BT12" s="45"/>
      <c r="BU12" s="45"/>
      <c r="BV12" s="45"/>
      <c r="BW12" s="45"/>
      <c r="BX12" s="46">
        <f t="shared" si="14"/>
        <v>0</v>
      </c>
      <c r="BY12" s="45"/>
      <c r="BZ12" s="45"/>
      <c r="CA12" s="45"/>
      <c r="CB12" s="45"/>
      <c r="CC12" s="46">
        <f t="shared" si="15"/>
        <v>0</v>
      </c>
      <c r="CD12" s="45"/>
      <c r="CE12" s="45"/>
      <c r="CF12" s="45"/>
      <c r="CG12" s="45"/>
      <c r="CH12" s="46">
        <f t="shared" si="16"/>
        <v>0</v>
      </c>
      <c r="CI12" s="45"/>
      <c r="CJ12" s="45"/>
      <c r="CK12" s="45"/>
      <c r="CL12" s="45"/>
      <c r="CM12" s="46">
        <f t="shared" si="17"/>
        <v>0</v>
      </c>
    </row>
    <row r="13" spans="1:91" ht="409.6">
      <c r="A13" s="45">
        <v>3</v>
      </c>
      <c r="B13" s="50">
        <f t="shared" si="18"/>
        <v>9</v>
      </c>
      <c r="C13" s="51" t="s">
        <v>3457</v>
      </c>
      <c r="D13" s="45" t="s">
        <v>94</v>
      </c>
      <c r="E13" s="45" t="s">
        <v>4586</v>
      </c>
      <c r="F13" s="45" t="s">
        <v>4587</v>
      </c>
      <c r="G13" s="45" t="s">
        <v>4588</v>
      </c>
      <c r="H13" s="45" t="s">
        <v>4589</v>
      </c>
      <c r="I13" s="52" t="s">
        <v>4590</v>
      </c>
      <c r="J13" s="45" t="s">
        <v>3575</v>
      </c>
      <c r="K13" s="53"/>
      <c r="L13" s="54" t="e">
        <f>INDEX([1]Timeline!$E$10:$E$24,MATCH(A13,[1]Timeline!$C$10:$C$24,0))</f>
        <v>#N/A</v>
      </c>
      <c r="M13" s="55">
        <v>44561</v>
      </c>
      <c r="N13" s="56">
        <v>195500</v>
      </c>
      <c r="O13" s="57" t="e">
        <f t="shared" si="24"/>
        <v>#N/A</v>
      </c>
      <c r="P13" s="56" t="e">
        <f t="shared" si="0"/>
        <v>#N/A</v>
      </c>
      <c r="Q13" s="56" t="s">
        <v>3619</v>
      </c>
      <c r="R13" s="56">
        <v>1</v>
      </c>
      <c r="S13" s="56">
        <v>1</v>
      </c>
      <c r="T13" s="58">
        <f t="shared" si="19"/>
        <v>195500</v>
      </c>
      <c r="U13" s="58" t="e">
        <f t="shared" si="20"/>
        <v>#N/A</v>
      </c>
      <c r="V13" s="58" t="e">
        <f t="shared" si="1"/>
        <v>#N/A</v>
      </c>
      <c r="W13" s="45">
        <v>1</v>
      </c>
      <c r="X13" s="59">
        <f t="shared" si="21"/>
        <v>3.125</v>
      </c>
      <c r="Y13" s="59">
        <f t="shared" si="22"/>
        <v>3.75</v>
      </c>
      <c r="Z13" s="60">
        <f t="shared" si="23"/>
        <v>2.5</v>
      </c>
      <c r="AA13" s="45">
        <v>4</v>
      </c>
      <c r="AB13" s="45">
        <v>4</v>
      </c>
      <c r="AC13" s="45">
        <v>2</v>
      </c>
      <c r="AD13" s="45">
        <v>1</v>
      </c>
      <c r="AE13" s="46">
        <f t="shared" si="5"/>
        <v>2.75</v>
      </c>
      <c r="AF13" s="45">
        <v>4</v>
      </c>
      <c r="AG13" s="45">
        <v>4</v>
      </c>
      <c r="AH13" s="45">
        <v>4</v>
      </c>
      <c r="AI13" s="45">
        <v>2</v>
      </c>
      <c r="AJ13" s="61">
        <f t="shared" si="6"/>
        <v>3.5</v>
      </c>
      <c r="AK13" s="62">
        <v>4</v>
      </c>
      <c r="AL13" s="45">
        <v>3</v>
      </c>
      <c r="AM13" s="45">
        <v>4</v>
      </c>
      <c r="AN13" s="45">
        <v>2</v>
      </c>
      <c r="AO13" s="63">
        <f t="shared" si="7"/>
        <v>3.25</v>
      </c>
      <c r="AP13" s="64">
        <v>3</v>
      </c>
      <c r="AQ13" s="45">
        <v>3</v>
      </c>
      <c r="AR13" s="45">
        <v>3</v>
      </c>
      <c r="AS13" s="45">
        <v>4</v>
      </c>
      <c r="AT13" s="46">
        <f t="shared" si="8"/>
        <v>3.25</v>
      </c>
      <c r="AU13" s="45">
        <v>4</v>
      </c>
      <c r="AV13" s="45">
        <v>4</v>
      </c>
      <c r="AW13" s="45">
        <v>1</v>
      </c>
      <c r="AX13" s="45">
        <v>2</v>
      </c>
      <c r="AY13" s="46">
        <f t="shared" si="9"/>
        <v>2.75</v>
      </c>
      <c r="AZ13" s="45"/>
      <c r="BA13" s="45"/>
      <c r="BB13" s="45"/>
      <c r="BC13" s="45"/>
      <c r="BD13" s="47">
        <f t="shared" si="10"/>
        <v>0</v>
      </c>
      <c r="BE13" s="45"/>
      <c r="BF13" s="45"/>
      <c r="BG13" s="45"/>
      <c r="BH13" s="45"/>
      <c r="BI13" s="46">
        <f t="shared" si="11"/>
        <v>0</v>
      </c>
      <c r="BJ13" s="45">
        <v>4</v>
      </c>
      <c r="BK13" s="45">
        <v>4</v>
      </c>
      <c r="BL13" s="45">
        <v>3</v>
      </c>
      <c r="BM13" s="45">
        <v>2</v>
      </c>
      <c r="BN13" s="46">
        <f t="shared" si="12"/>
        <v>3.25</v>
      </c>
      <c r="BO13" s="45"/>
      <c r="BP13" s="45"/>
      <c r="BQ13" s="45"/>
      <c r="BR13" s="45"/>
      <c r="BS13" s="46">
        <f t="shared" si="13"/>
        <v>0</v>
      </c>
      <c r="BT13" s="45"/>
      <c r="BU13" s="45"/>
      <c r="BV13" s="45"/>
      <c r="BW13" s="45"/>
      <c r="BX13" s="46">
        <f t="shared" si="14"/>
        <v>0</v>
      </c>
      <c r="BY13" s="45"/>
      <c r="BZ13" s="45"/>
      <c r="CA13" s="45"/>
      <c r="CB13" s="45"/>
      <c r="CC13" s="46">
        <f t="shared" si="15"/>
        <v>0</v>
      </c>
      <c r="CD13" s="45"/>
      <c r="CE13" s="45"/>
      <c r="CF13" s="45"/>
      <c r="CG13" s="45"/>
      <c r="CH13" s="46">
        <f t="shared" si="16"/>
        <v>0</v>
      </c>
      <c r="CI13" s="45"/>
      <c r="CJ13" s="45"/>
      <c r="CK13" s="45"/>
      <c r="CL13" s="45"/>
      <c r="CM13" s="46">
        <f t="shared" si="17"/>
        <v>0</v>
      </c>
    </row>
    <row r="14" spans="1:91" s="66" customFormat="1" ht="409.6">
      <c r="A14" s="30">
        <v>3</v>
      </c>
      <c r="B14" s="31">
        <f t="shared" si="18"/>
        <v>10</v>
      </c>
      <c r="C14" s="32" t="s">
        <v>4591</v>
      </c>
      <c r="D14" s="30" t="s">
        <v>4592</v>
      </c>
      <c r="E14" s="32" t="s">
        <v>4593</v>
      </c>
      <c r="F14" s="30" t="s">
        <v>4594</v>
      </c>
      <c r="G14" s="30" t="s">
        <v>4595</v>
      </c>
      <c r="H14" s="30" t="s">
        <v>4596</v>
      </c>
      <c r="I14" s="33" t="s">
        <v>4597</v>
      </c>
      <c r="J14" s="30" t="s">
        <v>3575</v>
      </c>
      <c r="K14" s="34"/>
      <c r="L14" s="35" t="e">
        <f>INDEX([1]Timeline!$E$10:$E$24,MATCH(A14,[1]Timeline!$C$10:$C$24,0))</f>
        <v>#N/A</v>
      </c>
      <c r="M14" s="36">
        <v>44561</v>
      </c>
      <c r="N14" s="37"/>
      <c r="O14" s="37" t="e">
        <f t="shared" si="24"/>
        <v>#N/A</v>
      </c>
      <c r="P14" s="37" t="e">
        <f t="shared" si="0"/>
        <v>#N/A</v>
      </c>
      <c r="Q14" s="37" t="s">
        <v>4598</v>
      </c>
      <c r="R14" s="37">
        <v>1</v>
      </c>
      <c r="S14" s="37"/>
      <c r="T14" s="58">
        <f t="shared" si="19"/>
        <v>0</v>
      </c>
      <c r="U14" s="38" t="e">
        <f t="shared" si="20"/>
        <v>#N/A</v>
      </c>
      <c r="V14" s="38" t="e">
        <f t="shared" si="1"/>
        <v>#N/A</v>
      </c>
      <c r="W14" s="30">
        <v>1</v>
      </c>
      <c r="X14" s="39" t="e">
        <f t="shared" si="21"/>
        <v>#DIV/0!</v>
      </c>
      <c r="Y14" s="59" t="e">
        <f t="shared" si="22"/>
        <v>#DIV/0!</v>
      </c>
      <c r="Z14" s="60" t="e">
        <f t="shared" si="23"/>
        <v>#DIV/0!</v>
      </c>
      <c r="AA14" s="30"/>
      <c r="AB14" s="30"/>
      <c r="AC14" s="30"/>
      <c r="AD14" s="30"/>
      <c r="AE14" s="40">
        <f t="shared" si="5"/>
        <v>0</v>
      </c>
      <c r="AF14" s="30"/>
      <c r="AG14" s="30"/>
      <c r="AH14" s="30"/>
      <c r="AI14" s="30"/>
      <c r="AJ14" s="41">
        <f t="shared" si="6"/>
        <v>0</v>
      </c>
      <c r="AK14" s="42"/>
      <c r="AL14" s="30"/>
      <c r="AM14" s="30"/>
      <c r="AN14" s="30"/>
      <c r="AO14" s="43">
        <f t="shared" si="7"/>
        <v>0</v>
      </c>
      <c r="AP14" s="44"/>
      <c r="AQ14" s="30"/>
      <c r="AR14" s="30"/>
      <c r="AS14" s="30"/>
      <c r="AT14" s="40">
        <f t="shared" si="8"/>
        <v>0</v>
      </c>
      <c r="AU14" s="30"/>
      <c r="AV14" s="30"/>
      <c r="AW14" s="30"/>
      <c r="AX14" s="30"/>
      <c r="AY14" s="40">
        <f t="shared" si="9"/>
        <v>0</v>
      </c>
      <c r="AZ14" s="30"/>
      <c r="BA14" s="30"/>
      <c r="BB14" s="30"/>
      <c r="BC14" s="30"/>
      <c r="BD14" s="40">
        <f t="shared" si="10"/>
        <v>0</v>
      </c>
      <c r="BE14" s="30"/>
      <c r="BF14" s="30"/>
      <c r="BG14" s="30"/>
      <c r="BH14" s="30"/>
      <c r="BI14" s="46">
        <f t="shared" si="11"/>
        <v>0</v>
      </c>
      <c r="BJ14" s="30"/>
      <c r="BK14" s="30"/>
      <c r="BL14" s="30"/>
      <c r="BM14" s="30"/>
      <c r="BN14" s="40">
        <f t="shared" si="12"/>
        <v>0</v>
      </c>
      <c r="BO14" s="30"/>
      <c r="BP14" s="30"/>
      <c r="BQ14" s="30"/>
      <c r="BR14" s="30"/>
      <c r="BS14" s="40">
        <f t="shared" si="13"/>
        <v>0</v>
      </c>
      <c r="BT14" s="30"/>
      <c r="BU14" s="30"/>
      <c r="BV14" s="30"/>
      <c r="BW14" s="30"/>
      <c r="BX14" s="40">
        <f t="shared" si="14"/>
        <v>0</v>
      </c>
      <c r="BY14" s="30"/>
      <c r="BZ14" s="30"/>
      <c r="CA14" s="30"/>
      <c r="CB14" s="30"/>
      <c r="CC14" s="40">
        <f t="shared" si="15"/>
        <v>0</v>
      </c>
      <c r="CD14" s="30"/>
      <c r="CE14" s="30"/>
      <c r="CF14" s="30"/>
      <c r="CG14" s="30"/>
      <c r="CH14" s="40">
        <f t="shared" si="16"/>
        <v>0</v>
      </c>
      <c r="CI14" s="30"/>
      <c r="CJ14" s="30"/>
      <c r="CK14" s="30"/>
      <c r="CL14" s="30"/>
      <c r="CM14" s="40">
        <f t="shared" si="17"/>
        <v>0</v>
      </c>
    </row>
    <row r="15" spans="1:91" ht="76.5">
      <c r="A15" s="45">
        <v>3</v>
      </c>
      <c r="B15" s="50">
        <f t="shared" si="18"/>
        <v>11</v>
      </c>
      <c r="C15" s="51" t="s">
        <v>4591</v>
      </c>
      <c r="D15" s="45" t="s">
        <v>4599</v>
      </c>
      <c r="E15" s="51" t="s">
        <v>4600</v>
      </c>
      <c r="F15" s="45" t="s">
        <v>4601</v>
      </c>
      <c r="G15" s="67" t="s">
        <v>4602</v>
      </c>
      <c r="H15" s="68" t="s">
        <v>4603</v>
      </c>
      <c r="I15" s="52" t="s">
        <v>4604</v>
      </c>
      <c r="J15" s="45" t="s">
        <v>3575</v>
      </c>
      <c r="K15" s="53"/>
      <c r="L15" s="54" t="e">
        <f>INDEX([1]Timeline!$E$10:$E$24,MATCH(A15,[1]Timeline!$C$10:$C$24,0))</f>
        <v>#N/A</v>
      </c>
      <c r="M15" s="55">
        <v>44561</v>
      </c>
      <c r="N15" s="56">
        <v>2000000</v>
      </c>
      <c r="O15" s="57" t="e">
        <f t="shared" si="24"/>
        <v>#N/A</v>
      </c>
      <c r="P15" s="56" t="e">
        <f t="shared" si="0"/>
        <v>#N/A</v>
      </c>
      <c r="Q15" s="56" t="s">
        <v>4170</v>
      </c>
      <c r="R15" s="56">
        <v>1</v>
      </c>
      <c r="S15" s="56"/>
      <c r="T15" s="58">
        <f t="shared" si="19"/>
        <v>2000000</v>
      </c>
      <c r="U15" s="58" t="e">
        <f t="shared" si="20"/>
        <v>#N/A</v>
      </c>
      <c r="V15" s="58" t="e">
        <f t="shared" si="1"/>
        <v>#N/A</v>
      </c>
      <c r="W15" s="45">
        <v>1</v>
      </c>
      <c r="X15" s="59">
        <f t="shared" si="21"/>
        <v>2.5499999999999998</v>
      </c>
      <c r="Y15" s="59">
        <f t="shared" si="22"/>
        <v>3</v>
      </c>
      <c r="Z15" s="60">
        <f t="shared" si="23"/>
        <v>2.1</v>
      </c>
      <c r="AA15" s="45"/>
      <c r="AB15" s="45"/>
      <c r="AC15" s="45"/>
      <c r="AD15" s="45"/>
      <c r="AE15" s="46">
        <f t="shared" si="5"/>
        <v>0</v>
      </c>
      <c r="AF15" s="45">
        <v>3</v>
      </c>
      <c r="AG15" s="45">
        <v>3</v>
      </c>
      <c r="AH15" s="45">
        <v>2</v>
      </c>
      <c r="AI15" s="45">
        <v>4</v>
      </c>
      <c r="AJ15" s="61">
        <f t="shared" si="6"/>
        <v>3</v>
      </c>
      <c r="AK15" s="62">
        <v>3</v>
      </c>
      <c r="AL15" s="45">
        <v>3</v>
      </c>
      <c r="AM15" s="45">
        <v>3</v>
      </c>
      <c r="AN15" s="45">
        <v>1</v>
      </c>
      <c r="AO15" s="63">
        <f t="shared" si="7"/>
        <v>2.5</v>
      </c>
      <c r="AP15" s="64">
        <v>3</v>
      </c>
      <c r="AQ15" s="45">
        <v>2</v>
      </c>
      <c r="AR15" s="45">
        <v>3</v>
      </c>
      <c r="AS15" s="45">
        <v>1</v>
      </c>
      <c r="AT15" s="46">
        <f t="shared" si="8"/>
        <v>2.25</v>
      </c>
      <c r="AU15" s="45">
        <v>4</v>
      </c>
      <c r="AV15" s="45">
        <v>3</v>
      </c>
      <c r="AW15" s="45">
        <v>1</v>
      </c>
      <c r="AX15" s="45">
        <v>2</v>
      </c>
      <c r="AY15" s="46">
        <f t="shared" si="9"/>
        <v>2.5</v>
      </c>
      <c r="AZ15" s="45"/>
      <c r="BA15" s="45"/>
      <c r="BB15" s="45"/>
      <c r="BC15" s="45"/>
      <c r="BD15" s="47">
        <f t="shared" si="10"/>
        <v>0</v>
      </c>
      <c r="BE15" s="45"/>
      <c r="BF15" s="45"/>
      <c r="BG15" s="45"/>
      <c r="BH15" s="45"/>
      <c r="BI15" s="46">
        <f t="shared" si="11"/>
        <v>0</v>
      </c>
      <c r="BJ15" s="45">
        <v>3</v>
      </c>
      <c r="BK15" s="45">
        <v>3</v>
      </c>
      <c r="BL15" s="45">
        <v>2</v>
      </c>
      <c r="BM15" s="45">
        <v>2</v>
      </c>
      <c r="BN15" s="46">
        <f t="shared" si="12"/>
        <v>2.5</v>
      </c>
      <c r="BO15" s="45"/>
      <c r="BP15" s="45"/>
      <c r="BQ15" s="45"/>
      <c r="BR15" s="45"/>
      <c r="BS15" s="46">
        <f t="shared" si="13"/>
        <v>0</v>
      </c>
      <c r="BT15" s="45"/>
      <c r="BU15" s="45"/>
      <c r="BV15" s="45"/>
      <c r="BW15" s="45"/>
      <c r="BX15" s="46">
        <f t="shared" si="14"/>
        <v>0</v>
      </c>
      <c r="BY15" s="45"/>
      <c r="BZ15" s="45"/>
      <c r="CA15" s="45"/>
      <c r="CB15" s="45"/>
      <c r="CC15" s="46">
        <f t="shared" si="15"/>
        <v>0</v>
      </c>
      <c r="CD15" s="45"/>
      <c r="CE15" s="45"/>
      <c r="CF15" s="45"/>
      <c r="CG15" s="45"/>
      <c r="CH15" s="46">
        <f t="shared" si="16"/>
        <v>0</v>
      </c>
      <c r="CI15" s="45"/>
      <c r="CJ15" s="45"/>
      <c r="CK15" s="45"/>
      <c r="CL15" s="45"/>
      <c r="CM15" s="46">
        <f t="shared" si="17"/>
        <v>0</v>
      </c>
    </row>
    <row r="16" spans="1:91" ht="121.5">
      <c r="A16" s="45">
        <v>3</v>
      </c>
      <c r="B16" s="50">
        <f t="shared" si="18"/>
        <v>12</v>
      </c>
      <c r="C16" s="51" t="s">
        <v>3418</v>
      </c>
      <c r="D16" s="45" t="s">
        <v>4605</v>
      </c>
      <c r="E16" s="51" t="s">
        <v>4606</v>
      </c>
      <c r="F16" s="45" t="s">
        <v>4607</v>
      </c>
      <c r="G16" s="45" t="s">
        <v>4608</v>
      </c>
      <c r="H16" s="45" t="s">
        <v>4609</v>
      </c>
      <c r="I16" s="52" t="s">
        <v>4610</v>
      </c>
      <c r="J16" s="45" t="s">
        <v>3575</v>
      </c>
      <c r="K16" s="53"/>
      <c r="L16" s="54" t="e">
        <f>INDEX([1]Timeline!$E$10:$E$24,MATCH(A16,[1]Timeline!$C$10:$C$24,0))</f>
        <v>#N/A</v>
      </c>
      <c r="M16" s="55">
        <v>44561</v>
      </c>
      <c r="N16" s="56">
        <v>683518</v>
      </c>
      <c r="O16" s="57" t="e">
        <f t="shared" si="24"/>
        <v>#N/A</v>
      </c>
      <c r="P16" s="56" t="e">
        <f t="shared" si="0"/>
        <v>#N/A</v>
      </c>
      <c r="Q16" s="56" t="s">
        <v>4611</v>
      </c>
      <c r="R16" s="56">
        <v>1</v>
      </c>
      <c r="S16" s="56"/>
      <c r="T16" s="58">
        <f t="shared" si="19"/>
        <v>683518</v>
      </c>
      <c r="U16" s="58" t="e">
        <f t="shared" si="20"/>
        <v>#N/A</v>
      </c>
      <c r="V16" s="58" t="e">
        <f t="shared" si="1"/>
        <v>#N/A</v>
      </c>
      <c r="W16" s="45">
        <v>1</v>
      </c>
      <c r="X16" s="59">
        <f t="shared" si="21"/>
        <v>2.791666666666667</v>
      </c>
      <c r="Y16" s="59">
        <f t="shared" si="22"/>
        <v>3.3333333333333335</v>
      </c>
      <c r="Z16" s="60">
        <f t="shared" si="23"/>
        <v>2.25</v>
      </c>
      <c r="AA16" s="45">
        <v>2</v>
      </c>
      <c r="AB16" s="45">
        <v>2</v>
      </c>
      <c r="AC16" s="45">
        <v>1</v>
      </c>
      <c r="AD16" s="45">
        <v>2</v>
      </c>
      <c r="AE16" s="46">
        <f t="shared" si="5"/>
        <v>1.75</v>
      </c>
      <c r="AF16" s="45">
        <v>4</v>
      </c>
      <c r="AG16" s="45">
        <v>3</v>
      </c>
      <c r="AH16" s="45">
        <v>2</v>
      </c>
      <c r="AI16" s="45">
        <v>3</v>
      </c>
      <c r="AJ16" s="61">
        <f t="shared" si="6"/>
        <v>3</v>
      </c>
      <c r="AK16" s="62">
        <v>4</v>
      </c>
      <c r="AL16" s="45">
        <v>3</v>
      </c>
      <c r="AM16" s="45">
        <v>2</v>
      </c>
      <c r="AN16" s="45">
        <v>3</v>
      </c>
      <c r="AO16" s="63">
        <f t="shared" si="7"/>
        <v>3</v>
      </c>
      <c r="AP16" s="64">
        <v>4</v>
      </c>
      <c r="AQ16" s="45">
        <v>3</v>
      </c>
      <c r="AR16" s="45">
        <v>3</v>
      </c>
      <c r="AS16" s="45">
        <v>3</v>
      </c>
      <c r="AT16" s="46">
        <f t="shared" si="8"/>
        <v>3.25</v>
      </c>
      <c r="AU16" s="45">
        <v>4</v>
      </c>
      <c r="AV16" s="45">
        <v>4</v>
      </c>
      <c r="AW16" s="45">
        <v>1</v>
      </c>
      <c r="AX16" s="45">
        <v>2</v>
      </c>
      <c r="AY16" s="46">
        <f t="shared" si="9"/>
        <v>2.75</v>
      </c>
      <c r="AZ16" s="45"/>
      <c r="BA16" s="45"/>
      <c r="BB16" s="45"/>
      <c r="BC16" s="45"/>
      <c r="BD16" s="47">
        <f t="shared" si="10"/>
        <v>0</v>
      </c>
      <c r="BE16" s="45"/>
      <c r="BF16" s="45"/>
      <c r="BG16" s="45"/>
      <c r="BH16" s="45"/>
      <c r="BI16" s="46">
        <f t="shared" si="11"/>
        <v>0</v>
      </c>
      <c r="BJ16" s="45">
        <v>4</v>
      </c>
      <c r="BK16" s="45">
        <v>3</v>
      </c>
      <c r="BL16" s="45">
        <v>2</v>
      </c>
      <c r="BM16" s="45">
        <v>3</v>
      </c>
      <c r="BN16" s="46">
        <f t="shared" si="12"/>
        <v>3</v>
      </c>
      <c r="BO16" s="45"/>
      <c r="BP16" s="45"/>
      <c r="BQ16" s="45"/>
      <c r="BR16" s="45"/>
      <c r="BS16" s="46">
        <f t="shared" si="13"/>
        <v>0</v>
      </c>
      <c r="BT16" s="45"/>
      <c r="BU16" s="45"/>
      <c r="BV16" s="45"/>
      <c r="BW16" s="45"/>
      <c r="BX16" s="46">
        <f t="shared" si="14"/>
        <v>0</v>
      </c>
      <c r="BY16" s="45"/>
      <c r="BZ16" s="45"/>
      <c r="CA16" s="45"/>
      <c r="CB16" s="45"/>
      <c r="CC16" s="46">
        <f t="shared" si="15"/>
        <v>0</v>
      </c>
      <c r="CD16" s="45"/>
      <c r="CE16" s="45"/>
      <c r="CF16" s="45"/>
      <c r="CG16" s="45"/>
      <c r="CH16" s="46">
        <f t="shared" si="16"/>
        <v>0</v>
      </c>
      <c r="CI16" s="45"/>
      <c r="CJ16" s="45"/>
      <c r="CK16" s="45"/>
      <c r="CL16" s="45"/>
      <c r="CM16" s="46">
        <f t="shared" si="17"/>
        <v>0</v>
      </c>
    </row>
    <row r="17" spans="1:91" ht="259.5">
      <c r="A17" s="45">
        <v>3</v>
      </c>
      <c r="B17" s="50">
        <f t="shared" si="18"/>
        <v>13</v>
      </c>
      <c r="C17" s="51" t="s">
        <v>4324</v>
      </c>
      <c r="D17" s="45" t="s">
        <v>4612</v>
      </c>
      <c r="E17" s="51" t="s">
        <v>4613</v>
      </c>
      <c r="F17" s="45" t="s">
        <v>4614</v>
      </c>
      <c r="G17" s="45" t="s">
        <v>4615</v>
      </c>
      <c r="H17" s="45" t="s">
        <v>4616</v>
      </c>
      <c r="I17" s="52" t="s">
        <v>4617</v>
      </c>
      <c r="J17" s="45" t="s">
        <v>3575</v>
      </c>
      <c r="K17" s="53"/>
      <c r="L17" s="54" t="e">
        <f>INDEX([1]Timeline!$E$10:$E$24,MATCH(A17,[1]Timeline!$C$10:$C$24,0))</f>
        <v>#N/A</v>
      </c>
      <c r="M17" s="55">
        <v>44561</v>
      </c>
      <c r="N17" s="56">
        <v>278100</v>
      </c>
      <c r="O17" s="57" t="e">
        <f t="shared" si="24"/>
        <v>#N/A</v>
      </c>
      <c r="P17" s="56" t="e">
        <f t="shared" si="0"/>
        <v>#N/A</v>
      </c>
      <c r="Q17" s="56" t="s">
        <v>4618</v>
      </c>
      <c r="R17" s="56">
        <v>1</v>
      </c>
      <c r="S17" s="56"/>
      <c r="T17" s="58">
        <f t="shared" si="19"/>
        <v>278100</v>
      </c>
      <c r="U17" s="58" t="e">
        <f t="shared" si="20"/>
        <v>#N/A</v>
      </c>
      <c r="V17" s="58" t="e">
        <f t="shared" si="1"/>
        <v>#N/A</v>
      </c>
      <c r="W17" s="45">
        <v>1</v>
      </c>
      <c r="X17" s="59">
        <f t="shared" si="21"/>
        <v>2.958333333333333</v>
      </c>
      <c r="Y17" s="59">
        <f t="shared" si="22"/>
        <v>3.4166666666666665</v>
      </c>
      <c r="Z17" s="60">
        <f t="shared" si="23"/>
        <v>2.5</v>
      </c>
      <c r="AA17" s="45">
        <v>4</v>
      </c>
      <c r="AB17" s="45">
        <v>3</v>
      </c>
      <c r="AC17" s="45">
        <v>2</v>
      </c>
      <c r="AD17" s="45">
        <v>2</v>
      </c>
      <c r="AE17" s="46">
        <f t="shared" si="5"/>
        <v>2.75</v>
      </c>
      <c r="AF17" s="45">
        <v>4</v>
      </c>
      <c r="AG17" s="45">
        <v>4</v>
      </c>
      <c r="AH17" s="45">
        <v>4</v>
      </c>
      <c r="AI17" s="45">
        <v>1</v>
      </c>
      <c r="AJ17" s="61">
        <f t="shared" si="6"/>
        <v>3.25</v>
      </c>
      <c r="AK17" s="62">
        <v>3</v>
      </c>
      <c r="AL17" s="45">
        <v>3</v>
      </c>
      <c r="AM17" s="45">
        <v>3</v>
      </c>
      <c r="AN17" s="45">
        <v>3</v>
      </c>
      <c r="AO17" s="63">
        <f t="shared" si="7"/>
        <v>3</v>
      </c>
      <c r="AP17" s="64">
        <v>3</v>
      </c>
      <c r="AQ17" s="45">
        <v>2</v>
      </c>
      <c r="AR17" s="45">
        <v>3</v>
      </c>
      <c r="AS17" s="45">
        <v>3</v>
      </c>
      <c r="AT17" s="46">
        <f t="shared" si="8"/>
        <v>2.75</v>
      </c>
      <c r="AU17" s="45">
        <v>4</v>
      </c>
      <c r="AV17" s="45">
        <v>4</v>
      </c>
      <c r="AW17" s="45">
        <v>2</v>
      </c>
      <c r="AX17" s="45">
        <v>2</v>
      </c>
      <c r="AY17" s="46">
        <f t="shared" si="9"/>
        <v>3</v>
      </c>
      <c r="AZ17" s="45"/>
      <c r="BA17" s="45"/>
      <c r="BB17" s="45"/>
      <c r="BC17" s="45"/>
      <c r="BD17" s="47">
        <f t="shared" si="10"/>
        <v>0</v>
      </c>
      <c r="BE17" s="45"/>
      <c r="BF17" s="45"/>
      <c r="BG17" s="45"/>
      <c r="BH17" s="45"/>
      <c r="BI17" s="46">
        <f t="shared" si="11"/>
        <v>0</v>
      </c>
      <c r="BJ17" s="45">
        <v>4</v>
      </c>
      <c r="BK17" s="45">
        <v>3</v>
      </c>
      <c r="BL17" s="45">
        <v>3</v>
      </c>
      <c r="BM17" s="45">
        <v>2</v>
      </c>
      <c r="BN17" s="46">
        <f t="shared" si="12"/>
        <v>3</v>
      </c>
      <c r="BO17" s="45"/>
      <c r="BP17" s="45"/>
      <c r="BQ17" s="45"/>
      <c r="BR17" s="45"/>
      <c r="BS17" s="46">
        <f t="shared" si="13"/>
        <v>0</v>
      </c>
      <c r="BT17" s="45"/>
      <c r="BU17" s="45"/>
      <c r="BV17" s="45"/>
      <c r="BW17" s="45"/>
      <c r="BX17" s="46">
        <f t="shared" si="14"/>
        <v>0</v>
      </c>
      <c r="BY17" s="45"/>
      <c r="BZ17" s="45"/>
      <c r="CA17" s="45"/>
      <c r="CB17" s="45"/>
      <c r="CC17" s="46">
        <f t="shared" si="15"/>
        <v>0</v>
      </c>
      <c r="CD17" s="45"/>
      <c r="CE17" s="45"/>
      <c r="CF17" s="45"/>
      <c r="CG17" s="45"/>
      <c r="CH17" s="46">
        <f t="shared" si="16"/>
        <v>0</v>
      </c>
      <c r="CI17" s="45"/>
      <c r="CJ17" s="45"/>
      <c r="CK17" s="45"/>
      <c r="CL17" s="45"/>
      <c r="CM17" s="46">
        <f t="shared" si="17"/>
        <v>0</v>
      </c>
    </row>
    <row r="18" spans="1:91" ht="121.5">
      <c r="A18" s="45">
        <v>3</v>
      </c>
      <c r="B18" s="50">
        <f t="shared" si="18"/>
        <v>14</v>
      </c>
      <c r="C18" s="51" t="s">
        <v>2773</v>
      </c>
      <c r="D18" s="45" t="s">
        <v>4619</v>
      </c>
      <c r="E18" s="51" t="s">
        <v>4620</v>
      </c>
      <c r="F18" s="45" t="s">
        <v>4621</v>
      </c>
      <c r="G18" s="45" t="s">
        <v>4622</v>
      </c>
      <c r="H18" s="45" t="s">
        <v>4623</v>
      </c>
      <c r="I18" s="69" t="s">
        <v>4624</v>
      </c>
      <c r="J18" s="45" t="s">
        <v>3575</v>
      </c>
      <c r="K18" s="53"/>
      <c r="L18" s="54" t="e">
        <f>INDEX([1]Timeline!$E$10:$E$24,MATCH(A18,[1]Timeline!$C$10:$C$24,0))</f>
        <v>#N/A</v>
      </c>
      <c r="M18" s="55">
        <v>44561</v>
      </c>
      <c r="N18" s="57">
        <v>389583</v>
      </c>
      <c r="O18" s="57" t="e">
        <f t="shared" si="24"/>
        <v>#N/A</v>
      </c>
      <c r="P18" s="57" t="e">
        <f t="shared" si="0"/>
        <v>#N/A</v>
      </c>
      <c r="Q18" s="57" t="s">
        <v>2773</v>
      </c>
      <c r="R18" s="57">
        <v>1</v>
      </c>
      <c r="S18" s="57">
        <v>1</v>
      </c>
      <c r="T18" s="58">
        <f t="shared" si="19"/>
        <v>389583</v>
      </c>
      <c r="U18" s="58" t="e">
        <f t="shared" si="20"/>
        <v>#N/A</v>
      </c>
      <c r="V18" s="58" t="e">
        <f t="shared" si="1"/>
        <v>#N/A</v>
      </c>
      <c r="W18" s="45">
        <v>1</v>
      </c>
      <c r="X18" s="60">
        <f t="shared" si="21"/>
        <v>2.4583333333333335</v>
      </c>
      <c r="Y18" s="59">
        <f t="shared" si="22"/>
        <v>3.8333333333333335</v>
      </c>
      <c r="Z18" s="60">
        <f t="shared" si="23"/>
        <v>1.0833333333333333</v>
      </c>
      <c r="AA18" s="45">
        <v>4</v>
      </c>
      <c r="AB18" s="45">
        <v>4</v>
      </c>
      <c r="AC18" s="45">
        <v>1</v>
      </c>
      <c r="AD18" s="45">
        <v>1</v>
      </c>
      <c r="AE18" s="47">
        <f t="shared" si="5"/>
        <v>2.5</v>
      </c>
      <c r="AF18" s="45">
        <v>4</v>
      </c>
      <c r="AG18" s="45">
        <v>4</v>
      </c>
      <c r="AH18" s="45">
        <v>1</v>
      </c>
      <c r="AI18" s="45">
        <v>1</v>
      </c>
      <c r="AJ18" s="70">
        <f t="shared" si="6"/>
        <v>2.5</v>
      </c>
      <c r="AK18" s="62">
        <v>4</v>
      </c>
      <c r="AL18" s="45">
        <v>3</v>
      </c>
      <c r="AM18" s="45">
        <v>1</v>
      </c>
      <c r="AN18" s="45">
        <v>1</v>
      </c>
      <c r="AO18" s="71">
        <f t="shared" si="7"/>
        <v>2.25</v>
      </c>
      <c r="AP18" s="64">
        <v>4</v>
      </c>
      <c r="AQ18" s="45">
        <v>3</v>
      </c>
      <c r="AR18" s="45">
        <v>1</v>
      </c>
      <c r="AS18" s="45">
        <v>1</v>
      </c>
      <c r="AT18" s="47">
        <f t="shared" si="8"/>
        <v>2.25</v>
      </c>
      <c r="AU18" s="45">
        <v>4</v>
      </c>
      <c r="AV18" s="45">
        <v>4</v>
      </c>
      <c r="AW18" s="45">
        <v>1</v>
      </c>
      <c r="AX18" s="45">
        <v>2</v>
      </c>
      <c r="AY18" s="47">
        <f t="shared" si="9"/>
        <v>2.75</v>
      </c>
      <c r="AZ18" s="45"/>
      <c r="BA18" s="45"/>
      <c r="BB18" s="45"/>
      <c r="BC18" s="45"/>
      <c r="BD18" s="47">
        <f t="shared" si="10"/>
        <v>0</v>
      </c>
      <c r="BE18" s="45"/>
      <c r="BF18" s="45"/>
      <c r="BG18" s="45"/>
      <c r="BH18" s="45"/>
      <c r="BI18" s="46">
        <f t="shared" si="11"/>
        <v>0</v>
      </c>
      <c r="BJ18" s="45">
        <v>4</v>
      </c>
      <c r="BK18" s="45">
        <v>4</v>
      </c>
      <c r="BL18" s="45">
        <v>1</v>
      </c>
      <c r="BM18" s="45">
        <v>1</v>
      </c>
      <c r="BN18" s="47">
        <f t="shared" si="12"/>
        <v>2.5</v>
      </c>
      <c r="BO18" s="45"/>
      <c r="BP18" s="45"/>
      <c r="BQ18" s="45"/>
      <c r="BR18" s="45"/>
      <c r="BS18" s="47">
        <f t="shared" si="13"/>
        <v>0</v>
      </c>
      <c r="BT18" s="45"/>
      <c r="BU18" s="45"/>
      <c r="BV18" s="45"/>
      <c r="BW18" s="45"/>
      <c r="BX18" s="47">
        <f t="shared" si="14"/>
        <v>0</v>
      </c>
      <c r="BY18" s="45"/>
      <c r="BZ18" s="45"/>
      <c r="CA18" s="45"/>
      <c r="CB18" s="45"/>
      <c r="CC18" s="47">
        <f t="shared" si="15"/>
        <v>0</v>
      </c>
      <c r="CD18" s="45"/>
      <c r="CE18" s="45"/>
      <c r="CF18" s="45"/>
      <c r="CG18" s="45"/>
      <c r="CH18" s="47">
        <f t="shared" si="16"/>
        <v>0</v>
      </c>
      <c r="CI18" s="45"/>
      <c r="CJ18" s="45"/>
      <c r="CK18" s="45"/>
      <c r="CL18" s="45"/>
      <c r="CM18" s="47">
        <f t="shared" si="17"/>
        <v>0</v>
      </c>
    </row>
    <row r="19" spans="1:91" ht="137.25">
      <c r="A19" s="45">
        <v>3</v>
      </c>
      <c r="B19" s="50">
        <f t="shared" si="18"/>
        <v>15</v>
      </c>
      <c r="C19" s="51" t="s">
        <v>2773</v>
      </c>
      <c r="D19" s="45" t="s">
        <v>4625</v>
      </c>
      <c r="E19" s="51" t="s">
        <v>4626</v>
      </c>
      <c r="F19" s="45" t="s">
        <v>4627</v>
      </c>
      <c r="G19" s="45" t="s">
        <v>4628</v>
      </c>
      <c r="H19" s="45" t="s">
        <v>4629</v>
      </c>
      <c r="I19" s="69" t="s">
        <v>4630</v>
      </c>
      <c r="J19" s="45" t="s">
        <v>3575</v>
      </c>
      <c r="K19" s="53"/>
      <c r="L19" s="54" t="e">
        <f>INDEX([1]Timeline!$E$10:$E$24,MATCH(A19,[1]Timeline!$C$10:$C$24,0))</f>
        <v>#N/A</v>
      </c>
      <c r="M19" s="55">
        <v>44561</v>
      </c>
      <c r="N19" s="57">
        <v>600000</v>
      </c>
      <c r="O19" s="57" t="e">
        <f t="shared" si="24"/>
        <v>#N/A</v>
      </c>
      <c r="P19" s="57" t="e">
        <f t="shared" si="0"/>
        <v>#N/A</v>
      </c>
      <c r="Q19" s="57" t="s">
        <v>2773</v>
      </c>
      <c r="R19" s="57">
        <v>1</v>
      </c>
      <c r="S19" s="57"/>
      <c r="T19" s="58">
        <f t="shared" si="19"/>
        <v>600000</v>
      </c>
      <c r="U19" s="58" t="e">
        <f t="shared" si="20"/>
        <v>#N/A</v>
      </c>
      <c r="V19" s="58" t="e">
        <f t="shared" si="1"/>
        <v>#N/A</v>
      </c>
      <c r="W19" s="45">
        <v>1</v>
      </c>
      <c r="X19" s="60">
        <f t="shared" si="21"/>
        <v>2.25</v>
      </c>
      <c r="Y19" s="59">
        <f t="shared" si="22"/>
        <v>3.0833333333333335</v>
      </c>
      <c r="Z19" s="60">
        <f t="shared" si="23"/>
        <v>1.4166666666666667</v>
      </c>
      <c r="AA19" s="45">
        <v>3</v>
      </c>
      <c r="AB19" s="45">
        <v>3</v>
      </c>
      <c r="AC19" s="45">
        <v>1</v>
      </c>
      <c r="AD19" s="45">
        <v>2</v>
      </c>
      <c r="AE19" s="47">
        <f>IFERROR(SUM(AA19:AD19)/4,0)</f>
        <v>2.25</v>
      </c>
      <c r="AF19" s="45">
        <v>3</v>
      </c>
      <c r="AG19" s="45">
        <v>3</v>
      </c>
      <c r="AH19" s="45">
        <v>1</v>
      </c>
      <c r="AI19" s="45">
        <v>2</v>
      </c>
      <c r="AJ19" s="70">
        <f t="shared" si="6"/>
        <v>2.25</v>
      </c>
      <c r="AK19" s="62">
        <v>3</v>
      </c>
      <c r="AL19" s="45">
        <v>3</v>
      </c>
      <c r="AM19" s="45">
        <v>1</v>
      </c>
      <c r="AN19" s="45">
        <v>2</v>
      </c>
      <c r="AO19" s="71">
        <f t="shared" si="7"/>
        <v>2.25</v>
      </c>
      <c r="AP19" s="64">
        <v>3</v>
      </c>
      <c r="AQ19" s="45">
        <v>3</v>
      </c>
      <c r="AR19" s="45">
        <v>1</v>
      </c>
      <c r="AS19" s="45">
        <v>1</v>
      </c>
      <c r="AT19" s="47">
        <f t="shared" si="8"/>
        <v>2</v>
      </c>
      <c r="AU19" s="45">
        <v>4</v>
      </c>
      <c r="AV19" s="45">
        <v>3</v>
      </c>
      <c r="AW19" s="45">
        <v>1</v>
      </c>
      <c r="AX19" s="45">
        <v>2</v>
      </c>
      <c r="AY19" s="47">
        <f t="shared" si="9"/>
        <v>2.5</v>
      </c>
      <c r="AZ19" s="45"/>
      <c r="BA19" s="45"/>
      <c r="BB19" s="45"/>
      <c r="BC19" s="45"/>
      <c r="BD19" s="47">
        <f t="shared" si="10"/>
        <v>0</v>
      </c>
      <c r="BE19" s="45"/>
      <c r="BF19" s="45"/>
      <c r="BG19" s="45"/>
      <c r="BH19" s="45"/>
      <c r="BI19" s="46">
        <f t="shared" si="11"/>
        <v>0</v>
      </c>
      <c r="BJ19" s="45">
        <v>3</v>
      </c>
      <c r="BK19" s="45">
        <v>3</v>
      </c>
      <c r="BL19" s="45">
        <v>1</v>
      </c>
      <c r="BM19" s="45">
        <v>2</v>
      </c>
      <c r="BN19" s="47">
        <f t="shared" si="12"/>
        <v>2.25</v>
      </c>
      <c r="BO19" s="45"/>
      <c r="BP19" s="45"/>
      <c r="BQ19" s="45"/>
      <c r="BR19" s="45"/>
      <c r="BS19" s="47">
        <f t="shared" si="13"/>
        <v>0</v>
      </c>
      <c r="BT19" s="45"/>
      <c r="BU19" s="45"/>
      <c r="BV19" s="45"/>
      <c r="BW19" s="45"/>
      <c r="BX19" s="47">
        <f t="shared" si="14"/>
        <v>0</v>
      </c>
      <c r="BY19" s="45"/>
      <c r="BZ19" s="45"/>
      <c r="CA19" s="45"/>
      <c r="CB19" s="45"/>
      <c r="CC19" s="47">
        <f t="shared" si="15"/>
        <v>0</v>
      </c>
      <c r="CD19" s="45"/>
      <c r="CE19" s="45"/>
      <c r="CF19" s="45"/>
      <c r="CG19" s="45"/>
      <c r="CH19" s="47">
        <f t="shared" si="16"/>
        <v>0</v>
      </c>
      <c r="CI19" s="45"/>
      <c r="CJ19" s="45"/>
      <c r="CK19" s="45"/>
      <c r="CL19" s="45"/>
      <c r="CM19" s="47">
        <f t="shared" si="17"/>
        <v>0</v>
      </c>
    </row>
    <row r="20" spans="1:91" ht="183">
      <c r="A20" s="45">
        <v>3</v>
      </c>
      <c r="B20" s="50">
        <f t="shared" si="18"/>
        <v>16</v>
      </c>
      <c r="C20" s="51" t="s">
        <v>4631</v>
      </c>
      <c r="D20" s="45" t="s">
        <v>4632</v>
      </c>
      <c r="E20" s="51" t="s">
        <v>4633</v>
      </c>
      <c r="F20" s="45" t="s">
        <v>4634</v>
      </c>
      <c r="G20" s="45" t="s">
        <v>4635</v>
      </c>
      <c r="H20" s="45" t="s">
        <v>4636</v>
      </c>
      <c r="I20" s="69" t="s">
        <v>4637</v>
      </c>
      <c r="J20" s="45" t="s">
        <v>3575</v>
      </c>
      <c r="K20" s="53"/>
      <c r="L20" s="54" t="e">
        <f>INDEX([1]Timeline!$E$10:$E$24,MATCH(A20,[1]Timeline!$C$10:$C$24,0))</f>
        <v>#N/A</v>
      </c>
      <c r="M20" s="55">
        <v>44561</v>
      </c>
      <c r="N20" s="57">
        <v>864000</v>
      </c>
      <c r="O20" s="57" t="e">
        <f t="shared" si="24"/>
        <v>#N/A</v>
      </c>
      <c r="P20" s="57" t="e">
        <f t="shared" si="0"/>
        <v>#N/A</v>
      </c>
      <c r="Q20" s="57" t="s">
        <v>3900</v>
      </c>
      <c r="R20" s="57">
        <v>1</v>
      </c>
      <c r="S20" s="57">
        <v>1</v>
      </c>
      <c r="T20" s="58">
        <f t="shared" si="19"/>
        <v>864000</v>
      </c>
      <c r="U20" s="58" t="e">
        <f t="shared" si="20"/>
        <v>#N/A</v>
      </c>
      <c r="V20" s="58" t="e">
        <f t="shared" si="1"/>
        <v>#N/A</v>
      </c>
      <c r="W20" s="45">
        <v>1</v>
      </c>
      <c r="X20" s="60">
        <f t="shared" si="21"/>
        <v>3.083333333333333</v>
      </c>
      <c r="Y20" s="59">
        <f t="shared" si="22"/>
        <v>3.9166666666666665</v>
      </c>
      <c r="Z20" s="60">
        <f t="shared" si="23"/>
        <v>2.25</v>
      </c>
      <c r="AA20" s="45">
        <v>4</v>
      </c>
      <c r="AB20" s="45">
        <v>4</v>
      </c>
      <c r="AC20" s="45">
        <v>2</v>
      </c>
      <c r="AD20" s="45">
        <v>2</v>
      </c>
      <c r="AE20" s="47">
        <f t="shared" si="5"/>
        <v>3</v>
      </c>
      <c r="AF20" s="45">
        <v>4</v>
      </c>
      <c r="AG20" s="45">
        <v>4</v>
      </c>
      <c r="AH20" s="45">
        <v>2</v>
      </c>
      <c r="AI20" s="45">
        <v>2</v>
      </c>
      <c r="AJ20" s="70">
        <f t="shared" si="6"/>
        <v>3</v>
      </c>
      <c r="AK20" s="62">
        <v>4</v>
      </c>
      <c r="AL20" s="45">
        <v>3</v>
      </c>
      <c r="AM20" s="45">
        <v>2</v>
      </c>
      <c r="AN20" s="45">
        <v>2</v>
      </c>
      <c r="AO20" s="71">
        <f t="shared" si="7"/>
        <v>2.75</v>
      </c>
      <c r="AP20" s="64">
        <v>4</v>
      </c>
      <c r="AQ20" s="45">
        <v>4</v>
      </c>
      <c r="AR20" s="45">
        <v>1</v>
      </c>
      <c r="AS20" s="45">
        <v>3</v>
      </c>
      <c r="AT20" s="47">
        <f t="shared" si="8"/>
        <v>3</v>
      </c>
      <c r="AU20" s="45">
        <v>4</v>
      </c>
      <c r="AV20" s="45">
        <v>4</v>
      </c>
      <c r="AW20" s="45">
        <v>2</v>
      </c>
      <c r="AX20" s="45">
        <v>4</v>
      </c>
      <c r="AY20" s="47">
        <f t="shared" si="9"/>
        <v>3.5</v>
      </c>
      <c r="AZ20" s="45"/>
      <c r="BA20" s="45"/>
      <c r="BB20" s="45"/>
      <c r="BC20" s="45"/>
      <c r="BD20" s="47">
        <f t="shared" si="10"/>
        <v>0</v>
      </c>
      <c r="BE20" s="45"/>
      <c r="BF20" s="45"/>
      <c r="BG20" s="45"/>
      <c r="BH20" s="45"/>
      <c r="BI20" s="46">
        <f t="shared" si="11"/>
        <v>0</v>
      </c>
      <c r="BJ20" s="45">
        <v>4</v>
      </c>
      <c r="BK20" s="45">
        <v>4</v>
      </c>
      <c r="BL20" s="45">
        <v>2</v>
      </c>
      <c r="BM20" s="45">
        <v>3</v>
      </c>
      <c r="BN20" s="47">
        <f t="shared" si="12"/>
        <v>3.25</v>
      </c>
      <c r="BO20" s="45"/>
      <c r="BP20" s="45"/>
      <c r="BQ20" s="45"/>
      <c r="BR20" s="45"/>
      <c r="BS20" s="47">
        <f t="shared" si="13"/>
        <v>0</v>
      </c>
      <c r="BT20" s="45"/>
      <c r="BU20" s="45"/>
      <c r="BV20" s="45"/>
      <c r="BW20" s="45"/>
      <c r="BX20" s="47">
        <f t="shared" si="14"/>
        <v>0</v>
      </c>
      <c r="BY20" s="45"/>
      <c r="BZ20" s="45"/>
      <c r="CA20" s="45"/>
      <c r="CB20" s="45"/>
      <c r="CC20" s="47">
        <f t="shared" si="15"/>
        <v>0</v>
      </c>
      <c r="CD20" s="45"/>
      <c r="CE20" s="45"/>
      <c r="CF20" s="45"/>
      <c r="CG20" s="45"/>
      <c r="CH20" s="47">
        <f t="shared" si="16"/>
        <v>0</v>
      </c>
      <c r="CI20" s="45"/>
      <c r="CJ20" s="45"/>
      <c r="CK20" s="45"/>
      <c r="CL20" s="45"/>
      <c r="CM20" s="47">
        <f t="shared" si="17"/>
        <v>0</v>
      </c>
    </row>
    <row r="21" spans="1:91" ht="213">
      <c r="A21" s="45">
        <v>3</v>
      </c>
      <c r="B21" s="50">
        <f t="shared" si="18"/>
        <v>17</v>
      </c>
      <c r="C21" s="51" t="s">
        <v>2773</v>
      </c>
      <c r="D21" s="45" t="s">
        <v>4638</v>
      </c>
      <c r="E21" s="51" t="s">
        <v>4639</v>
      </c>
      <c r="F21" s="45" t="s">
        <v>4640</v>
      </c>
      <c r="G21" s="45" t="s">
        <v>4641</v>
      </c>
      <c r="H21" s="45" t="s">
        <v>4642</v>
      </c>
      <c r="I21" s="69" t="s">
        <v>4643</v>
      </c>
      <c r="J21" s="45" t="s">
        <v>3575</v>
      </c>
      <c r="K21" s="53"/>
      <c r="L21" s="54" t="e">
        <f>INDEX([1]Timeline!$E$10:$E$24,MATCH(A21,[1]Timeline!$C$10:$C$24,0))</f>
        <v>#N/A</v>
      </c>
      <c r="M21" s="55">
        <v>44561</v>
      </c>
      <c r="N21" s="57">
        <v>739200</v>
      </c>
      <c r="O21" s="57" t="e">
        <f t="shared" si="24"/>
        <v>#N/A</v>
      </c>
      <c r="P21" s="57" t="e">
        <f t="shared" si="0"/>
        <v>#N/A</v>
      </c>
      <c r="Q21" s="57" t="s">
        <v>2773</v>
      </c>
      <c r="R21" s="57">
        <v>1</v>
      </c>
      <c r="S21" s="57">
        <v>1</v>
      </c>
      <c r="T21" s="58">
        <f t="shared" si="19"/>
        <v>739200</v>
      </c>
      <c r="U21" s="58" t="e">
        <f t="shared" si="20"/>
        <v>#N/A</v>
      </c>
      <c r="V21" s="58" t="e">
        <f t="shared" si="1"/>
        <v>#N/A</v>
      </c>
      <c r="W21" s="45">
        <v>1</v>
      </c>
      <c r="X21" s="60">
        <f t="shared" si="21"/>
        <v>2.5833333333333335</v>
      </c>
      <c r="Y21" s="59">
        <f t="shared" si="22"/>
        <v>4</v>
      </c>
      <c r="Z21" s="60">
        <f t="shared" si="23"/>
        <v>1.1666666666666667</v>
      </c>
      <c r="AA21" s="45">
        <v>4</v>
      </c>
      <c r="AB21" s="45">
        <v>4</v>
      </c>
      <c r="AC21" s="45">
        <v>1</v>
      </c>
      <c r="AD21" s="45">
        <v>1</v>
      </c>
      <c r="AE21" s="47">
        <f t="shared" si="5"/>
        <v>2.5</v>
      </c>
      <c r="AF21" s="45">
        <v>4</v>
      </c>
      <c r="AG21" s="45">
        <v>4</v>
      </c>
      <c r="AH21" s="45">
        <v>1</v>
      </c>
      <c r="AI21" s="45">
        <v>1</v>
      </c>
      <c r="AJ21" s="70">
        <f t="shared" si="6"/>
        <v>2.5</v>
      </c>
      <c r="AK21" s="62">
        <v>4</v>
      </c>
      <c r="AL21" s="45">
        <v>4</v>
      </c>
      <c r="AM21" s="45">
        <v>1</v>
      </c>
      <c r="AN21" s="45">
        <v>1</v>
      </c>
      <c r="AO21" s="71">
        <f t="shared" si="7"/>
        <v>2.5</v>
      </c>
      <c r="AP21" s="64">
        <v>4</v>
      </c>
      <c r="AQ21" s="45">
        <v>4</v>
      </c>
      <c r="AR21" s="45">
        <v>2</v>
      </c>
      <c r="AS21" s="45">
        <v>1</v>
      </c>
      <c r="AT21" s="47">
        <f t="shared" si="8"/>
        <v>2.75</v>
      </c>
      <c r="AU21" s="45">
        <v>4</v>
      </c>
      <c r="AV21" s="45">
        <v>4</v>
      </c>
      <c r="AW21" s="45">
        <v>1</v>
      </c>
      <c r="AX21" s="45">
        <v>2</v>
      </c>
      <c r="AY21" s="47">
        <f t="shared" si="9"/>
        <v>2.75</v>
      </c>
      <c r="AZ21" s="45"/>
      <c r="BA21" s="45"/>
      <c r="BB21" s="45"/>
      <c r="BC21" s="45"/>
      <c r="BD21" s="47">
        <f t="shared" si="10"/>
        <v>0</v>
      </c>
      <c r="BE21" s="45"/>
      <c r="BF21" s="45"/>
      <c r="BG21" s="45"/>
      <c r="BH21" s="45"/>
      <c r="BI21" s="46">
        <f t="shared" si="11"/>
        <v>0</v>
      </c>
      <c r="BJ21" s="45">
        <v>4</v>
      </c>
      <c r="BK21" s="45">
        <v>4</v>
      </c>
      <c r="BL21" s="45">
        <v>1</v>
      </c>
      <c r="BM21" s="45">
        <v>1</v>
      </c>
      <c r="BN21" s="47">
        <f t="shared" si="12"/>
        <v>2.5</v>
      </c>
      <c r="BO21" s="45"/>
      <c r="BP21" s="45"/>
      <c r="BQ21" s="45"/>
      <c r="BR21" s="45"/>
      <c r="BS21" s="47">
        <f t="shared" si="13"/>
        <v>0</v>
      </c>
      <c r="BT21" s="45"/>
      <c r="BU21" s="45"/>
      <c r="BV21" s="45"/>
      <c r="BW21" s="45"/>
      <c r="BX21" s="47">
        <f t="shared" si="14"/>
        <v>0</v>
      </c>
      <c r="BY21" s="45"/>
      <c r="BZ21" s="45"/>
      <c r="CA21" s="45"/>
      <c r="CB21" s="45"/>
      <c r="CC21" s="47">
        <f t="shared" si="15"/>
        <v>0</v>
      </c>
      <c r="CD21" s="45"/>
      <c r="CE21" s="45"/>
      <c r="CF21" s="45"/>
      <c r="CG21" s="45"/>
      <c r="CH21" s="47">
        <f t="shared" si="16"/>
        <v>0</v>
      </c>
      <c r="CI21" s="45"/>
      <c r="CJ21" s="45"/>
      <c r="CK21" s="45"/>
      <c r="CL21" s="45"/>
      <c r="CM21" s="47">
        <f t="shared" si="17"/>
        <v>0</v>
      </c>
    </row>
    <row r="22" spans="1:91" ht="300" customHeight="1">
      <c r="A22" s="45">
        <v>4</v>
      </c>
      <c r="B22" s="50">
        <f t="shared" si="18"/>
        <v>18</v>
      </c>
      <c r="C22" s="51" t="s">
        <v>3457</v>
      </c>
      <c r="D22" s="45" t="s">
        <v>2841</v>
      </c>
      <c r="E22" s="51" t="s">
        <v>4644</v>
      </c>
      <c r="F22" s="45" t="s">
        <v>4645</v>
      </c>
      <c r="G22" s="45" t="s">
        <v>4646</v>
      </c>
      <c r="H22" s="45" t="s">
        <v>4647</v>
      </c>
      <c r="I22" s="52" t="s">
        <v>4648</v>
      </c>
      <c r="J22" s="45" t="s">
        <v>3575</v>
      </c>
      <c r="K22" s="53"/>
      <c r="L22" s="54" t="e">
        <f>INDEX([1]Timeline!$E$10:$E$24,MATCH(A22,[1]Timeline!$C$10:$C$24,0))</f>
        <v>#N/A</v>
      </c>
      <c r="M22" s="55">
        <v>44561</v>
      </c>
      <c r="N22" s="56">
        <v>59040</v>
      </c>
      <c r="O22" s="57" t="e">
        <f t="shared" si="24"/>
        <v>#N/A</v>
      </c>
      <c r="P22" s="56" t="e">
        <f t="shared" si="0"/>
        <v>#N/A</v>
      </c>
      <c r="Q22" s="56" t="s">
        <v>2841</v>
      </c>
      <c r="R22" s="56">
        <v>1</v>
      </c>
      <c r="S22" s="56">
        <v>1</v>
      </c>
      <c r="T22" s="58">
        <f t="shared" si="19"/>
        <v>59040</v>
      </c>
      <c r="U22" s="58" t="e">
        <f t="shared" si="20"/>
        <v>#N/A</v>
      </c>
      <c r="V22" s="58" t="e">
        <f t="shared" si="1"/>
        <v>#N/A</v>
      </c>
      <c r="W22" s="45">
        <v>1</v>
      </c>
      <c r="X22" s="59">
        <f t="shared" si="21"/>
        <v>2.6785714285714284</v>
      </c>
      <c r="Y22" s="59">
        <f t="shared" si="22"/>
        <v>3.9285714285714284</v>
      </c>
      <c r="Z22" s="60">
        <f t="shared" si="23"/>
        <v>1.4285714285714286</v>
      </c>
      <c r="AA22" s="45">
        <v>4</v>
      </c>
      <c r="AB22" s="45">
        <v>4</v>
      </c>
      <c r="AC22" s="45">
        <v>1</v>
      </c>
      <c r="AD22" s="45">
        <v>2</v>
      </c>
      <c r="AE22" s="46">
        <f t="shared" si="5"/>
        <v>2.75</v>
      </c>
      <c r="AF22" s="72">
        <v>4</v>
      </c>
      <c r="AG22" s="45">
        <v>4</v>
      </c>
      <c r="AH22" s="45">
        <v>1</v>
      </c>
      <c r="AI22" s="45">
        <v>2</v>
      </c>
      <c r="AJ22" s="61">
        <f t="shared" si="6"/>
        <v>2.75</v>
      </c>
      <c r="AK22" s="73">
        <v>4</v>
      </c>
      <c r="AL22" s="45">
        <v>4</v>
      </c>
      <c r="AM22" s="45">
        <v>1</v>
      </c>
      <c r="AN22" s="45">
        <v>2</v>
      </c>
      <c r="AO22" s="63">
        <f t="shared" si="7"/>
        <v>2.75</v>
      </c>
      <c r="AP22" s="64">
        <v>4</v>
      </c>
      <c r="AQ22" s="45">
        <v>3</v>
      </c>
      <c r="AR22" s="45">
        <v>1</v>
      </c>
      <c r="AS22" s="45">
        <v>1</v>
      </c>
      <c r="AT22" s="46">
        <f t="shared" si="8"/>
        <v>2.25</v>
      </c>
      <c r="AU22" s="45">
        <v>4</v>
      </c>
      <c r="AV22" s="45">
        <v>4</v>
      </c>
      <c r="AW22" s="45">
        <v>1</v>
      </c>
      <c r="AX22" s="45">
        <v>2</v>
      </c>
      <c r="AY22" s="46">
        <f t="shared" si="9"/>
        <v>2.75</v>
      </c>
      <c r="AZ22" s="45">
        <v>4</v>
      </c>
      <c r="BA22" s="45">
        <v>4</v>
      </c>
      <c r="BB22" s="45">
        <v>1</v>
      </c>
      <c r="BC22" s="45">
        <v>2</v>
      </c>
      <c r="BD22" s="47">
        <f t="shared" si="10"/>
        <v>2.75</v>
      </c>
      <c r="BE22" s="45"/>
      <c r="BF22" s="45"/>
      <c r="BG22" s="45"/>
      <c r="BH22" s="45"/>
      <c r="BI22" s="46">
        <f t="shared" si="11"/>
        <v>0</v>
      </c>
      <c r="BJ22" s="45">
        <v>4</v>
      </c>
      <c r="BK22" s="45">
        <v>4</v>
      </c>
      <c r="BL22" s="45">
        <v>1</v>
      </c>
      <c r="BM22" s="45">
        <v>2</v>
      </c>
      <c r="BN22" s="46">
        <f t="shared" si="12"/>
        <v>2.75</v>
      </c>
      <c r="BO22" s="45"/>
      <c r="BP22" s="45"/>
      <c r="BQ22" s="45"/>
      <c r="BR22" s="45"/>
      <c r="BS22" s="46">
        <f t="shared" si="13"/>
        <v>0</v>
      </c>
      <c r="BT22" s="45"/>
      <c r="BU22" s="45"/>
      <c r="BV22" s="45"/>
      <c r="BW22" s="45"/>
      <c r="BX22" s="46">
        <f t="shared" si="14"/>
        <v>0</v>
      </c>
      <c r="BY22" s="45"/>
      <c r="BZ22" s="45"/>
      <c r="CA22" s="45"/>
      <c r="CB22" s="45"/>
      <c r="CC22" s="46">
        <f t="shared" si="15"/>
        <v>0</v>
      </c>
      <c r="CD22" s="45"/>
      <c r="CE22" s="45"/>
      <c r="CF22" s="45"/>
      <c r="CG22" s="45"/>
      <c r="CH22" s="46">
        <f t="shared" si="16"/>
        <v>0</v>
      </c>
      <c r="CI22" s="45"/>
      <c r="CJ22" s="45"/>
      <c r="CK22" s="45"/>
      <c r="CL22" s="45"/>
      <c r="CM22" s="46">
        <f t="shared" si="17"/>
        <v>0</v>
      </c>
    </row>
    <row r="23" spans="1:91" ht="409.6">
      <c r="A23" s="45">
        <v>4</v>
      </c>
      <c r="B23" s="50">
        <f t="shared" si="18"/>
        <v>19</v>
      </c>
      <c r="C23" s="51" t="s">
        <v>2817</v>
      </c>
      <c r="D23" s="45" t="s">
        <v>2817</v>
      </c>
      <c r="E23" s="45" t="s">
        <v>4649</v>
      </c>
      <c r="F23" s="45" t="s">
        <v>4650</v>
      </c>
      <c r="G23" s="45" t="s">
        <v>4651</v>
      </c>
      <c r="H23" s="45" t="s">
        <v>4652</v>
      </c>
      <c r="I23" s="52" t="s">
        <v>4653</v>
      </c>
      <c r="J23" s="45" t="s">
        <v>3575</v>
      </c>
      <c r="K23" s="53"/>
      <c r="L23" s="54" t="e">
        <f>INDEX([1]Timeline!$E$10:$E$24,MATCH(A23,[1]Timeline!$C$10:$C$24,0))</f>
        <v>#N/A</v>
      </c>
      <c r="M23" s="55">
        <v>44561</v>
      </c>
      <c r="N23" s="56">
        <v>259200</v>
      </c>
      <c r="O23" s="57" t="e">
        <f t="shared" si="24"/>
        <v>#N/A</v>
      </c>
      <c r="P23" s="56" t="e">
        <f t="shared" si="0"/>
        <v>#N/A</v>
      </c>
      <c r="Q23" s="56" t="s">
        <v>2817</v>
      </c>
      <c r="R23" s="56">
        <v>1</v>
      </c>
      <c r="S23" s="56">
        <v>1</v>
      </c>
      <c r="T23" s="58">
        <f t="shared" si="19"/>
        <v>259200</v>
      </c>
      <c r="U23" s="58" t="e">
        <f t="shared" si="20"/>
        <v>#N/A</v>
      </c>
      <c r="V23" s="58" t="e">
        <f t="shared" si="1"/>
        <v>#N/A</v>
      </c>
      <c r="W23" s="45">
        <v>1</v>
      </c>
      <c r="X23" s="59">
        <f t="shared" si="21"/>
        <v>2.6785714285714288</v>
      </c>
      <c r="Y23" s="59">
        <f t="shared" si="22"/>
        <v>3.8571428571428572</v>
      </c>
      <c r="Z23" s="60">
        <f t="shared" si="23"/>
        <v>1.5</v>
      </c>
      <c r="AA23" s="45">
        <v>4</v>
      </c>
      <c r="AB23" s="45">
        <v>4</v>
      </c>
      <c r="AC23" s="45">
        <v>2</v>
      </c>
      <c r="AD23" s="45">
        <v>1</v>
      </c>
      <c r="AE23" s="46">
        <f t="shared" si="5"/>
        <v>2.75</v>
      </c>
      <c r="AF23" s="72">
        <v>4</v>
      </c>
      <c r="AG23" s="45">
        <v>4</v>
      </c>
      <c r="AH23" s="45">
        <v>2</v>
      </c>
      <c r="AI23" s="45">
        <v>1</v>
      </c>
      <c r="AJ23" s="61">
        <f t="shared" si="6"/>
        <v>2.75</v>
      </c>
      <c r="AK23" s="73">
        <v>4</v>
      </c>
      <c r="AL23" s="45">
        <v>4</v>
      </c>
      <c r="AM23" s="45">
        <v>1</v>
      </c>
      <c r="AN23" s="45">
        <v>2</v>
      </c>
      <c r="AO23" s="63">
        <f t="shared" si="7"/>
        <v>2.75</v>
      </c>
      <c r="AP23" s="64">
        <v>4</v>
      </c>
      <c r="AQ23" s="45">
        <v>4</v>
      </c>
      <c r="AR23" s="45">
        <v>2</v>
      </c>
      <c r="AS23" s="45">
        <v>1</v>
      </c>
      <c r="AT23" s="46">
        <f t="shared" si="8"/>
        <v>2.75</v>
      </c>
      <c r="AU23" s="45">
        <v>4</v>
      </c>
      <c r="AV23" s="45">
        <v>3</v>
      </c>
      <c r="AW23" s="45">
        <v>1</v>
      </c>
      <c r="AX23" s="45">
        <v>2</v>
      </c>
      <c r="AY23" s="46">
        <f t="shared" si="9"/>
        <v>2.5</v>
      </c>
      <c r="AZ23" s="45">
        <v>4</v>
      </c>
      <c r="BA23" s="45">
        <v>3</v>
      </c>
      <c r="BB23" s="45">
        <v>1</v>
      </c>
      <c r="BC23" s="45">
        <v>2</v>
      </c>
      <c r="BD23" s="47">
        <f t="shared" si="10"/>
        <v>2.5</v>
      </c>
      <c r="BE23" s="45"/>
      <c r="BF23" s="45"/>
      <c r="BG23" s="45"/>
      <c r="BH23" s="45"/>
      <c r="BI23" s="46">
        <f t="shared" si="11"/>
        <v>0</v>
      </c>
      <c r="BJ23" s="45">
        <v>4</v>
      </c>
      <c r="BK23" s="45">
        <v>4</v>
      </c>
      <c r="BL23" s="45">
        <v>2</v>
      </c>
      <c r="BM23" s="45">
        <v>1</v>
      </c>
      <c r="BN23" s="46">
        <f t="shared" si="12"/>
        <v>2.75</v>
      </c>
      <c r="BO23" s="45"/>
      <c r="BP23" s="45"/>
      <c r="BQ23" s="45"/>
      <c r="BR23" s="45"/>
      <c r="BS23" s="46">
        <f t="shared" si="13"/>
        <v>0</v>
      </c>
      <c r="BT23" s="45"/>
      <c r="BU23" s="45"/>
      <c r="BV23" s="45"/>
      <c r="BW23" s="45"/>
      <c r="BX23" s="46">
        <f t="shared" si="14"/>
        <v>0</v>
      </c>
      <c r="BY23" s="45"/>
      <c r="BZ23" s="45"/>
      <c r="CA23" s="45"/>
      <c r="CB23" s="45"/>
      <c r="CC23" s="46">
        <f t="shared" si="15"/>
        <v>0</v>
      </c>
      <c r="CD23" s="45"/>
      <c r="CE23" s="45"/>
      <c r="CF23" s="45"/>
      <c r="CG23" s="45"/>
      <c r="CH23" s="46">
        <f t="shared" si="16"/>
        <v>0</v>
      </c>
      <c r="CI23" s="45"/>
      <c r="CJ23" s="45"/>
      <c r="CK23" s="45"/>
      <c r="CL23" s="45"/>
      <c r="CM23" s="46">
        <f t="shared" si="17"/>
        <v>0</v>
      </c>
    </row>
    <row r="24" spans="1:91" ht="376.5" customHeight="1">
      <c r="A24" s="45">
        <v>4</v>
      </c>
      <c r="B24" s="50">
        <f t="shared" si="18"/>
        <v>20</v>
      </c>
      <c r="C24" s="51" t="s">
        <v>4654</v>
      </c>
      <c r="D24" s="45" t="s">
        <v>3432</v>
      </c>
      <c r="E24" s="45" t="s">
        <v>4655</v>
      </c>
      <c r="F24" s="45" t="s">
        <v>4656</v>
      </c>
      <c r="G24" s="45" t="s">
        <v>4657</v>
      </c>
      <c r="H24" s="45" t="s">
        <v>4658</v>
      </c>
      <c r="I24" s="52" t="s">
        <v>4659</v>
      </c>
      <c r="J24" s="45" t="s">
        <v>3575</v>
      </c>
      <c r="K24" s="53"/>
      <c r="L24" s="54" t="e">
        <f>INDEX([1]Timeline!$E$10:$E$24,MATCH(A24,[1]Timeline!$C$10:$C$24,0))</f>
        <v>#N/A</v>
      </c>
      <c r="M24" s="55">
        <v>44561</v>
      </c>
      <c r="N24" s="56">
        <v>119000</v>
      </c>
      <c r="O24" s="57" t="e">
        <f t="shared" si="24"/>
        <v>#N/A</v>
      </c>
      <c r="P24" s="56" t="e">
        <f t="shared" si="0"/>
        <v>#N/A</v>
      </c>
      <c r="Q24" s="56" t="s">
        <v>3432</v>
      </c>
      <c r="R24" s="56">
        <v>1</v>
      </c>
      <c r="S24" s="56"/>
      <c r="T24" s="58">
        <f t="shared" si="19"/>
        <v>119000</v>
      </c>
      <c r="U24" s="58" t="e">
        <f t="shared" si="20"/>
        <v>#N/A</v>
      </c>
      <c r="V24" s="58" t="e">
        <f t="shared" si="1"/>
        <v>#N/A</v>
      </c>
      <c r="W24" s="45">
        <v>1</v>
      </c>
      <c r="X24" s="59">
        <f t="shared" si="21"/>
        <v>2.7142857142857144</v>
      </c>
      <c r="Y24" s="59">
        <f t="shared" si="22"/>
        <v>3.5714285714285716</v>
      </c>
      <c r="Z24" s="60">
        <f t="shared" si="23"/>
        <v>1.8571428571428572</v>
      </c>
      <c r="AA24" s="45">
        <v>4</v>
      </c>
      <c r="AB24" s="45">
        <v>3</v>
      </c>
      <c r="AC24" s="45">
        <v>2</v>
      </c>
      <c r="AD24" s="45">
        <v>1</v>
      </c>
      <c r="AE24" s="46">
        <f t="shared" si="5"/>
        <v>2.5</v>
      </c>
      <c r="AF24" s="72">
        <v>4</v>
      </c>
      <c r="AG24" s="45">
        <v>3</v>
      </c>
      <c r="AH24" s="45">
        <v>2</v>
      </c>
      <c r="AI24" s="45">
        <v>1</v>
      </c>
      <c r="AJ24" s="61">
        <f t="shared" si="6"/>
        <v>2.5</v>
      </c>
      <c r="AK24" s="73">
        <v>4</v>
      </c>
      <c r="AL24" s="45">
        <v>3</v>
      </c>
      <c r="AM24" s="45">
        <v>2</v>
      </c>
      <c r="AN24" s="45">
        <v>2</v>
      </c>
      <c r="AO24" s="63">
        <f t="shared" si="7"/>
        <v>2.75</v>
      </c>
      <c r="AP24" s="64">
        <v>4</v>
      </c>
      <c r="AQ24" s="45">
        <v>3</v>
      </c>
      <c r="AR24" s="45">
        <v>1</v>
      </c>
      <c r="AS24" s="45">
        <v>2</v>
      </c>
      <c r="AT24" s="46">
        <f t="shared" si="8"/>
        <v>2.5</v>
      </c>
      <c r="AU24" s="45">
        <v>4</v>
      </c>
      <c r="AV24" s="45">
        <v>4</v>
      </c>
      <c r="AW24" s="45">
        <v>2</v>
      </c>
      <c r="AX24" s="45">
        <v>2</v>
      </c>
      <c r="AY24" s="46">
        <f t="shared" si="9"/>
        <v>3</v>
      </c>
      <c r="AZ24" s="45">
        <v>4</v>
      </c>
      <c r="BA24" s="45">
        <v>3</v>
      </c>
      <c r="BB24" s="45">
        <v>2</v>
      </c>
      <c r="BC24" s="45">
        <v>3</v>
      </c>
      <c r="BD24" s="47">
        <f t="shared" si="10"/>
        <v>3</v>
      </c>
      <c r="BE24" s="45"/>
      <c r="BF24" s="45"/>
      <c r="BG24" s="45"/>
      <c r="BH24" s="45"/>
      <c r="BI24" s="46">
        <f t="shared" si="11"/>
        <v>0</v>
      </c>
      <c r="BJ24" s="45">
        <v>4</v>
      </c>
      <c r="BK24" s="45">
        <v>3</v>
      </c>
      <c r="BL24" s="45">
        <v>2</v>
      </c>
      <c r="BM24" s="45">
        <v>2</v>
      </c>
      <c r="BN24" s="46">
        <f t="shared" si="12"/>
        <v>2.75</v>
      </c>
      <c r="BO24" s="45"/>
      <c r="BP24" s="45"/>
      <c r="BQ24" s="45"/>
      <c r="BR24" s="45"/>
      <c r="BS24" s="46">
        <f t="shared" si="13"/>
        <v>0</v>
      </c>
      <c r="BT24" s="45"/>
      <c r="BU24" s="45"/>
      <c r="BV24" s="45"/>
      <c r="BW24" s="45"/>
      <c r="BX24" s="46">
        <f t="shared" si="14"/>
        <v>0</v>
      </c>
      <c r="BY24" s="45"/>
      <c r="BZ24" s="45"/>
      <c r="CA24" s="45"/>
      <c r="CB24" s="45"/>
      <c r="CC24" s="46">
        <f t="shared" si="15"/>
        <v>0</v>
      </c>
      <c r="CD24" s="45"/>
      <c r="CE24" s="45"/>
      <c r="CF24" s="45"/>
      <c r="CG24" s="45"/>
      <c r="CH24" s="46">
        <f t="shared" si="16"/>
        <v>0</v>
      </c>
      <c r="CI24" s="45"/>
      <c r="CJ24" s="45"/>
      <c r="CK24" s="45"/>
      <c r="CL24" s="45"/>
      <c r="CM24" s="46">
        <f t="shared" si="17"/>
        <v>0</v>
      </c>
    </row>
    <row r="25" spans="1:91" ht="259.5">
      <c r="A25" s="45">
        <v>4</v>
      </c>
      <c r="B25" s="50">
        <f t="shared" si="18"/>
        <v>21</v>
      </c>
      <c r="C25" s="51" t="s">
        <v>3418</v>
      </c>
      <c r="D25" s="45" t="s">
        <v>2854</v>
      </c>
      <c r="E25" s="45" t="s">
        <v>4660</v>
      </c>
      <c r="F25" s="45" t="s">
        <v>4661</v>
      </c>
      <c r="G25" s="45" t="s">
        <v>4662</v>
      </c>
      <c r="H25" s="45" t="s">
        <v>4663</v>
      </c>
      <c r="I25" s="52" t="s">
        <v>4664</v>
      </c>
      <c r="J25" s="45" t="s">
        <v>3575</v>
      </c>
      <c r="K25" s="53"/>
      <c r="L25" s="54" t="e">
        <f>INDEX([1]Timeline!$E$10:$E$24,MATCH(A25,[1]Timeline!$C$10:$C$24,0))</f>
        <v>#N/A</v>
      </c>
      <c r="M25" s="55">
        <v>44561</v>
      </c>
      <c r="N25" s="56">
        <v>560000</v>
      </c>
      <c r="O25" s="57" t="e">
        <f t="shared" si="24"/>
        <v>#N/A</v>
      </c>
      <c r="P25" s="56" t="e">
        <f t="shared" si="0"/>
        <v>#N/A</v>
      </c>
      <c r="Q25" s="56" t="s">
        <v>4665</v>
      </c>
      <c r="R25" s="56">
        <v>7</v>
      </c>
      <c r="S25" s="56">
        <v>1</v>
      </c>
      <c r="T25" s="58">
        <f t="shared" si="19"/>
        <v>80000</v>
      </c>
      <c r="U25" s="58" t="e">
        <f t="shared" si="20"/>
        <v>#N/A</v>
      </c>
      <c r="V25" s="58" t="e">
        <f t="shared" si="1"/>
        <v>#N/A</v>
      </c>
      <c r="W25" s="45">
        <v>1</v>
      </c>
      <c r="X25" s="59">
        <f t="shared" si="21"/>
        <v>3</v>
      </c>
      <c r="Y25" s="59">
        <f t="shared" si="22"/>
        <v>4</v>
      </c>
      <c r="Z25" s="60">
        <f t="shared" si="23"/>
        <v>2</v>
      </c>
      <c r="AA25" s="45">
        <v>4</v>
      </c>
      <c r="AB25" s="45">
        <v>4</v>
      </c>
      <c r="AC25" s="45">
        <v>2</v>
      </c>
      <c r="AD25" s="45">
        <v>1</v>
      </c>
      <c r="AE25" s="46">
        <f t="shared" si="5"/>
        <v>2.75</v>
      </c>
      <c r="AF25" s="72">
        <v>4</v>
      </c>
      <c r="AG25" s="45">
        <v>4</v>
      </c>
      <c r="AH25" s="45">
        <v>1</v>
      </c>
      <c r="AI25" s="45">
        <v>1</v>
      </c>
      <c r="AJ25" s="61">
        <f t="shared" si="6"/>
        <v>2.5</v>
      </c>
      <c r="AK25" s="73">
        <v>4</v>
      </c>
      <c r="AL25" s="45">
        <v>4</v>
      </c>
      <c r="AM25" s="45">
        <v>3</v>
      </c>
      <c r="AN25" s="45">
        <v>1</v>
      </c>
      <c r="AO25" s="63">
        <f t="shared" si="7"/>
        <v>3</v>
      </c>
      <c r="AP25" s="64">
        <v>4</v>
      </c>
      <c r="AQ25" s="45">
        <v>4</v>
      </c>
      <c r="AR25" s="45">
        <v>2</v>
      </c>
      <c r="AS25" s="45">
        <v>2</v>
      </c>
      <c r="AT25" s="46">
        <f t="shared" si="8"/>
        <v>3</v>
      </c>
      <c r="AU25" s="45">
        <v>4</v>
      </c>
      <c r="AV25" s="45">
        <v>4</v>
      </c>
      <c r="AW25" s="45">
        <v>2</v>
      </c>
      <c r="AX25" s="45">
        <v>3</v>
      </c>
      <c r="AY25" s="46">
        <f t="shared" si="9"/>
        <v>3.25</v>
      </c>
      <c r="AZ25" s="45">
        <v>4</v>
      </c>
      <c r="BA25" s="45">
        <v>4</v>
      </c>
      <c r="BB25" s="45">
        <v>3</v>
      </c>
      <c r="BC25" s="45">
        <v>3</v>
      </c>
      <c r="BD25" s="47">
        <f t="shared" si="10"/>
        <v>3.5</v>
      </c>
      <c r="BE25" s="45"/>
      <c r="BF25" s="45"/>
      <c r="BG25" s="45"/>
      <c r="BH25" s="45"/>
      <c r="BI25" s="46">
        <f t="shared" si="11"/>
        <v>0</v>
      </c>
      <c r="BJ25" s="45">
        <v>4</v>
      </c>
      <c r="BK25" s="45">
        <v>4</v>
      </c>
      <c r="BL25" s="45">
        <v>2</v>
      </c>
      <c r="BM25" s="45">
        <v>2</v>
      </c>
      <c r="BN25" s="46">
        <f t="shared" si="12"/>
        <v>3</v>
      </c>
      <c r="BO25" s="45"/>
      <c r="BP25" s="45"/>
      <c r="BQ25" s="45"/>
      <c r="BR25" s="45"/>
      <c r="BS25" s="46">
        <f t="shared" si="13"/>
        <v>0</v>
      </c>
      <c r="BT25" s="45"/>
      <c r="BU25" s="45"/>
      <c r="BV25" s="45"/>
      <c r="BW25" s="45"/>
      <c r="BX25" s="46">
        <f t="shared" si="14"/>
        <v>0</v>
      </c>
      <c r="BY25" s="45"/>
      <c r="BZ25" s="45"/>
      <c r="CA25" s="45"/>
      <c r="CB25" s="45"/>
      <c r="CC25" s="46">
        <f t="shared" si="15"/>
        <v>0</v>
      </c>
      <c r="CD25" s="45"/>
      <c r="CE25" s="45"/>
      <c r="CF25" s="45"/>
      <c r="CG25" s="45"/>
      <c r="CH25" s="46">
        <f t="shared" si="16"/>
        <v>0</v>
      </c>
      <c r="CI25" s="45"/>
      <c r="CJ25" s="45"/>
      <c r="CK25" s="45"/>
      <c r="CL25" s="45"/>
      <c r="CM25" s="46">
        <f t="shared" si="17"/>
        <v>0</v>
      </c>
    </row>
    <row r="26" spans="1:91" ht="229.5">
      <c r="A26" s="45">
        <v>4</v>
      </c>
      <c r="B26" s="50">
        <f t="shared" si="18"/>
        <v>22</v>
      </c>
      <c r="C26" s="51" t="s">
        <v>2773</v>
      </c>
      <c r="D26" s="45" t="s">
        <v>3998</v>
      </c>
      <c r="E26" s="45" t="s">
        <v>4666</v>
      </c>
      <c r="F26" s="45" t="s">
        <v>4667</v>
      </c>
      <c r="G26" s="45" t="s">
        <v>4668</v>
      </c>
      <c r="H26" s="45" t="s">
        <v>4669</v>
      </c>
      <c r="I26" s="52" t="s">
        <v>4670</v>
      </c>
      <c r="J26" s="45" t="s">
        <v>3575</v>
      </c>
      <c r="K26" s="53"/>
      <c r="L26" s="54" t="e">
        <f>INDEX([1]Timeline!$E$10:$E$24,MATCH(A26,[1]Timeline!$C$10:$C$24,0))</f>
        <v>#N/A</v>
      </c>
      <c r="M26" s="55">
        <v>44561</v>
      </c>
      <c r="N26" s="56">
        <v>17134080</v>
      </c>
      <c r="O26" s="57" t="e">
        <f t="shared" si="24"/>
        <v>#N/A</v>
      </c>
      <c r="P26" s="56" t="e">
        <f t="shared" si="0"/>
        <v>#N/A</v>
      </c>
      <c r="Q26" s="56" t="s">
        <v>2773</v>
      </c>
      <c r="R26" s="56">
        <v>1</v>
      </c>
      <c r="S26" s="56">
        <v>1</v>
      </c>
      <c r="T26" s="58">
        <f t="shared" si="19"/>
        <v>17134080</v>
      </c>
      <c r="U26" s="58" t="e">
        <f t="shared" si="20"/>
        <v>#N/A</v>
      </c>
      <c r="V26" s="58" t="e">
        <f t="shared" si="1"/>
        <v>#N/A</v>
      </c>
      <c r="W26" s="45">
        <v>1</v>
      </c>
      <c r="X26" s="59">
        <f t="shared" si="21"/>
        <v>2.5</v>
      </c>
      <c r="Y26" s="59">
        <f t="shared" si="22"/>
        <v>3.3571428571428572</v>
      </c>
      <c r="Z26" s="60">
        <f t="shared" si="23"/>
        <v>1.6428571428571428</v>
      </c>
      <c r="AA26" s="45">
        <v>3</v>
      </c>
      <c r="AB26" s="45">
        <v>3</v>
      </c>
      <c r="AC26" s="45">
        <v>2</v>
      </c>
      <c r="AD26" s="45">
        <v>2</v>
      </c>
      <c r="AE26" s="46">
        <f t="shared" si="5"/>
        <v>2.5</v>
      </c>
      <c r="AF26" s="72">
        <v>3</v>
      </c>
      <c r="AG26" s="45">
        <v>3</v>
      </c>
      <c r="AH26" s="45">
        <v>1</v>
      </c>
      <c r="AI26" s="45">
        <v>2</v>
      </c>
      <c r="AJ26" s="61">
        <f t="shared" si="6"/>
        <v>2.25</v>
      </c>
      <c r="AK26" s="73">
        <v>4</v>
      </c>
      <c r="AL26" s="45">
        <v>3</v>
      </c>
      <c r="AM26" s="45">
        <v>2</v>
      </c>
      <c r="AN26" s="45">
        <v>2</v>
      </c>
      <c r="AO26" s="63">
        <f t="shared" si="7"/>
        <v>2.75</v>
      </c>
      <c r="AP26" s="64">
        <v>3</v>
      </c>
      <c r="AQ26" s="45">
        <v>3</v>
      </c>
      <c r="AR26" s="45">
        <v>1</v>
      </c>
      <c r="AS26" s="45">
        <v>2</v>
      </c>
      <c r="AT26" s="46">
        <f t="shared" si="8"/>
        <v>2.25</v>
      </c>
      <c r="AU26" s="45">
        <v>4</v>
      </c>
      <c r="AV26" s="45">
        <v>4</v>
      </c>
      <c r="AW26" s="45">
        <v>1</v>
      </c>
      <c r="AX26" s="45">
        <v>2</v>
      </c>
      <c r="AY26" s="46">
        <f t="shared" si="9"/>
        <v>2.75</v>
      </c>
      <c r="AZ26" s="45">
        <v>4</v>
      </c>
      <c r="BA26" s="45">
        <v>4</v>
      </c>
      <c r="BB26" s="45">
        <v>1</v>
      </c>
      <c r="BC26" s="45">
        <v>2</v>
      </c>
      <c r="BD26" s="47">
        <f t="shared" si="10"/>
        <v>2.75</v>
      </c>
      <c r="BE26" s="45"/>
      <c r="BF26" s="45"/>
      <c r="BG26" s="45"/>
      <c r="BH26" s="45"/>
      <c r="BI26" s="46">
        <f t="shared" si="11"/>
        <v>0</v>
      </c>
      <c r="BJ26" s="45">
        <v>3</v>
      </c>
      <c r="BK26" s="45">
        <v>3</v>
      </c>
      <c r="BL26" s="45">
        <v>1</v>
      </c>
      <c r="BM26" s="45">
        <v>2</v>
      </c>
      <c r="BN26" s="46">
        <f t="shared" si="12"/>
        <v>2.25</v>
      </c>
      <c r="BO26" s="45"/>
      <c r="BP26" s="45"/>
      <c r="BQ26" s="45"/>
      <c r="BR26" s="45"/>
      <c r="BS26" s="46">
        <f t="shared" si="13"/>
        <v>0</v>
      </c>
      <c r="BT26" s="45"/>
      <c r="BU26" s="45"/>
      <c r="BV26" s="45"/>
      <c r="BW26" s="45"/>
      <c r="BX26" s="46">
        <f t="shared" si="14"/>
        <v>0</v>
      </c>
      <c r="BY26" s="45"/>
      <c r="BZ26" s="45"/>
      <c r="CA26" s="45"/>
      <c r="CB26" s="45"/>
      <c r="CC26" s="46">
        <f t="shared" si="15"/>
        <v>0</v>
      </c>
      <c r="CD26" s="45"/>
      <c r="CE26" s="45"/>
      <c r="CF26" s="45"/>
      <c r="CG26" s="45"/>
      <c r="CH26" s="46">
        <f t="shared" si="16"/>
        <v>0</v>
      </c>
      <c r="CI26" s="45"/>
      <c r="CJ26" s="45"/>
      <c r="CK26" s="45"/>
      <c r="CL26" s="45"/>
      <c r="CM26" s="46">
        <f t="shared" si="17"/>
        <v>0</v>
      </c>
    </row>
    <row r="27" spans="1:91" ht="204" customHeight="1">
      <c r="A27" s="45">
        <v>4</v>
      </c>
      <c r="B27" s="50">
        <f t="shared" si="18"/>
        <v>23</v>
      </c>
      <c r="C27" s="51" t="s">
        <v>2773</v>
      </c>
      <c r="D27" s="45" t="s">
        <v>4283</v>
      </c>
      <c r="E27" s="45" t="s">
        <v>4671</v>
      </c>
      <c r="F27" s="45" t="s">
        <v>4672</v>
      </c>
      <c r="G27" s="45" t="s">
        <v>4673</v>
      </c>
      <c r="H27" s="45" t="s">
        <v>4674</v>
      </c>
      <c r="I27" s="52" t="s">
        <v>4675</v>
      </c>
      <c r="J27" s="45" t="s">
        <v>3575</v>
      </c>
      <c r="K27" s="53" t="s">
        <v>4676</v>
      </c>
      <c r="L27" s="54" t="e">
        <f>INDEX([1]Timeline!$E$10:$E$24,MATCH(A27,[1]Timeline!$C$10:$C$24,0))</f>
        <v>#N/A</v>
      </c>
      <c r="M27" s="55">
        <v>44561</v>
      </c>
      <c r="N27" s="56">
        <v>2382600</v>
      </c>
      <c r="O27" s="57" t="e">
        <f t="shared" si="24"/>
        <v>#N/A</v>
      </c>
      <c r="P27" s="56" t="e">
        <f t="shared" si="0"/>
        <v>#N/A</v>
      </c>
      <c r="Q27" s="56" t="s">
        <v>2773</v>
      </c>
      <c r="R27" s="56">
        <v>1</v>
      </c>
      <c r="S27" s="56">
        <v>1</v>
      </c>
      <c r="T27" s="58">
        <f t="shared" si="19"/>
        <v>2382600</v>
      </c>
      <c r="U27" s="58" t="e">
        <f t="shared" si="20"/>
        <v>#N/A</v>
      </c>
      <c r="V27" s="58" t="e">
        <f t="shared" si="1"/>
        <v>#N/A</v>
      </c>
      <c r="W27" s="45">
        <v>1</v>
      </c>
      <c r="X27" s="59">
        <f t="shared" si="21"/>
        <v>2.4583333333333335</v>
      </c>
      <c r="Y27" s="59">
        <f t="shared" si="22"/>
        <v>3.3333333333333335</v>
      </c>
      <c r="Z27" s="60">
        <f t="shared" si="23"/>
        <v>1.5833333333333333</v>
      </c>
      <c r="AA27" s="45">
        <v>3</v>
      </c>
      <c r="AB27" s="45">
        <v>3</v>
      </c>
      <c r="AC27" s="45">
        <v>3</v>
      </c>
      <c r="AD27" s="45">
        <v>1</v>
      </c>
      <c r="AE27" s="46">
        <f t="shared" si="5"/>
        <v>2.5</v>
      </c>
      <c r="AF27" s="72">
        <v>3</v>
      </c>
      <c r="AG27" s="45">
        <v>3</v>
      </c>
      <c r="AH27" s="45">
        <v>2</v>
      </c>
      <c r="AI27" s="45">
        <v>1</v>
      </c>
      <c r="AJ27" s="61">
        <f t="shared" si="6"/>
        <v>2.25</v>
      </c>
      <c r="AK27" s="73">
        <v>3</v>
      </c>
      <c r="AL27" s="45">
        <v>3</v>
      </c>
      <c r="AM27" s="45">
        <v>2</v>
      </c>
      <c r="AN27" s="45">
        <v>1</v>
      </c>
      <c r="AO27" s="63">
        <f t="shared" si="7"/>
        <v>2.25</v>
      </c>
      <c r="AP27" s="64"/>
      <c r="AQ27" s="45"/>
      <c r="AR27" s="45"/>
      <c r="AS27" s="45"/>
      <c r="AT27" s="46">
        <f t="shared" si="8"/>
        <v>0</v>
      </c>
      <c r="AU27" s="45">
        <v>4</v>
      </c>
      <c r="AV27" s="45">
        <v>4</v>
      </c>
      <c r="AW27" s="45">
        <v>2</v>
      </c>
      <c r="AX27" s="45">
        <v>2</v>
      </c>
      <c r="AY27" s="46">
        <f t="shared" si="9"/>
        <v>3</v>
      </c>
      <c r="AZ27" s="45">
        <v>4</v>
      </c>
      <c r="BA27" s="45">
        <v>4</v>
      </c>
      <c r="BB27" s="45">
        <v>1</v>
      </c>
      <c r="BC27" s="45">
        <v>1</v>
      </c>
      <c r="BD27" s="47">
        <f t="shared" si="10"/>
        <v>2.5</v>
      </c>
      <c r="BE27" s="45"/>
      <c r="BF27" s="45"/>
      <c r="BG27" s="45"/>
      <c r="BH27" s="45"/>
      <c r="BI27" s="46">
        <f t="shared" si="11"/>
        <v>0</v>
      </c>
      <c r="BJ27" s="45">
        <v>3</v>
      </c>
      <c r="BK27" s="45">
        <v>3</v>
      </c>
      <c r="BL27" s="45">
        <v>2</v>
      </c>
      <c r="BM27" s="45">
        <v>1</v>
      </c>
      <c r="BN27" s="46">
        <f t="shared" si="12"/>
        <v>2.25</v>
      </c>
      <c r="BO27" s="45"/>
      <c r="BP27" s="45"/>
      <c r="BQ27" s="45"/>
      <c r="BR27" s="45"/>
      <c r="BS27" s="46">
        <f t="shared" si="13"/>
        <v>0</v>
      </c>
      <c r="BT27" s="45"/>
      <c r="BU27" s="45"/>
      <c r="BV27" s="45"/>
      <c r="BW27" s="45"/>
      <c r="BX27" s="46">
        <f t="shared" si="14"/>
        <v>0</v>
      </c>
      <c r="BY27" s="45"/>
      <c r="BZ27" s="45"/>
      <c r="CA27" s="45"/>
      <c r="CB27" s="45"/>
      <c r="CC27" s="46">
        <f t="shared" si="15"/>
        <v>0</v>
      </c>
      <c r="CD27" s="45"/>
      <c r="CE27" s="45"/>
      <c r="CF27" s="45"/>
      <c r="CG27" s="45"/>
      <c r="CH27" s="46">
        <f t="shared" si="16"/>
        <v>0</v>
      </c>
      <c r="CI27" s="45"/>
      <c r="CJ27" s="45"/>
      <c r="CK27" s="45"/>
      <c r="CL27" s="45"/>
      <c r="CM27" s="46">
        <f t="shared" si="17"/>
        <v>0</v>
      </c>
    </row>
    <row r="28" spans="1:91" ht="409.6">
      <c r="A28" s="45">
        <v>5</v>
      </c>
      <c r="B28" s="50">
        <f t="shared" si="18"/>
        <v>24</v>
      </c>
      <c r="C28" s="51" t="s">
        <v>2817</v>
      </c>
      <c r="D28" s="45" t="s">
        <v>3217</v>
      </c>
      <c r="E28" s="45" t="s">
        <v>4677</v>
      </c>
      <c r="F28" s="45" t="s">
        <v>4678</v>
      </c>
      <c r="G28" s="45" t="s">
        <v>4679</v>
      </c>
      <c r="H28" s="74" t="s">
        <v>4680</v>
      </c>
      <c r="I28" s="52" t="s">
        <v>4681</v>
      </c>
      <c r="J28" s="45" t="s">
        <v>3575</v>
      </c>
      <c r="K28" s="53"/>
      <c r="L28" s="54" t="e">
        <f>INDEX([1]Timeline!$E$10:$E$24,MATCH(A28,[1]Timeline!$C$10:$C$24,0))</f>
        <v>#N/A</v>
      </c>
      <c r="M28" s="55">
        <v>44561</v>
      </c>
      <c r="N28" s="56">
        <v>581250</v>
      </c>
      <c r="O28" s="57" t="e">
        <f t="shared" si="24"/>
        <v>#N/A</v>
      </c>
      <c r="P28" s="56" t="e">
        <f t="shared" si="0"/>
        <v>#N/A</v>
      </c>
      <c r="Q28" s="56" t="s">
        <v>2817</v>
      </c>
      <c r="R28" s="56">
        <v>1</v>
      </c>
      <c r="S28" s="56">
        <v>1</v>
      </c>
      <c r="T28" s="58">
        <f t="shared" si="19"/>
        <v>581250</v>
      </c>
      <c r="U28" s="58" t="e">
        <f t="shared" si="20"/>
        <v>#N/A</v>
      </c>
      <c r="V28" s="58" t="e">
        <f t="shared" si="1"/>
        <v>#N/A</v>
      </c>
      <c r="W28" s="45">
        <v>1</v>
      </c>
      <c r="X28" s="59">
        <f t="shared" si="21"/>
        <v>2.5714285714285716</v>
      </c>
      <c r="Y28" s="59">
        <f t="shared" si="22"/>
        <v>3.2142857142857144</v>
      </c>
      <c r="Z28" s="60">
        <f t="shared" si="23"/>
        <v>1.9285714285714286</v>
      </c>
      <c r="AA28" s="45">
        <v>3</v>
      </c>
      <c r="AB28" s="45">
        <v>3</v>
      </c>
      <c r="AC28" s="45">
        <v>2</v>
      </c>
      <c r="AD28" s="45">
        <v>2</v>
      </c>
      <c r="AE28" s="46">
        <f t="shared" si="5"/>
        <v>2.5</v>
      </c>
      <c r="AF28" s="72">
        <v>4</v>
      </c>
      <c r="AG28" s="45">
        <v>3</v>
      </c>
      <c r="AH28" s="45">
        <v>2</v>
      </c>
      <c r="AI28" s="45">
        <v>2</v>
      </c>
      <c r="AJ28" s="61">
        <f t="shared" si="6"/>
        <v>2.75</v>
      </c>
      <c r="AK28" s="73">
        <v>3</v>
      </c>
      <c r="AL28" s="45">
        <v>3</v>
      </c>
      <c r="AM28" s="45">
        <v>2</v>
      </c>
      <c r="AN28" s="45">
        <v>2</v>
      </c>
      <c r="AO28" s="63">
        <f t="shared" si="7"/>
        <v>2.5</v>
      </c>
      <c r="AP28" s="64">
        <v>3</v>
      </c>
      <c r="AQ28" s="45">
        <v>3</v>
      </c>
      <c r="AR28" s="45">
        <v>2</v>
      </c>
      <c r="AS28" s="45">
        <v>2</v>
      </c>
      <c r="AT28" s="46">
        <f t="shared" si="8"/>
        <v>2.5</v>
      </c>
      <c r="AU28" s="45">
        <v>3</v>
      </c>
      <c r="AV28" s="45">
        <v>3</v>
      </c>
      <c r="AW28" s="45">
        <v>2</v>
      </c>
      <c r="AX28" s="45">
        <v>2</v>
      </c>
      <c r="AY28" s="46">
        <f t="shared" si="9"/>
        <v>2.5</v>
      </c>
      <c r="AZ28" s="45">
        <v>4</v>
      </c>
      <c r="BA28" s="45">
        <v>4</v>
      </c>
      <c r="BB28" s="45">
        <v>1</v>
      </c>
      <c r="BC28" s="45">
        <v>2</v>
      </c>
      <c r="BD28" s="47">
        <f t="shared" si="10"/>
        <v>2.75</v>
      </c>
      <c r="BE28" s="45"/>
      <c r="BF28" s="45"/>
      <c r="BG28" s="45"/>
      <c r="BH28" s="45"/>
      <c r="BI28" s="46">
        <f t="shared" si="11"/>
        <v>0</v>
      </c>
      <c r="BJ28" s="45">
        <v>3</v>
      </c>
      <c r="BK28" s="45">
        <v>3</v>
      </c>
      <c r="BL28" s="45">
        <v>2</v>
      </c>
      <c r="BM28" s="45">
        <v>2</v>
      </c>
      <c r="BN28" s="46">
        <f t="shared" si="12"/>
        <v>2.5</v>
      </c>
      <c r="BO28" s="45"/>
      <c r="BP28" s="45"/>
      <c r="BQ28" s="45"/>
      <c r="BR28" s="45"/>
      <c r="BS28" s="46">
        <f t="shared" si="13"/>
        <v>0</v>
      </c>
      <c r="BT28" s="45"/>
      <c r="BU28" s="45"/>
      <c r="BV28" s="45"/>
      <c r="BW28" s="45"/>
      <c r="BX28" s="46">
        <f t="shared" si="14"/>
        <v>0</v>
      </c>
      <c r="BY28" s="45"/>
      <c r="BZ28" s="45"/>
      <c r="CA28" s="45"/>
      <c r="CB28" s="45"/>
      <c r="CC28" s="46">
        <f t="shared" si="15"/>
        <v>0</v>
      </c>
      <c r="CD28" s="45"/>
      <c r="CE28" s="45"/>
      <c r="CF28" s="45"/>
      <c r="CG28" s="45"/>
      <c r="CH28" s="46">
        <f t="shared" si="16"/>
        <v>0</v>
      </c>
      <c r="CI28" s="45"/>
      <c r="CJ28" s="45"/>
      <c r="CK28" s="45"/>
      <c r="CL28" s="45"/>
      <c r="CM28" s="46">
        <f t="shared" si="17"/>
        <v>0</v>
      </c>
    </row>
    <row r="29" spans="1:91" s="89" customFormat="1" ht="396.75">
      <c r="A29" s="75">
        <v>5</v>
      </c>
      <c r="B29" s="76">
        <f t="shared" si="18"/>
        <v>25</v>
      </c>
      <c r="C29" s="77" t="s">
        <v>4654</v>
      </c>
      <c r="D29" s="75" t="s">
        <v>3534</v>
      </c>
      <c r="E29" s="75" t="s">
        <v>4682</v>
      </c>
      <c r="F29" s="75" t="s">
        <v>4683</v>
      </c>
      <c r="G29" s="75" t="s">
        <v>4684</v>
      </c>
      <c r="H29" s="75" t="s">
        <v>4685</v>
      </c>
      <c r="I29" s="78"/>
      <c r="J29" s="75" t="s">
        <v>3575</v>
      </c>
      <c r="K29" s="79"/>
      <c r="L29" s="80" t="e">
        <f>INDEX([1]Timeline!$E$10:$E$24,MATCH(A29,[1]Timeline!$C$10:$C$24,0))</f>
        <v>#N/A</v>
      </c>
      <c r="M29" s="81">
        <v>44561</v>
      </c>
      <c r="N29" s="82"/>
      <c r="O29" s="82" t="e">
        <f t="shared" si="24"/>
        <v>#N/A</v>
      </c>
      <c r="P29" s="82" t="e">
        <f t="shared" si="0"/>
        <v>#N/A</v>
      </c>
      <c r="Q29" s="82" t="s">
        <v>4686</v>
      </c>
      <c r="R29" s="82">
        <v>1</v>
      </c>
      <c r="S29" s="82"/>
      <c r="T29" s="58">
        <f t="shared" si="19"/>
        <v>0</v>
      </c>
      <c r="U29" s="83" t="e">
        <f t="shared" si="20"/>
        <v>#N/A</v>
      </c>
      <c r="V29" s="83" t="e">
        <f t="shared" si="1"/>
        <v>#N/A</v>
      </c>
      <c r="W29" s="75">
        <v>1</v>
      </c>
      <c r="X29" s="84" t="e">
        <f t="shared" si="21"/>
        <v>#DIV/0!</v>
      </c>
      <c r="Y29" s="59" t="e">
        <f t="shared" si="22"/>
        <v>#DIV/0!</v>
      </c>
      <c r="Z29" s="60" t="e">
        <f t="shared" si="23"/>
        <v>#DIV/0!</v>
      </c>
      <c r="AA29" s="75"/>
      <c r="AB29" s="75"/>
      <c r="AC29" s="75"/>
      <c r="AD29" s="75"/>
      <c r="AE29" s="85">
        <f t="shared" si="5"/>
        <v>0</v>
      </c>
      <c r="AF29" s="85"/>
      <c r="AG29" s="75"/>
      <c r="AH29" s="75"/>
      <c r="AI29" s="75"/>
      <c r="AJ29" s="86">
        <f t="shared" si="6"/>
        <v>0</v>
      </c>
      <c r="AK29" s="75"/>
      <c r="AL29" s="75"/>
      <c r="AM29" s="75"/>
      <c r="AN29" s="75"/>
      <c r="AO29" s="87">
        <f t="shared" si="7"/>
        <v>0</v>
      </c>
      <c r="AP29" s="88"/>
      <c r="AQ29" s="75"/>
      <c r="AR29" s="75"/>
      <c r="AS29" s="75"/>
      <c r="AT29" s="85">
        <f t="shared" si="8"/>
        <v>0</v>
      </c>
      <c r="AU29" s="75"/>
      <c r="AV29" s="75"/>
      <c r="AW29" s="75"/>
      <c r="AX29" s="75"/>
      <c r="AY29" s="85">
        <f t="shared" si="9"/>
        <v>0</v>
      </c>
      <c r="AZ29" s="75"/>
      <c r="BA29" s="75"/>
      <c r="BB29" s="75"/>
      <c r="BC29" s="75"/>
      <c r="BD29" s="85">
        <f t="shared" si="10"/>
        <v>0</v>
      </c>
      <c r="BE29" s="75"/>
      <c r="BF29" s="75"/>
      <c r="BG29" s="75"/>
      <c r="BH29" s="75"/>
      <c r="BI29" s="46">
        <f t="shared" si="11"/>
        <v>0</v>
      </c>
      <c r="BJ29" s="75"/>
      <c r="BK29" s="75"/>
      <c r="BL29" s="75"/>
      <c r="BM29" s="75"/>
      <c r="BN29" s="85">
        <f t="shared" si="12"/>
        <v>0</v>
      </c>
      <c r="BO29" s="75"/>
      <c r="BP29" s="75"/>
      <c r="BQ29" s="75"/>
      <c r="BR29" s="75"/>
      <c r="BS29" s="85">
        <f t="shared" si="13"/>
        <v>0</v>
      </c>
      <c r="BT29" s="75"/>
      <c r="BU29" s="75"/>
      <c r="BV29" s="75"/>
      <c r="BW29" s="75"/>
      <c r="BX29" s="85">
        <f t="shared" si="14"/>
        <v>0</v>
      </c>
      <c r="BY29" s="75"/>
      <c r="BZ29" s="75"/>
      <c r="CA29" s="75"/>
      <c r="CB29" s="75"/>
      <c r="CC29" s="85">
        <f t="shared" si="15"/>
        <v>0</v>
      </c>
      <c r="CD29" s="75"/>
      <c r="CE29" s="75"/>
      <c r="CF29" s="75"/>
      <c r="CG29" s="75"/>
      <c r="CH29" s="85">
        <f t="shared" si="16"/>
        <v>0</v>
      </c>
      <c r="CI29" s="75"/>
      <c r="CJ29" s="75"/>
      <c r="CK29" s="75"/>
      <c r="CL29" s="75"/>
      <c r="CM29" s="85">
        <f t="shared" si="17"/>
        <v>0</v>
      </c>
    </row>
    <row r="30" spans="1:91" ht="244.5">
      <c r="A30" s="45">
        <v>5</v>
      </c>
      <c r="B30" s="50">
        <f t="shared" si="18"/>
        <v>26</v>
      </c>
      <c r="C30" s="51" t="s">
        <v>2773</v>
      </c>
      <c r="D30" s="45" t="s">
        <v>4619</v>
      </c>
      <c r="E30" s="45" t="s">
        <v>4687</v>
      </c>
      <c r="F30" s="45" t="s">
        <v>4188</v>
      </c>
      <c r="G30" s="45" t="s">
        <v>4688</v>
      </c>
      <c r="H30" s="45" t="s">
        <v>4689</v>
      </c>
      <c r="I30" s="52" t="s">
        <v>4690</v>
      </c>
      <c r="J30" s="45" t="s">
        <v>3575</v>
      </c>
      <c r="K30" s="53"/>
      <c r="L30" s="54" t="e">
        <f>INDEX([1]Timeline!$E$10:$E$24,MATCH(A30,[1]Timeline!$C$10:$C$24,0))</f>
        <v>#N/A</v>
      </c>
      <c r="M30" s="55">
        <v>44561</v>
      </c>
      <c r="N30" s="56">
        <v>270000</v>
      </c>
      <c r="O30" s="57" t="e">
        <f t="shared" si="24"/>
        <v>#N/A</v>
      </c>
      <c r="P30" s="56" t="e">
        <f t="shared" si="0"/>
        <v>#N/A</v>
      </c>
      <c r="Q30" s="56" t="s">
        <v>2773</v>
      </c>
      <c r="R30" s="56">
        <v>1</v>
      </c>
      <c r="S30" s="56"/>
      <c r="T30" s="58">
        <f t="shared" si="19"/>
        <v>270000</v>
      </c>
      <c r="U30" s="58" t="e">
        <f t="shared" si="20"/>
        <v>#N/A</v>
      </c>
      <c r="V30" s="58" t="e">
        <f t="shared" si="1"/>
        <v>#N/A</v>
      </c>
      <c r="W30" s="45">
        <v>1</v>
      </c>
      <c r="X30" s="59">
        <f t="shared" si="21"/>
        <v>2.6428571428571428</v>
      </c>
      <c r="Y30" s="59">
        <f t="shared" si="22"/>
        <v>3.5714285714285716</v>
      </c>
      <c r="Z30" s="60">
        <f t="shared" si="23"/>
        <v>1.7142857142857142</v>
      </c>
      <c r="AA30" s="45">
        <v>3</v>
      </c>
      <c r="AB30" s="45">
        <v>3</v>
      </c>
      <c r="AC30" s="45">
        <v>2</v>
      </c>
      <c r="AD30" s="45">
        <v>2</v>
      </c>
      <c r="AE30" s="46">
        <f t="shared" si="5"/>
        <v>2.5</v>
      </c>
      <c r="AF30" s="72">
        <v>4</v>
      </c>
      <c r="AG30" s="45">
        <v>3</v>
      </c>
      <c r="AH30" s="45">
        <v>1</v>
      </c>
      <c r="AI30" s="45">
        <v>2</v>
      </c>
      <c r="AJ30" s="61">
        <f t="shared" si="6"/>
        <v>2.5</v>
      </c>
      <c r="AK30" s="73">
        <v>4</v>
      </c>
      <c r="AL30" s="45">
        <v>3</v>
      </c>
      <c r="AM30" s="45">
        <v>1</v>
      </c>
      <c r="AN30" s="45">
        <v>2</v>
      </c>
      <c r="AO30" s="63">
        <f t="shared" si="7"/>
        <v>2.5</v>
      </c>
      <c r="AP30" s="64">
        <v>4</v>
      </c>
      <c r="AQ30" s="45">
        <v>3</v>
      </c>
      <c r="AR30" s="45">
        <v>2</v>
      </c>
      <c r="AS30" s="45">
        <v>1</v>
      </c>
      <c r="AT30" s="46">
        <f t="shared" si="8"/>
        <v>2.5</v>
      </c>
      <c r="AU30" s="45">
        <v>4</v>
      </c>
      <c r="AV30" s="45">
        <v>4</v>
      </c>
      <c r="AW30" s="45">
        <v>2</v>
      </c>
      <c r="AX30" s="45">
        <v>2</v>
      </c>
      <c r="AY30" s="46">
        <f t="shared" si="9"/>
        <v>3</v>
      </c>
      <c r="AZ30" s="45">
        <v>4</v>
      </c>
      <c r="BA30" s="45">
        <v>4</v>
      </c>
      <c r="BB30" s="45">
        <v>1</v>
      </c>
      <c r="BC30" s="45">
        <v>2</v>
      </c>
      <c r="BD30" s="47">
        <f t="shared" si="10"/>
        <v>2.75</v>
      </c>
      <c r="BE30" s="45"/>
      <c r="BF30" s="45"/>
      <c r="BG30" s="45"/>
      <c r="BH30" s="45"/>
      <c r="BI30" s="46">
        <f t="shared" si="11"/>
        <v>0</v>
      </c>
      <c r="BJ30" s="45">
        <v>4</v>
      </c>
      <c r="BK30" s="45">
        <v>3</v>
      </c>
      <c r="BL30" s="45">
        <v>2</v>
      </c>
      <c r="BM30" s="45">
        <v>2</v>
      </c>
      <c r="BN30" s="46">
        <f t="shared" si="12"/>
        <v>2.75</v>
      </c>
      <c r="BO30" s="45"/>
      <c r="BP30" s="45"/>
      <c r="BQ30" s="45"/>
      <c r="BR30" s="45"/>
      <c r="BS30" s="46">
        <f t="shared" si="13"/>
        <v>0</v>
      </c>
      <c r="BT30" s="45"/>
      <c r="BU30" s="45"/>
      <c r="BV30" s="45"/>
      <c r="BW30" s="45"/>
      <c r="BX30" s="46">
        <f t="shared" si="14"/>
        <v>0</v>
      </c>
      <c r="BY30" s="45"/>
      <c r="BZ30" s="45"/>
      <c r="CA30" s="45"/>
      <c r="CB30" s="45"/>
      <c r="CC30" s="46">
        <f t="shared" si="15"/>
        <v>0</v>
      </c>
      <c r="CD30" s="45"/>
      <c r="CE30" s="45"/>
      <c r="CF30" s="45"/>
      <c r="CG30" s="45"/>
      <c r="CH30" s="46">
        <f t="shared" si="16"/>
        <v>0</v>
      </c>
      <c r="CI30" s="45"/>
      <c r="CJ30" s="45"/>
      <c r="CK30" s="45"/>
      <c r="CL30" s="45"/>
      <c r="CM30" s="46">
        <f t="shared" si="17"/>
        <v>0</v>
      </c>
    </row>
    <row r="31" spans="1:91" ht="275.25">
      <c r="A31" s="45">
        <v>5</v>
      </c>
      <c r="B31" s="50">
        <f t="shared" si="18"/>
        <v>27</v>
      </c>
      <c r="C31" s="51" t="s">
        <v>2773</v>
      </c>
      <c r="D31" s="45" t="s">
        <v>3904</v>
      </c>
      <c r="E31" s="45" t="s">
        <v>4691</v>
      </c>
      <c r="F31" s="45" t="s">
        <v>4692</v>
      </c>
      <c r="G31" s="45" t="s">
        <v>4693</v>
      </c>
      <c r="H31" s="45" t="s">
        <v>4694</v>
      </c>
      <c r="I31" s="52" t="s">
        <v>4695</v>
      </c>
      <c r="J31" s="45" t="s">
        <v>3575</v>
      </c>
      <c r="K31" s="53"/>
      <c r="L31" s="54" t="e">
        <f>INDEX([1]Timeline!$E$10:$E$24,MATCH(A31,[1]Timeline!$C$10:$C$24,0))</f>
        <v>#N/A</v>
      </c>
      <c r="M31" s="55">
        <v>44561</v>
      </c>
      <c r="N31" s="56">
        <v>1680000</v>
      </c>
      <c r="O31" s="57" t="e">
        <f t="shared" si="24"/>
        <v>#N/A</v>
      </c>
      <c r="P31" s="56" t="e">
        <f t="shared" si="0"/>
        <v>#N/A</v>
      </c>
      <c r="Q31" s="56" t="s">
        <v>2773</v>
      </c>
      <c r="R31" s="56">
        <v>1</v>
      </c>
      <c r="S31" s="56"/>
      <c r="T31" s="58">
        <f t="shared" si="19"/>
        <v>1680000</v>
      </c>
      <c r="U31" s="58" t="e">
        <f t="shared" si="20"/>
        <v>#N/A</v>
      </c>
      <c r="V31" s="58" t="e">
        <f t="shared" si="1"/>
        <v>#N/A</v>
      </c>
      <c r="W31" s="45">
        <v>1</v>
      </c>
      <c r="X31" s="59">
        <f t="shared" si="21"/>
        <v>2.666666666666667</v>
      </c>
      <c r="Y31" s="59">
        <f t="shared" si="22"/>
        <v>3.5833333333333335</v>
      </c>
      <c r="Z31" s="60">
        <f t="shared" si="23"/>
        <v>1.75</v>
      </c>
      <c r="AA31" s="45">
        <v>4</v>
      </c>
      <c r="AB31" s="45">
        <v>3</v>
      </c>
      <c r="AC31" s="45">
        <v>2</v>
      </c>
      <c r="AD31" s="45">
        <v>2</v>
      </c>
      <c r="AE31" s="46">
        <f t="shared" si="5"/>
        <v>2.75</v>
      </c>
      <c r="AF31" s="72">
        <v>3</v>
      </c>
      <c r="AG31" s="45">
        <v>3</v>
      </c>
      <c r="AH31" s="45">
        <v>2</v>
      </c>
      <c r="AI31" s="45">
        <v>2</v>
      </c>
      <c r="AJ31" s="61">
        <f t="shared" si="6"/>
        <v>2.5</v>
      </c>
      <c r="AK31" s="73">
        <v>4</v>
      </c>
      <c r="AL31" s="45">
        <v>4</v>
      </c>
      <c r="AM31" s="45">
        <v>1</v>
      </c>
      <c r="AN31" s="45">
        <v>2</v>
      </c>
      <c r="AO31" s="63">
        <f t="shared" si="7"/>
        <v>2.75</v>
      </c>
      <c r="AP31" s="64"/>
      <c r="AQ31" s="45"/>
      <c r="AR31" s="45"/>
      <c r="AS31" s="45"/>
      <c r="AT31" s="46">
        <f t="shared" si="8"/>
        <v>0</v>
      </c>
      <c r="AU31" s="45">
        <v>4</v>
      </c>
      <c r="AV31" s="45">
        <v>3</v>
      </c>
      <c r="AW31" s="45">
        <v>2</v>
      </c>
      <c r="AX31" s="45">
        <v>2</v>
      </c>
      <c r="AY31" s="46">
        <f t="shared" si="9"/>
        <v>2.75</v>
      </c>
      <c r="AZ31" s="45">
        <v>4</v>
      </c>
      <c r="BA31" s="45">
        <v>4</v>
      </c>
      <c r="BB31" s="45">
        <v>1</v>
      </c>
      <c r="BC31" s="45">
        <v>1</v>
      </c>
      <c r="BD31" s="47">
        <f t="shared" si="10"/>
        <v>2.5</v>
      </c>
      <c r="BE31" s="45"/>
      <c r="BF31" s="45"/>
      <c r="BG31" s="45"/>
      <c r="BH31" s="45"/>
      <c r="BI31" s="46">
        <f t="shared" si="11"/>
        <v>0</v>
      </c>
      <c r="BJ31" s="45">
        <v>4</v>
      </c>
      <c r="BK31" s="45">
        <v>3</v>
      </c>
      <c r="BL31" s="45">
        <v>2</v>
      </c>
      <c r="BM31" s="45">
        <v>2</v>
      </c>
      <c r="BN31" s="46">
        <f t="shared" si="12"/>
        <v>2.75</v>
      </c>
      <c r="BO31" s="45"/>
      <c r="BP31" s="45"/>
      <c r="BQ31" s="45"/>
      <c r="BR31" s="45"/>
      <c r="BS31" s="46">
        <f t="shared" si="13"/>
        <v>0</v>
      </c>
      <c r="BT31" s="45"/>
      <c r="BU31" s="45"/>
      <c r="BV31" s="45"/>
      <c r="BW31" s="45"/>
      <c r="BX31" s="46">
        <f t="shared" si="14"/>
        <v>0</v>
      </c>
      <c r="BY31" s="45"/>
      <c r="BZ31" s="45"/>
      <c r="CA31" s="45"/>
      <c r="CB31" s="45"/>
      <c r="CC31" s="46">
        <f t="shared" si="15"/>
        <v>0</v>
      </c>
      <c r="CD31" s="45"/>
      <c r="CE31" s="45"/>
      <c r="CF31" s="45"/>
      <c r="CG31" s="45"/>
      <c r="CH31" s="46">
        <f t="shared" si="16"/>
        <v>0</v>
      </c>
      <c r="CI31" s="45"/>
      <c r="CJ31" s="45"/>
      <c r="CK31" s="45"/>
      <c r="CL31" s="45"/>
      <c r="CM31" s="46">
        <f t="shared" si="17"/>
        <v>0</v>
      </c>
    </row>
    <row r="32" spans="1:91" ht="213">
      <c r="A32" s="45">
        <v>5</v>
      </c>
      <c r="B32" s="50">
        <f t="shared" si="18"/>
        <v>28</v>
      </c>
      <c r="C32" s="51" t="s">
        <v>2817</v>
      </c>
      <c r="D32" s="45" t="s">
        <v>3716</v>
      </c>
      <c r="E32" s="45" t="s">
        <v>4696</v>
      </c>
      <c r="F32" s="45" t="s">
        <v>4697</v>
      </c>
      <c r="G32" s="45" t="s">
        <v>4698</v>
      </c>
      <c r="H32" s="45" t="s">
        <v>4699</v>
      </c>
      <c r="I32" s="90" t="s">
        <v>4700</v>
      </c>
      <c r="J32" s="45" t="s">
        <v>3575</v>
      </c>
      <c r="K32" s="53"/>
      <c r="L32" s="54" t="e">
        <f>INDEX([1]Timeline!$E$10:$E$24,MATCH(A32,[1]Timeline!$C$10:$C$24,0))</f>
        <v>#N/A</v>
      </c>
      <c r="M32" s="55">
        <v>44561</v>
      </c>
      <c r="N32" s="56">
        <v>2716560</v>
      </c>
      <c r="O32" s="57" t="e">
        <f t="shared" si="24"/>
        <v>#N/A</v>
      </c>
      <c r="P32" s="56" t="e">
        <f t="shared" si="0"/>
        <v>#N/A</v>
      </c>
      <c r="Q32" s="56" t="s">
        <v>2817</v>
      </c>
      <c r="R32" s="56">
        <v>1</v>
      </c>
      <c r="S32" s="56">
        <v>1</v>
      </c>
      <c r="T32" s="58">
        <f t="shared" si="19"/>
        <v>2716560</v>
      </c>
      <c r="U32" s="58" t="e">
        <f t="shared" si="20"/>
        <v>#N/A</v>
      </c>
      <c r="V32" s="58" t="e">
        <f t="shared" si="1"/>
        <v>#N/A</v>
      </c>
      <c r="W32" s="45">
        <v>1</v>
      </c>
      <c r="X32" s="59">
        <f t="shared" si="21"/>
        <v>2.0416666666666665</v>
      </c>
      <c r="Y32" s="59">
        <f t="shared" si="22"/>
        <v>3</v>
      </c>
      <c r="Z32" s="60">
        <f t="shared" si="23"/>
        <v>1.0833333333333333</v>
      </c>
      <c r="AA32" s="45">
        <v>3</v>
      </c>
      <c r="AB32" s="45">
        <v>3</v>
      </c>
      <c r="AC32" s="45">
        <v>1</v>
      </c>
      <c r="AD32" s="45">
        <v>1</v>
      </c>
      <c r="AE32" s="46">
        <f t="shared" si="5"/>
        <v>2</v>
      </c>
      <c r="AF32" s="72">
        <v>4</v>
      </c>
      <c r="AG32" s="45">
        <v>4</v>
      </c>
      <c r="AH32" s="45">
        <v>1</v>
      </c>
      <c r="AI32" s="45">
        <v>1</v>
      </c>
      <c r="AJ32" s="61">
        <f t="shared" si="6"/>
        <v>2.5</v>
      </c>
      <c r="AK32" s="73">
        <v>2</v>
      </c>
      <c r="AL32" s="45">
        <v>2</v>
      </c>
      <c r="AM32" s="45">
        <v>1</v>
      </c>
      <c r="AN32" s="45">
        <v>1</v>
      </c>
      <c r="AO32" s="63">
        <f t="shared" si="7"/>
        <v>1.5</v>
      </c>
      <c r="AP32" s="64"/>
      <c r="AQ32" s="45"/>
      <c r="AR32" s="45"/>
      <c r="AS32" s="45"/>
      <c r="AT32" s="46">
        <f t="shared" si="8"/>
        <v>0</v>
      </c>
      <c r="AU32" s="45">
        <v>3</v>
      </c>
      <c r="AV32" s="45">
        <v>3</v>
      </c>
      <c r="AW32" s="45">
        <v>1</v>
      </c>
      <c r="AX32" s="45">
        <v>2</v>
      </c>
      <c r="AY32" s="46">
        <f t="shared" si="9"/>
        <v>2.25</v>
      </c>
      <c r="AZ32" s="45">
        <v>3</v>
      </c>
      <c r="BA32" s="45">
        <v>3</v>
      </c>
      <c r="BB32" s="45">
        <v>1</v>
      </c>
      <c r="BC32" s="45">
        <v>1</v>
      </c>
      <c r="BD32" s="47">
        <f t="shared" si="10"/>
        <v>2</v>
      </c>
      <c r="BE32" s="45"/>
      <c r="BF32" s="45"/>
      <c r="BG32" s="45"/>
      <c r="BH32" s="45"/>
      <c r="BI32" s="46">
        <f t="shared" si="11"/>
        <v>0</v>
      </c>
      <c r="BJ32" s="45">
        <v>3</v>
      </c>
      <c r="BK32" s="45">
        <v>3</v>
      </c>
      <c r="BL32" s="45">
        <v>1</v>
      </c>
      <c r="BM32" s="45">
        <v>1</v>
      </c>
      <c r="BN32" s="46">
        <f t="shared" si="12"/>
        <v>2</v>
      </c>
      <c r="BO32" s="45"/>
      <c r="BP32" s="45"/>
      <c r="BQ32" s="45"/>
      <c r="BR32" s="45"/>
      <c r="BS32" s="46">
        <f t="shared" si="13"/>
        <v>0</v>
      </c>
      <c r="BT32" s="45"/>
      <c r="BU32" s="45"/>
      <c r="BV32" s="45"/>
      <c r="BW32" s="45"/>
      <c r="BX32" s="46">
        <f t="shared" si="14"/>
        <v>0</v>
      </c>
      <c r="BY32" s="45"/>
      <c r="BZ32" s="45"/>
      <c r="CA32" s="45"/>
      <c r="CB32" s="45"/>
      <c r="CC32" s="46">
        <f t="shared" si="15"/>
        <v>0</v>
      </c>
      <c r="CD32" s="45"/>
      <c r="CE32" s="45"/>
      <c r="CF32" s="45"/>
      <c r="CG32" s="45"/>
      <c r="CH32" s="46">
        <f t="shared" si="16"/>
        <v>0</v>
      </c>
      <c r="CI32" s="45"/>
      <c r="CJ32" s="45"/>
      <c r="CK32" s="45"/>
      <c r="CL32" s="45"/>
      <c r="CM32" s="46">
        <f t="shared" si="17"/>
        <v>0</v>
      </c>
    </row>
    <row r="33" spans="1:91" ht="60.75">
      <c r="A33" s="45">
        <v>6</v>
      </c>
      <c r="B33" s="50">
        <f t="shared" si="18"/>
        <v>29</v>
      </c>
      <c r="C33" s="51" t="s">
        <v>4324</v>
      </c>
      <c r="D33" s="45" t="s">
        <v>3645</v>
      </c>
      <c r="E33" s="45" t="s">
        <v>4701</v>
      </c>
      <c r="F33" s="45" t="s">
        <v>4702</v>
      </c>
      <c r="G33" s="45" t="s">
        <v>4703</v>
      </c>
      <c r="H33" s="45" t="s">
        <v>4704</v>
      </c>
      <c r="I33" s="90" t="s">
        <v>4705</v>
      </c>
      <c r="J33" s="45" t="s">
        <v>3575</v>
      </c>
      <c r="K33" s="53"/>
      <c r="L33" s="54" t="e">
        <f>INDEX([1]Timeline!$E$10:$E$24,MATCH(A33,[1]Timeline!$C$10:$C$24,0))</f>
        <v>#N/A</v>
      </c>
      <c r="M33" s="55">
        <v>44561</v>
      </c>
      <c r="N33" s="56">
        <v>702666</v>
      </c>
      <c r="O33" s="57" t="e">
        <f t="shared" si="24"/>
        <v>#N/A</v>
      </c>
      <c r="P33" s="56" t="e">
        <f t="shared" si="0"/>
        <v>#N/A</v>
      </c>
      <c r="Q33" s="56" t="s">
        <v>3645</v>
      </c>
      <c r="R33" s="56">
        <v>1</v>
      </c>
      <c r="S33" s="56">
        <v>1</v>
      </c>
      <c r="T33" s="58">
        <f t="shared" si="19"/>
        <v>702666</v>
      </c>
      <c r="U33" s="58" t="e">
        <f t="shared" si="20"/>
        <v>#N/A</v>
      </c>
      <c r="V33" s="58" t="e">
        <f t="shared" si="1"/>
        <v>#N/A</v>
      </c>
      <c r="W33" s="45">
        <v>1</v>
      </c>
      <c r="X33" s="59">
        <f t="shared" si="21"/>
        <v>2.8333333333333335</v>
      </c>
      <c r="Y33" s="59">
        <f t="shared" si="22"/>
        <v>3.75</v>
      </c>
      <c r="Z33" s="60">
        <f t="shared" si="23"/>
        <v>1.9166666666666667</v>
      </c>
      <c r="AA33" s="45">
        <v>4</v>
      </c>
      <c r="AB33" s="45">
        <v>4</v>
      </c>
      <c r="AC33" s="45">
        <v>2</v>
      </c>
      <c r="AD33" s="45">
        <v>2</v>
      </c>
      <c r="AE33" s="46">
        <f t="shared" si="5"/>
        <v>3</v>
      </c>
      <c r="AF33" s="72">
        <v>4</v>
      </c>
      <c r="AG33" s="45">
        <v>3</v>
      </c>
      <c r="AH33" s="45">
        <v>2</v>
      </c>
      <c r="AI33" s="45">
        <v>2</v>
      </c>
      <c r="AJ33" s="61">
        <f t="shared" si="6"/>
        <v>2.75</v>
      </c>
      <c r="AK33" s="73">
        <v>4</v>
      </c>
      <c r="AL33" s="45">
        <v>4</v>
      </c>
      <c r="AM33" s="45">
        <v>2</v>
      </c>
      <c r="AN33" s="45">
        <v>2</v>
      </c>
      <c r="AO33" s="63">
        <f t="shared" si="7"/>
        <v>3</v>
      </c>
      <c r="AP33" s="64"/>
      <c r="AQ33" s="45"/>
      <c r="AR33" s="45"/>
      <c r="AS33" s="45"/>
      <c r="AT33" s="46">
        <f t="shared" si="8"/>
        <v>0</v>
      </c>
      <c r="AU33" s="45">
        <v>3</v>
      </c>
      <c r="AV33" s="45">
        <v>4</v>
      </c>
      <c r="AW33" s="45">
        <v>1</v>
      </c>
      <c r="AX33" s="45">
        <v>2</v>
      </c>
      <c r="AY33" s="46">
        <f t="shared" si="9"/>
        <v>2.5</v>
      </c>
      <c r="AZ33" s="45">
        <v>4</v>
      </c>
      <c r="BA33" s="45">
        <v>3</v>
      </c>
      <c r="BB33" s="45">
        <v>2</v>
      </c>
      <c r="BC33" s="45">
        <v>2</v>
      </c>
      <c r="BD33" s="47">
        <f t="shared" si="10"/>
        <v>2.75</v>
      </c>
      <c r="BE33" s="45"/>
      <c r="BF33" s="45"/>
      <c r="BG33" s="45"/>
      <c r="BH33" s="45"/>
      <c r="BI33" s="46">
        <f t="shared" si="11"/>
        <v>0</v>
      </c>
      <c r="BJ33" s="45">
        <v>4</v>
      </c>
      <c r="BK33" s="45">
        <v>4</v>
      </c>
      <c r="BL33" s="45">
        <v>2</v>
      </c>
      <c r="BM33" s="45">
        <v>2</v>
      </c>
      <c r="BN33" s="46">
        <f t="shared" si="12"/>
        <v>3</v>
      </c>
      <c r="BO33" s="45"/>
      <c r="BP33" s="45"/>
      <c r="BQ33" s="45"/>
      <c r="BR33" s="45"/>
      <c r="BS33" s="46">
        <f t="shared" si="13"/>
        <v>0</v>
      </c>
      <c r="BT33" s="45"/>
      <c r="BU33" s="45"/>
      <c r="BV33" s="45"/>
      <c r="BW33" s="45"/>
      <c r="BX33" s="46">
        <f t="shared" si="14"/>
        <v>0</v>
      </c>
      <c r="BY33" s="45"/>
      <c r="BZ33" s="45"/>
      <c r="CA33" s="45"/>
      <c r="CB33" s="45"/>
      <c r="CC33" s="46">
        <f t="shared" si="15"/>
        <v>0</v>
      </c>
      <c r="CD33" s="45"/>
      <c r="CE33" s="45"/>
      <c r="CF33" s="45"/>
      <c r="CG33" s="45"/>
      <c r="CH33" s="46">
        <f t="shared" si="16"/>
        <v>0</v>
      </c>
      <c r="CI33" s="45"/>
      <c r="CJ33" s="45"/>
      <c r="CK33" s="45"/>
      <c r="CL33" s="45"/>
      <c r="CM33" s="46">
        <f t="shared" si="17"/>
        <v>0</v>
      </c>
    </row>
    <row r="34" spans="1:91" ht="137.25">
      <c r="A34" s="45">
        <v>6</v>
      </c>
      <c r="B34" s="50">
        <f t="shared" si="18"/>
        <v>30</v>
      </c>
      <c r="C34" s="51" t="s">
        <v>2773</v>
      </c>
      <c r="D34" s="45" t="s">
        <v>3602</v>
      </c>
      <c r="E34" s="45" t="s">
        <v>4706</v>
      </c>
      <c r="F34" s="45" t="s">
        <v>4707</v>
      </c>
      <c r="G34" s="45" t="s">
        <v>4708</v>
      </c>
      <c r="H34" s="45" t="s">
        <v>4709</v>
      </c>
      <c r="I34" s="90" t="s">
        <v>4710</v>
      </c>
      <c r="J34" s="45" t="s">
        <v>3575</v>
      </c>
      <c r="K34" s="53"/>
      <c r="L34" s="54" t="e">
        <f>INDEX([1]Timeline!$E$10:$E$24,MATCH(A34,[1]Timeline!$C$10:$C$24,0))</f>
        <v>#N/A</v>
      </c>
      <c r="M34" s="55">
        <v>44561</v>
      </c>
      <c r="N34" s="56">
        <v>5004000</v>
      </c>
      <c r="O34" s="57" t="e">
        <f t="shared" si="24"/>
        <v>#N/A</v>
      </c>
      <c r="P34" s="56" t="e">
        <f t="shared" si="0"/>
        <v>#N/A</v>
      </c>
      <c r="Q34" s="56" t="s">
        <v>2773</v>
      </c>
      <c r="R34" s="56">
        <v>1</v>
      </c>
      <c r="S34" s="56">
        <v>1</v>
      </c>
      <c r="T34" s="58">
        <f t="shared" si="19"/>
        <v>5004000</v>
      </c>
      <c r="U34" s="58" t="e">
        <f t="shared" si="20"/>
        <v>#N/A</v>
      </c>
      <c r="V34" s="58" t="e">
        <f t="shared" si="1"/>
        <v>#N/A</v>
      </c>
      <c r="W34" s="45">
        <v>1</v>
      </c>
      <c r="X34" s="59">
        <f t="shared" si="21"/>
        <v>2.6666666666666665</v>
      </c>
      <c r="Y34" s="59">
        <f t="shared" si="22"/>
        <v>3.9166666666666665</v>
      </c>
      <c r="Z34" s="60">
        <f t="shared" si="23"/>
        <v>1.4166666666666667</v>
      </c>
      <c r="AA34" s="45">
        <v>4</v>
      </c>
      <c r="AB34" s="45">
        <v>4</v>
      </c>
      <c r="AC34" s="45">
        <v>2</v>
      </c>
      <c r="AD34" s="45">
        <v>1</v>
      </c>
      <c r="AE34" s="46">
        <f t="shared" si="5"/>
        <v>2.75</v>
      </c>
      <c r="AF34" s="72">
        <v>4</v>
      </c>
      <c r="AG34" s="45">
        <v>3</v>
      </c>
      <c r="AH34" s="45">
        <v>2</v>
      </c>
      <c r="AI34" s="45">
        <v>1</v>
      </c>
      <c r="AJ34" s="61">
        <f t="shared" si="6"/>
        <v>2.5</v>
      </c>
      <c r="AK34" s="73">
        <v>4</v>
      </c>
      <c r="AL34" s="45">
        <v>4</v>
      </c>
      <c r="AM34" s="45">
        <v>1</v>
      </c>
      <c r="AN34" s="45">
        <v>1</v>
      </c>
      <c r="AO34" s="63">
        <f t="shared" si="7"/>
        <v>2.5</v>
      </c>
      <c r="AP34" s="64"/>
      <c r="AQ34" s="45"/>
      <c r="AR34" s="45"/>
      <c r="AS34" s="45"/>
      <c r="AT34" s="46">
        <f t="shared" si="8"/>
        <v>0</v>
      </c>
      <c r="AU34" s="45">
        <v>4</v>
      </c>
      <c r="AV34" s="45">
        <v>4</v>
      </c>
      <c r="AW34" s="45">
        <v>2</v>
      </c>
      <c r="AX34" s="45">
        <v>2</v>
      </c>
      <c r="AY34" s="46">
        <f t="shared" si="9"/>
        <v>3</v>
      </c>
      <c r="AZ34" s="45">
        <v>4</v>
      </c>
      <c r="BA34" s="45">
        <v>4</v>
      </c>
      <c r="BB34" s="45">
        <v>1</v>
      </c>
      <c r="BC34" s="45">
        <v>1</v>
      </c>
      <c r="BD34" s="47">
        <f t="shared" si="10"/>
        <v>2.5</v>
      </c>
      <c r="BE34" s="45"/>
      <c r="BF34" s="45"/>
      <c r="BG34" s="45"/>
      <c r="BH34" s="45"/>
      <c r="BI34" s="46">
        <f t="shared" si="11"/>
        <v>0</v>
      </c>
      <c r="BJ34" s="45">
        <v>4</v>
      </c>
      <c r="BK34" s="45">
        <v>4</v>
      </c>
      <c r="BL34" s="45">
        <v>2</v>
      </c>
      <c r="BM34" s="45">
        <v>1</v>
      </c>
      <c r="BN34" s="46">
        <f t="shared" si="12"/>
        <v>2.75</v>
      </c>
      <c r="BO34" s="45"/>
      <c r="BP34" s="45"/>
      <c r="BQ34" s="45"/>
      <c r="BR34" s="45"/>
      <c r="BS34" s="46">
        <f t="shared" si="13"/>
        <v>0</v>
      </c>
      <c r="BT34" s="45"/>
      <c r="BU34" s="45"/>
      <c r="BV34" s="45"/>
      <c r="BW34" s="45"/>
      <c r="BX34" s="46">
        <f t="shared" si="14"/>
        <v>0</v>
      </c>
      <c r="BY34" s="45"/>
      <c r="BZ34" s="45"/>
      <c r="CA34" s="45"/>
      <c r="CB34" s="45"/>
      <c r="CC34" s="46">
        <f t="shared" si="15"/>
        <v>0</v>
      </c>
      <c r="CD34" s="45"/>
      <c r="CE34" s="45"/>
      <c r="CF34" s="45"/>
      <c r="CG34" s="45"/>
      <c r="CH34" s="46">
        <f t="shared" si="16"/>
        <v>0</v>
      </c>
      <c r="CI34" s="45"/>
      <c r="CJ34" s="45"/>
      <c r="CK34" s="45"/>
      <c r="CL34" s="45"/>
      <c r="CM34" s="46">
        <f t="shared" si="17"/>
        <v>0</v>
      </c>
    </row>
    <row r="35" spans="1:91" ht="275.25">
      <c r="A35" s="45">
        <v>6</v>
      </c>
      <c r="B35" s="50">
        <f t="shared" si="18"/>
        <v>31</v>
      </c>
      <c r="C35" s="51" t="s">
        <v>2773</v>
      </c>
      <c r="D35" s="45" t="s">
        <v>4148</v>
      </c>
      <c r="E35" s="45" t="s">
        <v>4711</v>
      </c>
      <c r="F35" s="45" t="s">
        <v>4712</v>
      </c>
      <c r="G35" s="45" t="s">
        <v>4713</v>
      </c>
      <c r="H35" s="45" t="s">
        <v>4714</v>
      </c>
      <c r="I35" s="90" t="s">
        <v>4715</v>
      </c>
      <c r="J35" s="45" t="s">
        <v>3575</v>
      </c>
      <c r="K35" s="53"/>
      <c r="L35" s="54" t="e">
        <f>INDEX([1]Timeline!$E$10:$E$24,MATCH(A35,[1]Timeline!$C$10:$C$24,0))</f>
        <v>#N/A</v>
      </c>
      <c r="M35" s="55">
        <v>44561</v>
      </c>
      <c r="N35" s="56">
        <v>7729920</v>
      </c>
      <c r="O35" s="57" t="e">
        <f t="shared" si="24"/>
        <v>#N/A</v>
      </c>
      <c r="P35" s="56" t="e">
        <f t="shared" si="0"/>
        <v>#N/A</v>
      </c>
      <c r="Q35" s="56" t="s">
        <v>2773</v>
      </c>
      <c r="R35" s="56">
        <v>1</v>
      </c>
      <c r="S35" s="56">
        <v>1</v>
      </c>
      <c r="T35" s="58">
        <f t="shared" si="19"/>
        <v>7729920</v>
      </c>
      <c r="U35" s="58" t="e">
        <f t="shared" si="20"/>
        <v>#N/A</v>
      </c>
      <c r="V35" s="58" t="e">
        <f t="shared" si="1"/>
        <v>#N/A</v>
      </c>
      <c r="W35" s="45">
        <v>1</v>
      </c>
      <c r="X35" s="59">
        <f t="shared" si="21"/>
        <v>2.666666666666667</v>
      </c>
      <c r="Y35" s="59">
        <f t="shared" si="22"/>
        <v>3.8333333333333335</v>
      </c>
      <c r="Z35" s="60">
        <f t="shared" si="23"/>
        <v>1.5</v>
      </c>
      <c r="AA35" s="45">
        <v>3</v>
      </c>
      <c r="AB35" s="45">
        <v>3</v>
      </c>
      <c r="AC35" s="45">
        <v>2</v>
      </c>
      <c r="AD35" s="45">
        <v>2</v>
      </c>
      <c r="AE35" s="46">
        <f t="shared" si="5"/>
        <v>2.5</v>
      </c>
      <c r="AF35" s="72">
        <v>4</v>
      </c>
      <c r="AG35" s="45">
        <v>4</v>
      </c>
      <c r="AH35" s="45">
        <v>1</v>
      </c>
      <c r="AI35" s="45">
        <v>2</v>
      </c>
      <c r="AJ35" s="61">
        <f t="shared" si="6"/>
        <v>2.75</v>
      </c>
      <c r="AK35" s="73">
        <v>4</v>
      </c>
      <c r="AL35" s="45">
        <v>4</v>
      </c>
      <c r="AM35" s="45">
        <v>1</v>
      </c>
      <c r="AN35" s="45">
        <v>1</v>
      </c>
      <c r="AO35" s="63">
        <f t="shared" si="7"/>
        <v>2.5</v>
      </c>
      <c r="AP35" s="64"/>
      <c r="AQ35" s="45"/>
      <c r="AR35" s="45"/>
      <c r="AS35" s="45"/>
      <c r="AT35" s="46">
        <f t="shared" si="8"/>
        <v>0</v>
      </c>
      <c r="AU35" s="45">
        <v>4</v>
      </c>
      <c r="AV35" s="45">
        <v>4</v>
      </c>
      <c r="AW35" s="45">
        <v>1</v>
      </c>
      <c r="AX35" s="45">
        <v>2</v>
      </c>
      <c r="AY35" s="46">
        <f t="shared" si="9"/>
        <v>2.75</v>
      </c>
      <c r="AZ35" s="45">
        <v>4</v>
      </c>
      <c r="BA35" s="45">
        <v>4</v>
      </c>
      <c r="BB35" s="45">
        <v>1</v>
      </c>
      <c r="BC35" s="45">
        <v>2</v>
      </c>
      <c r="BD35" s="47">
        <f t="shared" si="10"/>
        <v>2.75</v>
      </c>
      <c r="BE35" s="45"/>
      <c r="BF35" s="45"/>
      <c r="BG35" s="45"/>
      <c r="BH35" s="45"/>
      <c r="BI35" s="46">
        <f t="shared" si="11"/>
        <v>0</v>
      </c>
      <c r="BJ35" s="45">
        <v>4</v>
      </c>
      <c r="BK35" s="45">
        <v>4</v>
      </c>
      <c r="BL35" s="45">
        <v>1</v>
      </c>
      <c r="BM35" s="45">
        <v>2</v>
      </c>
      <c r="BN35" s="46">
        <f t="shared" si="12"/>
        <v>2.75</v>
      </c>
      <c r="BO35" s="45"/>
      <c r="BP35" s="45"/>
      <c r="BQ35" s="45"/>
      <c r="BR35" s="45"/>
      <c r="BS35" s="46">
        <f t="shared" si="13"/>
        <v>0</v>
      </c>
      <c r="BT35" s="45"/>
      <c r="BU35" s="45"/>
      <c r="BV35" s="45"/>
      <c r="BW35" s="45"/>
      <c r="BX35" s="46">
        <f t="shared" si="14"/>
        <v>0</v>
      </c>
      <c r="BY35" s="45"/>
      <c r="BZ35" s="45"/>
      <c r="CA35" s="45"/>
      <c r="CB35" s="45"/>
      <c r="CC35" s="46">
        <f t="shared" si="15"/>
        <v>0</v>
      </c>
      <c r="CD35" s="45"/>
      <c r="CE35" s="45"/>
      <c r="CF35" s="45"/>
      <c r="CG35" s="45"/>
      <c r="CH35" s="46">
        <f t="shared" si="16"/>
        <v>0</v>
      </c>
      <c r="CI35" s="45"/>
      <c r="CJ35" s="45"/>
      <c r="CK35" s="45"/>
      <c r="CL35" s="45"/>
      <c r="CM35" s="46">
        <f t="shared" si="17"/>
        <v>0</v>
      </c>
    </row>
    <row r="36" spans="1:91" ht="108" customHeight="1">
      <c r="A36" s="45">
        <v>7</v>
      </c>
      <c r="B36" s="50">
        <f t="shared" si="18"/>
        <v>32</v>
      </c>
      <c r="C36" s="51" t="s">
        <v>3457</v>
      </c>
      <c r="D36" s="45" t="s">
        <v>2841</v>
      </c>
      <c r="E36" s="45" t="s">
        <v>4716</v>
      </c>
      <c r="F36" s="45" t="s">
        <v>4717</v>
      </c>
      <c r="G36" s="45" t="s">
        <v>4718</v>
      </c>
      <c r="H36" s="45" t="s">
        <v>4719</v>
      </c>
      <c r="I36" s="90" t="s">
        <v>4720</v>
      </c>
      <c r="J36" s="45" t="s">
        <v>3575</v>
      </c>
      <c r="K36" s="53"/>
      <c r="L36" s="54" t="e">
        <f>INDEX([1]Timeline!$E$10:$E$24,MATCH(A36,[1]Timeline!$C$10:$C$24,0))</f>
        <v>#N/A</v>
      </c>
      <c r="M36" s="55">
        <v>44561</v>
      </c>
      <c r="N36" s="56">
        <v>100800</v>
      </c>
      <c r="O36" s="57" t="e">
        <f t="shared" si="24"/>
        <v>#N/A</v>
      </c>
      <c r="P36" s="56" t="e">
        <f t="shared" si="0"/>
        <v>#N/A</v>
      </c>
      <c r="Q36" s="56" t="s">
        <v>2841</v>
      </c>
      <c r="R36" s="56">
        <v>1</v>
      </c>
      <c r="S36" s="56">
        <v>1</v>
      </c>
      <c r="T36" s="58">
        <f t="shared" si="19"/>
        <v>100800</v>
      </c>
      <c r="U36" s="58" t="e">
        <f t="shared" si="20"/>
        <v>#N/A</v>
      </c>
      <c r="V36" s="58" t="e">
        <f t="shared" si="1"/>
        <v>#N/A</v>
      </c>
      <c r="W36" s="45">
        <v>1</v>
      </c>
      <c r="X36" s="59">
        <f t="shared" si="21"/>
        <v>2.9375</v>
      </c>
      <c r="Y36" s="59">
        <f t="shared" si="22"/>
        <v>4</v>
      </c>
      <c r="Z36" s="60">
        <f t="shared" si="23"/>
        <v>1.875</v>
      </c>
      <c r="AA36" s="45"/>
      <c r="AB36" s="45"/>
      <c r="AC36" s="45"/>
      <c r="AD36" s="45"/>
      <c r="AE36" s="46">
        <f t="shared" si="5"/>
        <v>0</v>
      </c>
      <c r="AF36" s="72"/>
      <c r="AG36" s="45"/>
      <c r="AH36" s="45"/>
      <c r="AI36" s="45"/>
      <c r="AJ36" s="61">
        <f t="shared" si="6"/>
        <v>0</v>
      </c>
      <c r="AK36" s="73">
        <v>4</v>
      </c>
      <c r="AL36" s="45">
        <v>4</v>
      </c>
      <c r="AM36" s="45">
        <v>2</v>
      </c>
      <c r="AN36" s="45">
        <v>2</v>
      </c>
      <c r="AO36" s="63">
        <f t="shared" si="7"/>
        <v>3</v>
      </c>
      <c r="AP36" s="64"/>
      <c r="AQ36" s="45"/>
      <c r="AR36" s="45"/>
      <c r="AS36" s="45"/>
      <c r="AT36" s="46">
        <f t="shared" si="8"/>
        <v>0</v>
      </c>
      <c r="AU36" s="45">
        <v>4</v>
      </c>
      <c r="AV36" s="45">
        <v>4</v>
      </c>
      <c r="AW36" s="45">
        <v>2</v>
      </c>
      <c r="AX36" s="45">
        <v>2</v>
      </c>
      <c r="AY36" s="46">
        <f t="shared" si="9"/>
        <v>3</v>
      </c>
      <c r="AZ36" s="45">
        <v>4</v>
      </c>
      <c r="BA36" s="45">
        <v>4</v>
      </c>
      <c r="BB36" s="45">
        <v>1</v>
      </c>
      <c r="BC36" s="45">
        <v>2</v>
      </c>
      <c r="BD36" s="47">
        <f t="shared" si="10"/>
        <v>2.75</v>
      </c>
      <c r="BE36" s="45"/>
      <c r="BF36" s="45"/>
      <c r="BG36" s="45"/>
      <c r="BH36" s="45"/>
      <c r="BI36" s="46">
        <f t="shared" si="11"/>
        <v>0</v>
      </c>
      <c r="BJ36" s="45">
        <v>4</v>
      </c>
      <c r="BK36" s="45">
        <v>4</v>
      </c>
      <c r="BL36" s="45">
        <v>2</v>
      </c>
      <c r="BM36" s="45">
        <v>2</v>
      </c>
      <c r="BN36" s="46">
        <f t="shared" si="12"/>
        <v>3</v>
      </c>
      <c r="BO36" s="45"/>
      <c r="BP36" s="45"/>
      <c r="BQ36" s="45"/>
      <c r="BR36" s="45"/>
      <c r="BS36" s="46">
        <f t="shared" si="13"/>
        <v>0</v>
      </c>
      <c r="BT36" s="45"/>
      <c r="BU36" s="45"/>
      <c r="BV36" s="45"/>
      <c r="BW36" s="45"/>
      <c r="BX36" s="46">
        <f t="shared" si="14"/>
        <v>0</v>
      </c>
      <c r="BY36" s="45"/>
      <c r="BZ36" s="45"/>
      <c r="CA36" s="45"/>
      <c r="CB36" s="45"/>
      <c r="CC36" s="46">
        <f t="shared" si="15"/>
        <v>0</v>
      </c>
      <c r="CD36" s="45"/>
      <c r="CE36" s="45"/>
      <c r="CF36" s="45"/>
      <c r="CG36" s="45"/>
      <c r="CH36" s="46">
        <f t="shared" si="16"/>
        <v>0</v>
      </c>
      <c r="CI36" s="45"/>
      <c r="CJ36" s="45"/>
      <c r="CK36" s="45"/>
      <c r="CL36" s="45"/>
      <c r="CM36" s="46">
        <f t="shared" si="17"/>
        <v>0</v>
      </c>
    </row>
    <row r="37" spans="1:91" ht="108" customHeight="1">
      <c r="A37" s="45">
        <v>7</v>
      </c>
      <c r="B37" s="50">
        <f t="shared" si="18"/>
        <v>33</v>
      </c>
      <c r="C37" s="51" t="s">
        <v>2817</v>
      </c>
      <c r="D37" s="45" t="s">
        <v>4721</v>
      </c>
      <c r="E37" s="45" t="s">
        <v>582</v>
      </c>
      <c r="F37" s="45" t="s">
        <v>4722</v>
      </c>
      <c r="G37" s="45" t="s">
        <v>4723</v>
      </c>
      <c r="H37" s="45" t="s">
        <v>4724</v>
      </c>
      <c r="I37" s="90" t="s">
        <v>4725</v>
      </c>
      <c r="J37" s="45" t="s">
        <v>3575</v>
      </c>
      <c r="K37" s="53"/>
      <c r="L37" s="54" t="e">
        <f>INDEX([1]Timeline!$E$10:$E$24,MATCH(A37,[1]Timeline!$C$10:$C$24,0))</f>
        <v>#N/A</v>
      </c>
      <c r="M37" s="55">
        <v>44561</v>
      </c>
      <c r="N37" s="56">
        <v>774000</v>
      </c>
      <c r="O37" s="57" t="e">
        <f t="shared" si="24"/>
        <v>#N/A</v>
      </c>
      <c r="P37" s="56" t="e">
        <f t="shared" si="0"/>
        <v>#N/A</v>
      </c>
      <c r="Q37" s="56" t="s">
        <v>2817</v>
      </c>
      <c r="R37" s="56">
        <v>1</v>
      </c>
      <c r="S37" s="56">
        <v>1</v>
      </c>
      <c r="T37" s="58">
        <f t="shared" si="19"/>
        <v>774000</v>
      </c>
      <c r="U37" s="58" t="e">
        <f t="shared" si="20"/>
        <v>#N/A</v>
      </c>
      <c r="V37" s="58" t="e">
        <f t="shared" si="1"/>
        <v>#N/A</v>
      </c>
      <c r="W37" s="45">
        <v>1</v>
      </c>
      <c r="X37" s="59">
        <f t="shared" si="21"/>
        <v>2.75</v>
      </c>
      <c r="Y37" s="59">
        <f t="shared" si="22"/>
        <v>3.6666666666666665</v>
      </c>
      <c r="Z37" s="60">
        <f t="shared" si="23"/>
        <v>1.8333333333333333</v>
      </c>
      <c r="AA37" s="45"/>
      <c r="AB37" s="45"/>
      <c r="AC37" s="45"/>
      <c r="AD37" s="45"/>
      <c r="AE37" s="46">
        <f t="shared" si="5"/>
        <v>0</v>
      </c>
      <c r="AF37" s="72"/>
      <c r="AG37" s="45"/>
      <c r="AH37" s="45"/>
      <c r="AI37" s="45"/>
      <c r="AJ37" s="61">
        <f t="shared" si="6"/>
        <v>0</v>
      </c>
      <c r="AK37" s="73">
        <v>3</v>
      </c>
      <c r="AL37" s="45">
        <v>4</v>
      </c>
      <c r="AM37" s="45">
        <v>2</v>
      </c>
      <c r="AN37" s="45">
        <v>2</v>
      </c>
      <c r="AO37" s="63">
        <f t="shared" si="7"/>
        <v>2.75</v>
      </c>
      <c r="AP37" s="64"/>
      <c r="AQ37" s="45"/>
      <c r="AR37" s="45"/>
      <c r="AS37" s="45"/>
      <c r="AT37" s="46">
        <f t="shared" si="8"/>
        <v>0</v>
      </c>
      <c r="AU37" s="45"/>
      <c r="AV37" s="45"/>
      <c r="AW37" s="45"/>
      <c r="AX37" s="45"/>
      <c r="AY37" s="46">
        <f t="shared" si="9"/>
        <v>0</v>
      </c>
      <c r="AZ37" s="45">
        <v>4</v>
      </c>
      <c r="BA37" s="45">
        <v>4</v>
      </c>
      <c r="BB37" s="45">
        <v>2</v>
      </c>
      <c r="BC37" s="45">
        <v>1</v>
      </c>
      <c r="BD37" s="47">
        <f t="shared" si="10"/>
        <v>2.75</v>
      </c>
      <c r="BE37" s="45"/>
      <c r="BF37" s="45"/>
      <c r="BG37" s="45"/>
      <c r="BH37" s="45"/>
      <c r="BI37" s="46">
        <f t="shared" si="11"/>
        <v>0</v>
      </c>
      <c r="BJ37" s="45">
        <v>3</v>
      </c>
      <c r="BK37" s="45">
        <v>4</v>
      </c>
      <c r="BL37" s="45">
        <v>2</v>
      </c>
      <c r="BM37" s="45">
        <v>2</v>
      </c>
      <c r="BN37" s="46">
        <f t="shared" si="12"/>
        <v>2.75</v>
      </c>
      <c r="BO37" s="45"/>
      <c r="BP37" s="45"/>
      <c r="BQ37" s="45"/>
      <c r="BR37" s="45"/>
      <c r="BS37" s="46">
        <f t="shared" si="13"/>
        <v>0</v>
      </c>
      <c r="BT37" s="45"/>
      <c r="BU37" s="45"/>
      <c r="BV37" s="45"/>
      <c r="BW37" s="45"/>
      <c r="BX37" s="46">
        <f t="shared" si="14"/>
        <v>0</v>
      </c>
      <c r="BY37" s="45"/>
      <c r="BZ37" s="45"/>
      <c r="CA37" s="45"/>
      <c r="CB37" s="45"/>
      <c r="CC37" s="46">
        <f t="shared" si="15"/>
        <v>0</v>
      </c>
      <c r="CD37" s="45"/>
      <c r="CE37" s="45"/>
      <c r="CF37" s="45"/>
      <c r="CG37" s="45"/>
      <c r="CH37" s="46">
        <f t="shared" si="16"/>
        <v>0</v>
      </c>
      <c r="CI37" s="45"/>
      <c r="CJ37" s="45"/>
      <c r="CK37" s="45"/>
      <c r="CL37" s="45"/>
      <c r="CM37" s="46">
        <f t="shared" si="17"/>
        <v>0</v>
      </c>
    </row>
    <row r="38" spans="1:91" ht="108" customHeight="1">
      <c r="A38" s="45">
        <v>7</v>
      </c>
      <c r="B38" s="50">
        <f t="shared" si="18"/>
        <v>34</v>
      </c>
      <c r="C38" s="51" t="s">
        <v>4654</v>
      </c>
      <c r="D38" s="45" t="s">
        <v>3432</v>
      </c>
      <c r="E38" s="45" t="s">
        <v>4165</v>
      </c>
      <c r="F38" s="45" t="s">
        <v>4726</v>
      </c>
      <c r="G38" s="45" t="s">
        <v>4727</v>
      </c>
      <c r="H38" s="45" t="s">
        <v>4728</v>
      </c>
      <c r="I38" s="90" t="s">
        <v>4729</v>
      </c>
      <c r="J38" s="45" t="s">
        <v>3575</v>
      </c>
      <c r="K38" s="53"/>
      <c r="L38" s="54" t="e">
        <f>INDEX([1]Timeline!$E$10:$E$24,MATCH(A38,[1]Timeline!$C$10:$C$24,0))</f>
        <v>#N/A</v>
      </c>
      <c r="M38" s="55">
        <v>44561</v>
      </c>
      <c r="N38" s="56">
        <v>616250</v>
      </c>
      <c r="O38" s="57" t="e">
        <f t="shared" si="24"/>
        <v>#N/A</v>
      </c>
      <c r="P38" s="56" t="e">
        <f t="shared" si="0"/>
        <v>#N/A</v>
      </c>
      <c r="Q38" s="56" t="s">
        <v>3432</v>
      </c>
      <c r="R38" s="56">
        <v>1</v>
      </c>
      <c r="S38" s="56">
        <v>1</v>
      </c>
      <c r="T38" s="58">
        <f t="shared" si="19"/>
        <v>616250</v>
      </c>
      <c r="U38" s="58" t="e">
        <f t="shared" si="20"/>
        <v>#N/A</v>
      </c>
      <c r="V38" s="58" t="e">
        <f t="shared" si="1"/>
        <v>#N/A</v>
      </c>
      <c r="W38" s="45">
        <v>1</v>
      </c>
      <c r="X38" s="59">
        <f t="shared" si="21"/>
        <v>2.7916666666666665</v>
      </c>
      <c r="Y38" s="59">
        <f t="shared" si="22"/>
        <v>3.9166666666666665</v>
      </c>
      <c r="Z38" s="60">
        <f t="shared" si="23"/>
        <v>1.6666666666666667</v>
      </c>
      <c r="AA38" s="45">
        <v>4</v>
      </c>
      <c r="AB38" s="45">
        <v>4</v>
      </c>
      <c r="AC38" s="45">
        <v>2</v>
      </c>
      <c r="AD38" s="45">
        <v>1</v>
      </c>
      <c r="AE38" s="46">
        <f t="shared" si="5"/>
        <v>2.75</v>
      </c>
      <c r="AF38" s="72">
        <v>4</v>
      </c>
      <c r="AG38" s="45">
        <v>4</v>
      </c>
      <c r="AH38" s="45">
        <v>1</v>
      </c>
      <c r="AI38" s="45">
        <v>2</v>
      </c>
      <c r="AJ38" s="61">
        <f t="shared" si="6"/>
        <v>2.75</v>
      </c>
      <c r="AK38" s="73">
        <v>4</v>
      </c>
      <c r="AL38" s="45">
        <v>3</v>
      </c>
      <c r="AM38" s="45">
        <v>1</v>
      </c>
      <c r="AN38" s="45">
        <v>1</v>
      </c>
      <c r="AO38" s="63">
        <f t="shared" si="7"/>
        <v>2.25</v>
      </c>
      <c r="AP38" s="64"/>
      <c r="AQ38" s="45"/>
      <c r="AR38" s="45"/>
      <c r="AS38" s="45"/>
      <c r="AT38" s="46">
        <f t="shared" si="8"/>
        <v>0</v>
      </c>
      <c r="AU38" s="45">
        <v>4</v>
      </c>
      <c r="AV38" s="45">
        <v>4</v>
      </c>
      <c r="AW38" s="45">
        <v>2</v>
      </c>
      <c r="AX38" s="45">
        <v>4</v>
      </c>
      <c r="AY38" s="46">
        <f t="shared" si="9"/>
        <v>3.5</v>
      </c>
      <c r="AZ38" s="45">
        <v>4</v>
      </c>
      <c r="BA38" s="45">
        <v>4</v>
      </c>
      <c r="BB38" s="45">
        <v>1</v>
      </c>
      <c r="BC38" s="45">
        <v>1</v>
      </c>
      <c r="BD38" s="47">
        <f t="shared" si="10"/>
        <v>2.5</v>
      </c>
      <c r="BE38" s="45"/>
      <c r="BF38" s="45"/>
      <c r="BG38" s="45"/>
      <c r="BH38" s="45"/>
      <c r="BI38" s="46">
        <f t="shared" si="11"/>
        <v>0</v>
      </c>
      <c r="BJ38" s="45">
        <v>4</v>
      </c>
      <c r="BK38" s="45">
        <v>4</v>
      </c>
      <c r="BL38" s="45">
        <v>2</v>
      </c>
      <c r="BM38" s="45">
        <v>2</v>
      </c>
      <c r="BN38" s="46">
        <f t="shared" si="12"/>
        <v>3</v>
      </c>
      <c r="BO38" s="45"/>
      <c r="BP38" s="45"/>
      <c r="BQ38" s="45"/>
      <c r="BR38" s="45"/>
      <c r="BS38" s="46">
        <f t="shared" si="13"/>
        <v>0</v>
      </c>
      <c r="BT38" s="45"/>
      <c r="BU38" s="45"/>
      <c r="BV38" s="45"/>
      <c r="BW38" s="45"/>
      <c r="BX38" s="46">
        <f t="shared" si="14"/>
        <v>0</v>
      </c>
      <c r="BY38" s="45"/>
      <c r="BZ38" s="45"/>
      <c r="CA38" s="45"/>
      <c r="CB38" s="45"/>
      <c r="CC38" s="46">
        <f t="shared" si="15"/>
        <v>0</v>
      </c>
      <c r="CD38" s="45"/>
      <c r="CE38" s="45"/>
      <c r="CF38" s="45"/>
      <c r="CG38" s="45"/>
      <c r="CH38" s="46">
        <f t="shared" si="16"/>
        <v>0</v>
      </c>
      <c r="CI38" s="45"/>
      <c r="CJ38" s="45"/>
      <c r="CK38" s="45"/>
      <c r="CL38" s="45"/>
      <c r="CM38" s="46">
        <f t="shared" si="17"/>
        <v>0</v>
      </c>
    </row>
    <row r="39" spans="1:91" ht="108" customHeight="1">
      <c r="A39" s="45">
        <v>7</v>
      </c>
      <c r="B39" s="50">
        <f t="shared" si="18"/>
        <v>35</v>
      </c>
      <c r="C39" s="51" t="s">
        <v>4631</v>
      </c>
      <c r="D39" s="45" t="s">
        <v>4730</v>
      </c>
      <c r="E39" s="45" t="s">
        <v>4731</v>
      </c>
      <c r="F39" s="45" t="s">
        <v>4732</v>
      </c>
      <c r="G39" s="45" t="s">
        <v>4733</v>
      </c>
      <c r="H39" s="45" t="s">
        <v>4734</v>
      </c>
      <c r="I39" s="90" t="s">
        <v>4735</v>
      </c>
      <c r="J39" s="45" t="s">
        <v>3575</v>
      </c>
      <c r="K39" s="53"/>
      <c r="L39" s="54" t="e">
        <f>INDEX([1]Timeline!$E$10:$E$24,MATCH(A39,[1]Timeline!$C$10:$C$24,0))</f>
        <v>#N/A</v>
      </c>
      <c r="M39" s="55">
        <v>44561</v>
      </c>
      <c r="N39" s="56"/>
      <c r="O39" s="57" t="e">
        <f t="shared" si="24"/>
        <v>#N/A</v>
      </c>
      <c r="P39" s="56" t="e">
        <f t="shared" si="0"/>
        <v>#N/A</v>
      </c>
      <c r="Q39" s="56" t="s">
        <v>4274</v>
      </c>
      <c r="R39" s="56">
        <v>1</v>
      </c>
      <c r="S39" s="56">
        <v>1</v>
      </c>
      <c r="T39" s="58">
        <f t="shared" si="19"/>
        <v>0</v>
      </c>
      <c r="U39" s="58" t="e">
        <f t="shared" si="20"/>
        <v>#N/A</v>
      </c>
      <c r="V39" s="58" t="e">
        <f t="shared" si="1"/>
        <v>#N/A</v>
      </c>
      <c r="W39" s="45">
        <v>1</v>
      </c>
      <c r="X39" s="59">
        <f t="shared" si="21"/>
        <v>2.5499999999999998</v>
      </c>
      <c r="Y39" s="59">
        <f t="shared" si="22"/>
        <v>3.5</v>
      </c>
      <c r="Z39" s="60">
        <f t="shared" si="23"/>
        <v>1.6</v>
      </c>
      <c r="AA39" s="45"/>
      <c r="AB39" s="45"/>
      <c r="AC39" s="45"/>
      <c r="AD39" s="45"/>
      <c r="AE39" s="46">
        <f t="shared" si="5"/>
        <v>0</v>
      </c>
      <c r="AF39" s="72">
        <v>4</v>
      </c>
      <c r="AG39" s="45">
        <v>3</v>
      </c>
      <c r="AH39" s="45">
        <v>1</v>
      </c>
      <c r="AI39" s="45">
        <v>2</v>
      </c>
      <c r="AJ39" s="61">
        <f t="shared" si="6"/>
        <v>2.5</v>
      </c>
      <c r="AK39" s="73">
        <v>4</v>
      </c>
      <c r="AL39" s="45">
        <v>3</v>
      </c>
      <c r="AM39" s="45">
        <v>1</v>
      </c>
      <c r="AN39" s="45">
        <v>2</v>
      </c>
      <c r="AO39" s="63">
        <f t="shared" si="7"/>
        <v>2.5</v>
      </c>
      <c r="AP39" s="64"/>
      <c r="AQ39" s="45"/>
      <c r="AR39" s="45"/>
      <c r="AS39" s="45"/>
      <c r="AT39" s="46">
        <f t="shared" si="8"/>
        <v>0</v>
      </c>
      <c r="AU39" s="45">
        <v>4</v>
      </c>
      <c r="AV39" s="45">
        <v>3</v>
      </c>
      <c r="AW39" s="45">
        <v>1</v>
      </c>
      <c r="AX39" s="45">
        <v>2</v>
      </c>
      <c r="AY39" s="46">
        <f t="shared" si="9"/>
        <v>2.5</v>
      </c>
      <c r="AZ39" s="45">
        <v>4</v>
      </c>
      <c r="BA39" s="45">
        <v>3</v>
      </c>
      <c r="BB39" s="45">
        <v>2</v>
      </c>
      <c r="BC39" s="45">
        <v>2</v>
      </c>
      <c r="BD39" s="47">
        <f t="shared" si="10"/>
        <v>2.75</v>
      </c>
      <c r="BE39" s="45"/>
      <c r="BF39" s="45"/>
      <c r="BG39" s="45"/>
      <c r="BH39" s="45"/>
      <c r="BI39" s="46">
        <f t="shared" si="11"/>
        <v>0</v>
      </c>
      <c r="BJ39" s="45">
        <v>4</v>
      </c>
      <c r="BK39" s="45">
        <v>3</v>
      </c>
      <c r="BL39" s="45">
        <v>1</v>
      </c>
      <c r="BM39" s="45">
        <v>2</v>
      </c>
      <c r="BN39" s="46">
        <f t="shared" si="12"/>
        <v>2.5</v>
      </c>
      <c r="BO39" s="45"/>
      <c r="BP39" s="45"/>
      <c r="BQ39" s="45"/>
      <c r="BR39" s="45"/>
      <c r="BS39" s="46">
        <f t="shared" si="13"/>
        <v>0</v>
      </c>
      <c r="BT39" s="45"/>
      <c r="BU39" s="45"/>
      <c r="BV39" s="45"/>
      <c r="BW39" s="45"/>
      <c r="BX39" s="46">
        <f t="shared" si="14"/>
        <v>0</v>
      </c>
      <c r="BY39" s="45"/>
      <c r="BZ39" s="45"/>
      <c r="CA39" s="45"/>
      <c r="CB39" s="45"/>
      <c r="CC39" s="46">
        <f t="shared" si="15"/>
        <v>0</v>
      </c>
      <c r="CD39" s="45"/>
      <c r="CE39" s="45"/>
      <c r="CF39" s="45"/>
      <c r="CG39" s="45"/>
      <c r="CH39" s="46">
        <f t="shared" si="16"/>
        <v>0</v>
      </c>
      <c r="CI39" s="45"/>
      <c r="CJ39" s="45"/>
      <c r="CK39" s="45"/>
      <c r="CL39" s="45"/>
      <c r="CM39" s="46">
        <f t="shared" si="17"/>
        <v>0</v>
      </c>
    </row>
    <row r="40" spans="1:91" ht="108" customHeight="1">
      <c r="A40" s="45">
        <v>7</v>
      </c>
      <c r="B40" s="50">
        <f t="shared" si="18"/>
        <v>36</v>
      </c>
      <c r="C40" s="51" t="s">
        <v>2773</v>
      </c>
      <c r="D40" s="45" t="s">
        <v>4575</v>
      </c>
      <c r="E40" s="45" t="s">
        <v>4736</v>
      </c>
      <c r="F40" s="45" t="s">
        <v>4737</v>
      </c>
      <c r="G40" s="45" t="s">
        <v>4738</v>
      </c>
      <c r="H40" s="45" t="s">
        <v>4739</v>
      </c>
      <c r="I40" s="90" t="s">
        <v>4740</v>
      </c>
      <c r="J40" s="45" t="s">
        <v>3575</v>
      </c>
      <c r="K40" s="53"/>
      <c r="L40" s="54" t="e">
        <f>INDEX([1]Timeline!$E$10:$E$24,MATCH(A40,[1]Timeline!$C$10:$C$24,0))</f>
        <v>#N/A</v>
      </c>
      <c r="M40" s="55">
        <v>44561</v>
      </c>
      <c r="N40" s="56">
        <v>127264</v>
      </c>
      <c r="O40" s="57" t="e">
        <f t="shared" si="24"/>
        <v>#N/A</v>
      </c>
      <c r="P40" s="56" t="e">
        <f t="shared" si="0"/>
        <v>#N/A</v>
      </c>
      <c r="Q40" s="56" t="s">
        <v>2773</v>
      </c>
      <c r="R40" s="56">
        <v>1</v>
      </c>
      <c r="S40" s="56">
        <v>1</v>
      </c>
      <c r="T40" s="58">
        <f t="shared" si="19"/>
        <v>127264</v>
      </c>
      <c r="U40" s="58" t="e">
        <f t="shared" si="20"/>
        <v>#N/A</v>
      </c>
      <c r="V40" s="58" t="e">
        <f t="shared" si="1"/>
        <v>#N/A</v>
      </c>
      <c r="W40" s="45">
        <v>1</v>
      </c>
      <c r="X40" s="59">
        <f t="shared" si="21"/>
        <v>2.4583333333333335</v>
      </c>
      <c r="Y40" s="59">
        <f t="shared" si="22"/>
        <v>3.8333333333333335</v>
      </c>
      <c r="Z40" s="60">
        <f t="shared" si="23"/>
        <v>1.0833333333333333</v>
      </c>
      <c r="AA40" s="45">
        <v>4</v>
      </c>
      <c r="AB40" s="45">
        <v>4</v>
      </c>
      <c r="AC40" s="45">
        <v>1</v>
      </c>
      <c r="AD40" s="45">
        <v>1</v>
      </c>
      <c r="AE40" s="46">
        <f t="shared" si="5"/>
        <v>2.5</v>
      </c>
      <c r="AF40" s="72">
        <v>3</v>
      </c>
      <c r="AG40" s="45">
        <v>3</v>
      </c>
      <c r="AH40" s="45">
        <v>1</v>
      </c>
      <c r="AI40" s="45">
        <v>2</v>
      </c>
      <c r="AJ40" s="61">
        <f t="shared" si="6"/>
        <v>2.25</v>
      </c>
      <c r="AK40" s="73">
        <v>4</v>
      </c>
      <c r="AL40" s="45">
        <v>4</v>
      </c>
      <c r="AM40" s="45">
        <v>1</v>
      </c>
      <c r="AN40" s="45">
        <v>1</v>
      </c>
      <c r="AO40" s="63">
        <f t="shared" si="7"/>
        <v>2.5</v>
      </c>
      <c r="AP40" s="64"/>
      <c r="AQ40" s="45"/>
      <c r="AR40" s="45"/>
      <c r="AS40" s="45"/>
      <c r="AT40" s="46">
        <f t="shared" si="8"/>
        <v>0</v>
      </c>
      <c r="AU40" s="45">
        <v>4</v>
      </c>
      <c r="AV40" s="45">
        <v>4</v>
      </c>
      <c r="AW40" s="45">
        <v>1</v>
      </c>
      <c r="AX40" s="45">
        <v>1</v>
      </c>
      <c r="AY40" s="46">
        <f t="shared" si="9"/>
        <v>2.5</v>
      </c>
      <c r="AZ40" s="45">
        <v>4</v>
      </c>
      <c r="BA40" s="45">
        <v>4</v>
      </c>
      <c r="BB40" s="45">
        <v>1</v>
      </c>
      <c r="BC40" s="45">
        <v>1</v>
      </c>
      <c r="BD40" s="47">
        <f t="shared" si="10"/>
        <v>2.5</v>
      </c>
      <c r="BE40" s="45"/>
      <c r="BF40" s="45"/>
      <c r="BG40" s="45"/>
      <c r="BH40" s="45"/>
      <c r="BI40" s="46">
        <f t="shared" si="11"/>
        <v>0</v>
      </c>
      <c r="BJ40" s="45">
        <v>4</v>
      </c>
      <c r="BK40" s="45">
        <v>4</v>
      </c>
      <c r="BL40" s="45">
        <v>1</v>
      </c>
      <c r="BM40" s="45">
        <v>1</v>
      </c>
      <c r="BN40" s="46">
        <f t="shared" si="12"/>
        <v>2.5</v>
      </c>
      <c r="BO40" s="45"/>
      <c r="BP40" s="45"/>
      <c r="BQ40" s="45"/>
      <c r="BR40" s="45"/>
      <c r="BS40" s="46">
        <f t="shared" si="13"/>
        <v>0</v>
      </c>
      <c r="BT40" s="45"/>
      <c r="BU40" s="45"/>
      <c r="BV40" s="45"/>
      <c r="BW40" s="45"/>
      <c r="BX40" s="46">
        <f t="shared" si="14"/>
        <v>0</v>
      </c>
      <c r="BY40" s="45"/>
      <c r="BZ40" s="45"/>
      <c r="CA40" s="45"/>
      <c r="CB40" s="45"/>
      <c r="CC40" s="46">
        <f t="shared" si="15"/>
        <v>0</v>
      </c>
      <c r="CD40" s="45"/>
      <c r="CE40" s="45"/>
      <c r="CF40" s="45"/>
      <c r="CG40" s="45"/>
      <c r="CH40" s="46">
        <f t="shared" si="16"/>
        <v>0</v>
      </c>
      <c r="CI40" s="45"/>
      <c r="CJ40" s="45"/>
      <c r="CK40" s="45"/>
      <c r="CL40" s="45"/>
      <c r="CM40" s="46">
        <f t="shared" si="17"/>
        <v>0</v>
      </c>
    </row>
    <row r="41" spans="1:91" ht="244.5">
      <c r="A41" s="45">
        <v>8</v>
      </c>
      <c r="B41" s="50">
        <f t="shared" si="18"/>
        <v>37</v>
      </c>
      <c r="C41" s="91" t="s">
        <v>3457</v>
      </c>
      <c r="D41" s="91" t="s">
        <v>4082</v>
      </c>
      <c r="E41" s="92" t="s">
        <v>4741</v>
      </c>
      <c r="F41" s="45" t="s">
        <v>4742</v>
      </c>
      <c r="G41" s="45" t="s">
        <v>4743</v>
      </c>
      <c r="H41" s="45" t="s">
        <v>4744</v>
      </c>
      <c r="I41" s="52" t="s">
        <v>4745</v>
      </c>
      <c r="J41" s="45" t="s">
        <v>3575</v>
      </c>
      <c r="K41" s="53"/>
      <c r="L41" s="54" t="e">
        <f>INDEX([1]Timeline!$E$10:$E$24,MATCH(A41,[1]Timeline!$C$10:$C$24,0))</f>
        <v>#N/A</v>
      </c>
      <c r="M41" s="55">
        <v>44561</v>
      </c>
      <c r="N41" s="56">
        <v>163500</v>
      </c>
      <c r="O41" s="57" t="e">
        <f t="shared" si="24"/>
        <v>#N/A</v>
      </c>
      <c r="P41" s="56" t="e">
        <f t="shared" si="0"/>
        <v>#N/A</v>
      </c>
      <c r="Q41" s="56" t="s">
        <v>4082</v>
      </c>
      <c r="R41" s="56">
        <v>1</v>
      </c>
      <c r="S41" s="56">
        <v>1</v>
      </c>
      <c r="T41" s="58">
        <f t="shared" si="19"/>
        <v>163500</v>
      </c>
      <c r="U41" s="58" t="e">
        <f t="shared" si="20"/>
        <v>#N/A</v>
      </c>
      <c r="V41" s="58" t="e">
        <f t="shared" si="1"/>
        <v>#N/A</v>
      </c>
      <c r="W41" s="45">
        <v>1</v>
      </c>
      <c r="X41" s="59">
        <f t="shared" si="21"/>
        <v>2.4750000000000001</v>
      </c>
      <c r="Y41" s="59">
        <f t="shared" si="22"/>
        <v>3.75</v>
      </c>
      <c r="Z41" s="60">
        <f t="shared" si="23"/>
        <v>1.2</v>
      </c>
      <c r="AA41" s="45"/>
      <c r="AB41" s="45"/>
      <c r="AC41" s="45"/>
      <c r="AD41" s="45"/>
      <c r="AE41" s="46">
        <f t="shared" si="5"/>
        <v>0</v>
      </c>
      <c r="AF41" s="45">
        <v>4</v>
      </c>
      <c r="AG41" s="45">
        <v>3</v>
      </c>
      <c r="AH41" s="45">
        <v>1</v>
      </c>
      <c r="AI41" s="45">
        <v>1</v>
      </c>
      <c r="AJ41" s="61">
        <f t="shared" si="6"/>
        <v>2.25</v>
      </c>
      <c r="AK41" s="73">
        <v>4</v>
      </c>
      <c r="AL41" s="45">
        <v>4</v>
      </c>
      <c r="AM41" s="45">
        <v>1</v>
      </c>
      <c r="AN41" s="45">
        <v>1</v>
      </c>
      <c r="AO41" s="63">
        <f t="shared" si="7"/>
        <v>2.5</v>
      </c>
      <c r="AP41" s="64"/>
      <c r="AQ41" s="45"/>
      <c r="AR41" s="45"/>
      <c r="AS41" s="45"/>
      <c r="AT41" s="46">
        <f t="shared" si="8"/>
        <v>0</v>
      </c>
      <c r="AU41" s="45">
        <v>4</v>
      </c>
      <c r="AV41" s="45">
        <v>3</v>
      </c>
      <c r="AW41" s="45"/>
      <c r="AX41" s="45"/>
      <c r="AY41" s="46">
        <f t="shared" si="9"/>
        <v>1.75</v>
      </c>
      <c r="AZ41" s="45">
        <v>4</v>
      </c>
      <c r="BA41" s="45">
        <v>4</v>
      </c>
      <c r="BB41" s="45">
        <v>1</v>
      </c>
      <c r="BC41" s="45">
        <v>1</v>
      </c>
      <c r="BD41" s="47">
        <f t="shared" si="10"/>
        <v>2.5</v>
      </c>
      <c r="BE41" s="45">
        <v>3</v>
      </c>
      <c r="BF41" s="45">
        <v>4</v>
      </c>
      <c r="BG41" s="45">
        <v>2</v>
      </c>
      <c r="BH41" s="45">
        <v>2</v>
      </c>
      <c r="BI41" s="47">
        <f t="shared" si="11"/>
        <v>2.75</v>
      </c>
      <c r="BJ41" s="45">
        <v>4</v>
      </c>
      <c r="BK41" s="45">
        <v>4</v>
      </c>
      <c r="BL41" s="45">
        <v>1</v>
      </c>
      <c r="BM41" s="45">
        <v>1</v>
      </c>
      <c r="BN41" s="47">
        <f t="shared" si="12"/>
        <v>2.5</v>
      </c>
      <c r="BO41" s="45"/>
      <c r="BP41" s="45"/>
      <c r="BQ41" s="45"/>
      <c r="BR41" s="45"/>
      <c r="BS41" s="46">
        <f t="shared" si="13"/>
        <v>0</v>
      </c>
      <c r="BT41" s="45"/>
      <c r="BU41" s="45"/>
      <c r="BV41" s="45"/>
      <c r="BW41" s="45"/>
      <c r="BX41" s="46">
        <f t="shared" si="14"/>
        <v>0</v>
      </c>
      <c r="BY41" s="45"/>
      <c r="BZ41" s="45"/>
      <c r="CA41" s="45"/>
      <c r="CB41" s="45"/>
      <c r="CC41" s="46">
        <f t="shared" si="15"/>
        <v>0</v>
      </c>
      <c r="CD41" s="45"/>
      <c r="CE41" s="45"/>
      <c r="CF41" s="45"/>
      <c r="CG41" s="45"/>
      <c r="CH41" s="46">
        <f t="shared" si="16"/>
        <v>0</v>
      </c>
      <c r="CI41" s="45"/>
      <c r="CJ41" s="45"/>
      <c r="CK41" s="45"/>
      <c r="CL41" s="45"/>
      <c r="CM41" s="46">
        <f t="shared" si="17"/>
        <v>0</v>
      </c>
    </row>
    <row r="42" spans="1:91" ht="336">
      <c r="A42" s="45">
        <v>8</v>
      </c>
      <c r="B42" s="50">
        <f t="shared" si="18"/>
        <v>38</v>
      </c>
      <c r="C42" s="93" t="s">
        <v>2773</v>
      </c>
      <c r="D42" s="93" t="s">
        <v>4243</v>
      </c>
      <c r="E42" s="94" t="s">
        <v>4746</v>
      </c>
      <c r="F42" s="45" t="s">
        <v>4747</v>
      </c>
      <c r="G42" s="45" t="s">
        <v>4748</v>
      </c>
      <c r="H42" s="74" t="s">
        <v>4749</v>
      </c>
      <c r="I42" s="52" t="s">
        <v>4750</v>
      </c>
      <c r="J42" s="45" t="s">
        <v>3575</v>
      </c>
      <c r="K42" s="53"/>
      <c r="L42" s="54" t="e">
        <f>INDEX([1]Timeline!$E$10:$E$24,MATCH(A42,[1]Timeline!$C$10:$C$24,0))</f>
        <v>#N/A</v>
      </c>
      <c r="M42" s="55">
        <v>44561</v>
      </c>
      <c r="N42" s="56">
        <v>1020000</v>
      </c>
      <c r="O42" s="57" t="e">
        <f t="shared" si="24"/>
        <v>#N/A</v>
      </c>
      <c r="P42" s="56" t="e">
        <f t="shared" si="0"/>
        <v>#N/A</v>
      </c>
      <c r="Q42" s="56" t="s">
        <v>2773</v>
      </c>
      <c r="R42" s="56">
        <v>1</v>
      </c>
      <c r="S42" s="56">
        <v>1</v>
      </c>
      <c r="T42" s="58">
        <f t="shared" si="19"/>
        <v>1020000</v>
      </c>
      <c r="U42" s="58" t="e">
        <f t="shared" si="20"/>
        <v>#N/A</v>
      </c>
      <c r="V42" s="58" t="e">
        <f t="shared" si="1"/>
        <v>#N/A</v>
      </c>
      <c r="W42" s="45">
        <v>1</v>
      </c>
      <c r="X42" s="59">
        <f t="shared" si="21"/>
        <v>2.4583333333333335</v>
      </c>
      <c r="Y42" s="59">
        <f t="shared" si="22"/>
        <v>3.75</v>
      </c>
      <c r="Z42" s="60">
        <f t="shared" si="23"/>
        <v>1.1666666666666667</v>
      </c>
      <c r="AA42" s="45"/>
      <c r="AB42" s="45"/>
      <c r="AC42" s="45"/>
      <c r="AD42" s="45"/>
      <c r="AE42" s="46">
        <f t="shared" si="5"/>
        <v>0</v>
      </c>
      <c r="AF42" s="45">
        <v>3</v>
      </c>
      <c r="AG42" s="45">
        <v>4</v>
      </c>
      <c r="AH42" s="45">
        <v>1</v>
      </c>
      <c r="AI42" s="45">
        <v>1</v>
      </c>
      <c r="AJ42" s="61">
        <f t="shared" si="6"/>
        <v>2.25</v>
      </c>
      <c r="AK42" s="73">
        <v>4</v>
      </c>
      <c r="AL42" s="45">
        <v>4</v>
      </c>
      <c r="AM42" s="45">
        <v>1</v>
      </c>
      <c r="AN42" s="45">
        <v>1</v>
      </c>
      <c r="AO42" s="63">
        <f t="shared" si="7"/>
        <v>2.5</v>
      </c>
      <c r="AP42" s="64"/>
      <c r="AQ42" s="45"/>
      <c r="AR42" s="45"/>
      <c r="AS42" s="45"/>
      <c r="AT42" s="46">
        <f t="shared" si="8"/>
        <v>0</v>
      </c>
      <c r="AU42" s="45">
        <v>3</v>
      </c>
      <c r="AV42" s="45">
        <v>4</v>
      </c>
      <c r="AW42" s="45">
        <v>1</v>
      </c>
      <c r="AX42" s="45">
        <v>1</v>
      </c>
      <c r="AY42" s="46">
        <f t="shared" si="9"/>
        <v>2.25</v>
      </c>
      <c r="AZ42" s="45">
        <v>4</v>
      </c>
      <c r="BA42" s="45">
        <v>4</v>
      </c>
      <c r="BB42" s="45">
        <v>1</v>
      </c>
      <c r="BC42" s="45">
        <v>1</v>
      </c>
      <c r="BD42" s="47">
        <f t="shared" si="10"/>
        <v>2.5</v>
      </c>
      <c r="BE42" s="45">
        <v>4</v>
      </c>
      <c r="BF42" s="45">
        <v>3</v>
      </c>
      <c r="BG42" s="45">
        <v>2</v>
      </c>
      <c r="BH42" s="45">
        <v>2</v>
      </c>
      <c r="BI42" s="47">
        <f t="shared" si="11"/>
        <v>2.75</v>
      </c>
      <c r="BJ42" s="45">
        <v>4</v>
      </c>
      <c r="BK42" s="45">
        <v>4</v>
      </c>
      <c r="BL42" s="45">
        <v>1</v>
      </c>
      <c r="BM42" s="45">
        <v>1</v>
      </c>
      <c r="BN42" s="46">
        <f t="shared" si="12"/>
        <v>2.5</v>
      </c>
      <c r="BO42" s="45"/>
      <c r="BP42" s="45"/>
      <c r="BQ42" s="45"/>
      <c r="BR42" s="45"/>
      <c r="BS42" s="46">
        <f t="shared" si="13"/>
        <v>0</v>
      </c>
      <c r="BT42" s="45"/>
      <c r="BU42" s="45"/>
      <c r="BV42" s="45"/>
      <c r="BW42" s="45"/>
      <c r="BX42" s="46">
        <f t="shared" si="14"/>
        <v>0</v>
      </c>
      <c r="BY42" s="45"/>
      <c r="BZ42" s="45"/>
      <c r="CA42" s="45"/>
      <c r="CB42" s="45"/>
      <c r="CC42" s="46">
        <f t="shared" si="15"/>
        <v>0</v>
      </c>
      <c r="CD42" s="45"/>
      <c r="CE42" s="45"/>
      <c r="CF42" s="45"/>
      <c r="CG42" s="45"/>
      <c r="CH42" s="46">
        <f t="shared" si="16"/>
        <v>0</v>
      </c>
      <c r="CI42" s="45"/>
      <c r="CJ42" s="45"/>
      <c r="CK42" s="45"/>
      <c r="CL42" s="45"/>
      <c r="CM42" s="46">
        <f t="shared" si="17"/>
        <v>0</v>
      </c>
    </row>
    <row r="43" spans="1:91" ht="168">
      <c r="A43" s="45">
        <v>9</v>
      </c>
      <c r="B43" s="50">
        <f t="shared" si="18"/>
        <v>39</v>
      </c>
      <c r="C43" s="91" t="s">
        <v>4631</v>
      </c>
      <c r="D43" s="91" t="s">
        <v>3758</v>
      </c>
      <c r="E43" s="91" t="s">
        <v>4751</v>
      </c>
      <c r="F43" s="91" t="s">
        <v>4752</v>
      </c>
      <c r="G43" s="45" t="s">
        <v>4753</v>
      </c>
      <c r="H43" s="45" t="s">
        <v>4754</v>
      </c>
      <c r="I43" s="52" t="s">
        <v>4755</v>
      </c>
      <c r="J43" s="45" t="s">
        <v>3575</v>
      </c>
      <c r="K43" s="53"/>
      <c r="L43" s="54" t="e">
        <f>INDEX([1]Timeline!$E$10:$E$24,MATCH(A43,[1]Timeline!$C$10:$C$24,0))</f>
        <v>#N/A</v>
      </c>
      <c r="M43" s="55">
        <v>44561</v>
      </c>
      <c r="N43" s="56">
        <v>218925</v>
      </c>
      <c r="O43" s="57">
        <v>0</v>
      </c>
      <c r="P43" s="56" t="e">
        <f t="shared" si="0"/>
        <v>#N/A</v>
      </c>
      <c r="Q43" s="56" t="s">
        <v>1482</v>
      </c>
      <c r="R43" s="56">
        <v>1</v>
      </c>
      <c r="S43" s="56">
        <v>1</v>
      </c>
      <c r="T43" s="58">
        <f t="shared" si="19"/>
        <v>218925</v>
      </c>
      <c r="U43" s="58" t="e">
        <f t="shared" si="20"/>
        <v>#N/A</v>
      </c>
      <c r="V43" s="58" t="e">
        <f t="shared" si="1"/>
        <v>#N/A</v>
      </c>
      <c r="W43" s="45">
        <v>1</v>
      </c>
      <c r="X43" s="59">
        <f t="shared" si="21"/>
        <v>2.75</v>
      </c>
      <c r="Y43" s="59">
        <f t="shared" si="22"/>
        <v>2.75</v>
      </c>
      <c r="Z43" s="60">
        <f t="shared" si="23"/>
        <v>2.75</v>
      </c>
      <c r="AA43" s="45"/>
      <c r="AB43" s="45"/>
      <c r="AC43" s="45"/>
      <c r="AD43" s="45"/>
      <c r="AE43" s="46">
        <f t="shared" si="5"/>
        <v>0</v>
      </c>
      <c r="AF43" s="45">
        <v>4</v>
      </c>
      <c r="AG43" s="45">
        <v>3</v>
      </c>
      <c r="AH43" s="45">
        <v>2</v>
      </c>
      <c r="AI43" s="45">
        <v>4</v>
      </c>
      <c r="AJ43" s="61">
        <f t="shared" si="6"/>
        <v>3.25</v>
      </c>
      <c r="AK43" s="73">
        <v>3</v>
      </c>
      <c r="AL43" s="45">
        <v>2</v>
      </c>
      <c r="AM43" s="45">
        <v>2</v>
      </c>
      <c r="AN43" s="45">
        <v>4</v>
      </c>
      <c r="AO43" s="63">
        <f t="shared" si="7"/>
        <v>2.75</v>
      </c>
      <c r="AP43" s="64"/>
      <c r="AQ43" s="45"/>
      <c r="AR43" s="45"/>
      <c r="AS43" s="45"/>
      <c r="AT43" s="46">
        <f t="shared" si="8"/>
        <v>0</v>
      </c>
      <c r="AU43" s="45">
        <v>3</v>
      </c>
      <c r="AV43" s="45">
        <v>3</v>
      </c>
      <c r="AW43" s="45">
        <v>3</v>
      </c>
      <c r="AX43" s="45">
        <v>2</v>
      </c>
      <c r="AY43" s="46">
        <f t="shared" si="9"/>
        <v>2.75</v>
      </c>
      <c r="AZ43" s="45">
        <v>2</v>
      </c>
      <c r="BA43" s="45">
        <v>2</v>
      </c>
      <c r="BB43" s="45">
        <v>2</v>
      </c>
      <c r="BC43" s="45">
        <v>4</v>
      </c>
      <c r="BD43" s="47">
        <f t="shared" si="10"/>
        <v>2.5</v>
      </c>
      <c r="BE43" s="45">
        <v>2</v>
      </c>
      <c r="BF43" s="45">
        <v>3</v>
      </c>
      <c r="BG43" s="45">
        <v>2</v>
      </c>
      <c r="BH43" s="45">
        <v>2</v>
      </c>
      <c r="BI43" s="47">
        <f t="shared" si="11"/>
        <v>2.25</v>
      </c>
      <c r="BJ43" s="45">
        <v>3</v>
      </c>
      <c r="BK43" s="45">
        <v>3</v>
      </c>
      <c r="BL43" s="45">
        <v>3</v>
      </c>
      <c r="BM43" s="45">
        <v>3</v>
      </c>
      <c r="BN43" s="46">
        <f t="shared" si="12"/>
        <v>3</v>
      </c>
      <c r="BO43" s="45"/>
      <c r="BP43" s="45"/>
      <c r="BQ43" s="45"/>
      <c r="BR43" s="45"/>
      <c r="BS43" s="46">
        <f t="shared" si="13"/>
        <v>0</v>
      </c>
      <c r="BT43" s="45"/>
      <c r="BU43" s="45"/>
      <c r="BV43" s="45"/>
      <c r="BW43" s="45"/>
      <c r="BX43" s="46">
        <f t="shared" si="14"/>
        <v>0</v>
      </c>
      <c r="BY43" s="45"/>
      <c r="BZ43" s="45"/>
      <c r="CA43" s="45"/>
      <c r="CB43" s="45"/>
      <c r="CC43" s="46">
        <f t="shared" si="15"/>
        <v>0</v>
      </c>
      <c r="CD43" s="45"/>
      <c r="CE43" s="45"/>
      <c r="CF43" s="45"/>
      <c r="CG43" s="45"/>
      <c r="CH43" s="46">
        <f t="shared" si="16"/>
        <v>0</v>
      </c>
      <c r="CI43" s="45"/>
      <c r="CJ43" s="45"/>
      <c r="CK43" s="45"/>
      <c r="CL43" s="45"/>
      <c r="CM43" s="46">
        <f t="shared" si="17"/>
        <v>0</v>
      </c>
    </row>
    <row r="44" spans="1:91" ht="183">
      <c r="A44" s="45">
        <v>9</v>
      </c>
      <c r="B44" s="50">
        <f t="shared" si="18"/>
        <v>40</v>
      </c>
      <c r="C44" s="91" t="s">
        <v>2773</v>
      </c>
      <c r="D44" s="91" t="s">
        <v>3998</v>
      </c>
      <c r="E44" s="95" t="s">
        <v>4756</v>
      </c>
      <c r="F44" s="45" t="s">
        <v>4757</v>
      </c>
      <c r="G44" s="45" t="s">
        <v>4758</v>
      </c>
      <c r="H44" s="45" t="s">
        <v>4759</v>
      </c>
      <c r="I44" s="52" t="s">
        <v>4760</v>
      </c>
      <c r="J44" s="45" t="s">
        <v>3575</v>
      </c>
      <c r="K44" s="53"/>
      <c r="L44" s="54" t="e">
        <f>INDEX([1]Timeline!$E$10:$E$24,MATCH(A44,[1]Timeline!$C$10:$C$24,0))</f>
        <v>#N/A</v>
      </c>
      <c r="M44" s="55">
        <v>44561</v>
      </c>
      <c r="N44" s="56">
        <v>3159840</v>
      </c>
      <c r="O44" s="57">
        <v>0</v>
      </c>
      <c r="P44" s="56" t="e">
        <f t="shared" si="0"/>
        <v>#N/A</v>
      </c>
      <c r="Q44" s="56" t="s">
        <v>2773</v>
      </c>
      <c r="R44" s="56">
        <v>1</v>
      </c>
      <c r="S44" s="56">
        <v>1</v>
      </c>
      <c r="T44" s="58">
        <f t="shared" si="19"/>
        <v>3159840</v>
      </c>
      <c r="U44" s="58" t="e">
        <f t="shared" si="20"/>
        <v>#N/A</v>
      </c>
      <c r="V44" s="58" t="e">
        <f t="shared" si="1"/>
        <v>#N/A</v>
      </c>
      <c r="W44" s="45">
        <v>1</v>
      </c>
      <c r="X44" s="59">
        <f t="shared" si="21"/>
        <v>2.625</v>
      </c>
      <c r="Y44" s="59">
        <f t="shared" si="22"/>
        <v>3.9166666666666665</v>
      </c>
      <c r="Z44" s="60">
        <f t="shared" si="23"/>
        <v>1.3333333333333333</v>
      </c>
      <c r="AA44" s="45"/>
      <c r="AB44" s="45"/>
      <c r="AC44" s="45"/>
      <c r="AD44" s="45"/>
      <c r="AE44" s="46">
        <f t="shared" si="5"/>
        <v>0</v>
      </c>
      <c r="AF44" s="45">
        <v>4</v>
      </c>
      <c r="AG44" s="45">
        <v>4</v>
      </c>
      <c r="AH44" s="45">
        <v>1</v>
      </c>
      <c r="AI44" s="45">
        <v>2</v>
      </c>
      <c r="AJ44" s="61">
        <f t="shared" si="6"/>
        <v>2.75</v>
      </c>
      <c r="AK44" s="73">
        <v>4</v>
      </c>
      <c r="AL44" s="45">
        <v>4</v>
      </c>
      <c r="AM44" s="45">
        <v>1</v>
      </c>
      <c r="AN44" s="45">
        <v>1</v>
      </c>
      <c r="AO44" s="63">
        <f t="shared" si="7"/>
        <v>2.5</v>
      </c>
      <c r="AP44" s="64"/>
      <c r="AQ44" s="45"/>
      <c r="AR44" s="45"/>
      <c r="AS44" s="45"/>
      <c r="AT44" s="46">
        <f t="shared" si="8"/>
        <v>0</v>
      </c>
      <c r="AU44" s="45">
        <v>4</v>
      </c>
      <c r="AV44" s="45">
        <v>4</v>
      </c>
      <c r="AW44" s="45">
        <v>1</v>
      </c>
      <c r="AX44" s="45">
        <v>2</v>
      </c>
      <c r="AY44" s="46">
        <f t="shared" si="9"/>
        <v>2.75</v>
      </c>
      <c r="AZ44" s="45">
        <v>4</v>
      </c>
      <c r="BA44" s="45">
        <v>4</v>
      </c>
      <c r="BB44" s="45">
        <v>1</v>
      </c>
      <c r="BC44" s="45">
        <v>1</v>
      </c>
      <c r="BD44" s="47">
        <f t="shared" si="10"/>
        <v>2.5</v>
      </c>
      <c r="BE44" s="45">
        <v>4</v>
      </c>
      <c r="BF44" s="45">
        <v>3</v>
      </c>
      <c r="BG44" s="45">
        <v>2</v>
      </c>
      <c r="BH44" s="45">
        <v>1</v>
      </c>
      <c r="BI44" s="45"/>
      <c r="BJ44" s="45">
        <v>4</v>
      </c>
      <c r="BK44" s="45">
        <v>4</v>
      </c>
      <c r="BL44" s="45">
        <v>1</v>
      </c>
      <c r="BM44" s="45">
        <v>2</v>
      </c>
      <c r="BN44" s="46">
        <f t="shared" si="12"/>
        <v>2.75</v>
      </c>
      <c r="BO44" s="45"/>
      <c r="BP44" s="45"/>
      <c r="BQ44" s="45"/>
      <c r="BR44" s="45"/>
      <c r="BS44" s="46">
        <f t="shared" si="13"/>
        <v>0</v>
      </c>
      <c r="BT44" s="45"/>
      <c r="BU44" s="45"/>
      <c r="BV44" s="45"/>
      <c r="BW44" s="45"/>
      <c r="BX44" s="46">
        <f t="shared" si="14"/>
        <v>0</v>
      </c>
      <c r="BY44" s="45"/>
      <c r="BZ44" s="45"/>
      <c r="CA44" s="45"/>
      <c r="CB44" s="45"/>
      <c r="CC44" s="46">
        <f t="shared" si="15"/>
        <v>0</v>
      </c>
      <c r="CD44" s="45"/>
      <c r="CE44" s="45"/>
      <c r="CF44" s="45"/>
      <c r="CG44" s="45"/>
      <c r="CH44" s="46">
        <f t="shared" si="16"/>
        <v>0</v>
      </c>
      <c r="CI44" s="45"/>
      <c r="CJ44" s="45"/>
      <c r="CK44" s="45"/>
      <c r="CL44" s="45"/>
      <c r="CM44" s="46">
        <f t="shared" si="17"/>
        <v>0</v>
      </c>
    </row>
    <row r="45" spans="1:91" ht="135.75" customHeight="1">
      <c r="A45" s="45">
        <v>9</v>
      </c>
      <c r="B45" s="50">
        <f t="shared" si="18"/>
        <v>41</v>
      </c>
      <c r="C45" s="91" t="s">
        <v>2773</v>
      </c>
      <c r="D45" s="91" t="s">
        <v>4120</v>
      </c>
      <c r="E45" s="95" t="s">
        <v>4761</v>
      </c>
      <c r="F45" s="45" t="s">
        <v>4762</v>
      </c>
      <c r="G45" s="45" t="s">
        <v>4763</v>
      </c>
      <c r="H45" s="74" t="s">
        <v>4764</v>
      </c>
      <c r="I45" s="52" t="s">
        <v>4765</v>
      </c>
      <c r="J45" s="45" t="s">
        <v>3575</v>
      </c>
      <c r="K45" s="53"/>
      <c r="L45" s="54" t="e">
        <f>INDEX([1]Timeline!$E$10:$E$24,MATCH(A45,[1]Timeline!$C$10:$C$24,0))</f>
        <v>#N/A</v>
      </c>
      <c r="M45" s="55">
        <v>44561</v>
      </c>
      <c r="N45" s="56">
        <v>31000</v>
      </c>
      <c r="O45" s="57">
        <v>0</v>
      </c>
      <c r="P45" s="56" t="e">
        <f t="shared" si="0"/>
        <v>#N/A</v>
      </c>
      <c r="Q45" s="56" t="s">
        <v>2773</v>
      </c>
      <c r="R45" s="56">
        <v>1</v>
      </c>
      <c r="S45" s="56">
        <v>1</v>
      </c>
      <c r="T45" s="58">
        <f t="shared" si="19"/>
        <v>31000</v>
      </c>
      <c r="U45" s="58" t="e">
        <f t="shared" si="20"/>
        <v>#N/A</v>
      </c>
      <c r="V45" s="58" t="e">
        <f t="shared" si="1"/>
        <v>#N/A</v>
      </c>
      <c r="W45" s="45">
        <v>1</v>
      </c>
      <c r="X45" s="59">
        <f t="shared" si="21"/>
        <v>2.958333333333333</v>
      </c>
      <c r="Y45" s="59">
        <f t="shared" si="22"/>
        <v>3.9166666666666665</v>
      </c>
      <c r="Z45" s="60">
        <f t="shared" si="23"/>
        <v>2</v>
      </c>
      <c r="AA45" s="45"/>
      <c r="AB45" s="45"/>
      <c r="AC45" s="45"/>
      <c r="AD45" s="45"/>
      <c r="AE45" s="46">
        <f t="shared" si="5"/>
        <v>0</v>
      </c>
      <c r="AF45" s="45">
        <v>4</v>
      </c>
      <c r="AG45" s="45">
        <v>3</v>
      </c>
      <c r="AH45" s="45">
        <v>3</v>
      </c>
      <c r="AI45" s="96">
        <v>2</v>
      </c>
      <c r="AJ45" s="61">
        <f t="shared" si="6"/>
        <v>3</v>
      </c>
      <c r="AK45" s="73">
        <v>4</v>
      </c>
      <c r="AL45" s="45">
        <v>4</v>
      </c>
      <c r="AM45" s="45">
        <v>2</v>
      </c>
      <c r="AN45" s="45">
        <v>1</v>
      </c>
      <c r="AO45" s="63">
        <f t="shared" si="7"/>
        <v>2.75</v>
      </c>
      <c r="AP45" s="64"/>
      <c r="AQ45" s="45"/>
      <c r="AR45" s="45"/>
      <c r="AS45" s="45"/>
      <c r="AT45" s="46">
        <f t="shared" si="8"/>
        <v>0</v>
      </c>
      <c r="AU45" s="45">
        <v>4</v>
      </c>
      <c r="AV45" s="45">
        <v>4</v>
      </c>
      <c r="AW45" s="45">
        <v>2</v>
      </c>
      <c r="AX45" s="45">
        <v>2</v>
      </c>
      <c r="AY45" s="46">
        <f t="shared" si="9"/>
        <v>3</v>
      </c>
      <c r="AZ45" s="45">
        <v>4</v>
      </c>
      <c r="BA45" s="45">
        <v>4</v>
      </c>
      <c r="BB45" s="45">
        <v>2</v>
      </c>
      <c r="BC45" s="45">
        <v>2</v>
      </c>
      <c r="BD45" s="47">
        <f t="shared" si="10"/>
        <v>3</v>
      </c>
      <c r="BE45" s="45">
        <v>4</v>
      </c>
      <c r="BF45" s="45">
        <v>4</v>
      </c>
      <c r="BG45" s="45">
        <v>2</v>
      </c>
      <c r="BH45" s="45">
        <v>2</v>
      </c>
      <c r="BI45" s="45"/>
      <c r="BJ45" s="45">
        <v>4</v>
      </c>
      <c r="BK45" s="45">
        <v>4</v>
      </c>
      <c r="BL45" s="45">
        <v>2</v>
      </c>
      <c r="BM45" s="45">
        <v>2</v>
      </c>
      <c r="BN45" s="46">
        <f t="shared" si="12"/>
        <v>3</v>
      </c>
      <c r="BO45" s="45"/>
      <c r="BP45" s="45"/>
      <c r="BQ45" s="45"/>
      <c r="BR45" s="45"/>
      <c r="BS45" s="46">
        <f t="shared" si="13"/>
        <v>0</v>
      </c>
      <c r="BT45" s="45"/>
      <c r="BU45" s="45"/>
      <c r="BV45" s="45"/>
      <c r="BW45" s="45"/>
      <c r="BX45" s="46">
        <f t="shared" si="14"/>
        <v>0</v>
      </c>
      <c r="BY45" s="45"/>
      <c r="BZ45" s="45"/>
      <c r="CA45" s="45"/>
      <c r="CB45" s="45"/>
      <c r="CC45" s="46">
        <f t="shared" si="15"/>
        <v>0</v>
      </c>
      <c r="CD45" s="45"/>
      <c r="CE45" s="45"/>
      <c r="CF45" s="45"/>
      <c r="CG45" s="45"/>
      <c r="CH45" s="46">
        <f t="shared" si="16"/>
        <v>0</v>
      </c>
      <c r="CI45" s="45"/>
      <c r="CJ45" s="45"/>
      <c r="CK45" s="45"/>
      <c r="CL45" s="45"/>
      <c r="CM45" s="46">
        <f t="shared" si="17"/>
        <v>0</v>
      </c>
    </row>
    <row r="46" spans="1:91" ht="198">
      <c r="A46" s="45">
        <v>10</v>
      </c>
      <c r="B46" s="50">
        <f t="shared" si="18"/>
        <v>42</v>
      </c>
      <c r="C46" s="91" t="s">
        <v>3457</v>
      </c>
      <c r="D46" s="91" t="s">
        <v>2841</v>
      </c>
      <c r="E46" s="92" t="s">
        <v>4766</v>
      </c>
      <c r="F46" s="91" t="s">
        <v>4767</v>
      </c>
      <c r="G46" s="45" t="s">
        <v>4768</v>
      </c>
      <c r="H46" s="45" t="s">
        <v>4769</v>
      </c>
      <c r="I46" s="52" t="s">
        <v>4770</v>
      </c>
      <c r="J46" s="45" t="s">
        <v>3575</v>
      </c>
      <c r="K46" s="53"/>
      <c r="L46" s="54" t="e">
        <f>INDEX([1]Timeline!$E$10:$E$24,MATCH(A46,[1]Timeline!$C$10:$C$24,0))</f>
        <v>#N/A</v>
      </c>
      <c r="M46" s="55">
        <v>44561</v>
      </c>
      <c r="N46" s="56">
        <v>101250</v>
      </c>
      <c r="O46" s="57">
        <v>0</v>
      </c>
      <c r="P46" s="56" t="e">
        <f t="shared" si="0"/>
        <v>#N/A</v>
      </c>
      <c r="Q46" s="56" t="s">
        <v>2841</v>
      </c>
      <c r="R46" s="56">
        <v>1</v>
      </c>
      <c r="S46" s="56">
        <v>1</v>
      </c>
      <c r="T46" s="58">
        <f t="shared" si="19"/>
        <v>101250</v>
      </c>
      <c r="U46" s="58" t="e">
        <f t="shared" si="20"/>
        <v>#N/A</v>
      </c>
      <c r="V46" s="58" t="e">
        <f t="shared" si="1"/>
        <v>#N/A</v>
      </c>
      <c r="W46" s="45">
        <v>1</v>
      </c>
      <c r="X46" s="59">
        <f t="shared" si="21"/>
        <v>2.4583333333333335</v>
      </c>
      <c r="Y46" s="59">
        <f t="shared" si="22"/>
        <v>3.8333333333333335</v>
      </c>
      <c r="Z46" s="60">
        <f t="shared" si="23"/>
        <v>1.0833333333333333</v>
      </c>
      <c r="AA46" s="45"/>
      <c r="AB46" s="45"/>
      <c r="AC46" s="45"/>
      <c r="AD46" s="45"/>
      <c r="AE46" s="46">
        <f t="shared" si="5"/>
        <v>0</v>
      </c>
      <c r="AF46" s="45">
        <v>4</v>
      </c>
      <c r="AG46" s="45">
        <v>4</v>
      </c>
      <c r="AH46" s="45">
        <v>1</v>
      </c>
      <c r="AI46" s="45">
        <v>1</v>
      </c>
      <c r="AJ46" s="61">
        <f t="shared" si="6"/>
        <v>2.5</v>
      </c>
      <c r="AK46" s="73">
        <v>4</v>
      </c>
      <c r="AL46" s="45">
        <v>4</v>
      </c>
      <c r="AM46" s="45">
        <v>1</v>
      </c>
      <c r="AN46" s="45">
        <v>1</v>
      </c>
      <c r="AO46" s="63">
        <f t="shared" si="7"/>
        <v>2.5</v>
      </c>
      <c r="AP46" s="64"/>
      <c r="AQ46" s="45"/>
      <c r="AR46" s="45"/>
      <c r="AS46" s="45"/>
      <c r="AT46" s="46">
        <f t="shared" si="8"/>
        <v>0</v>
      </c>
      <c r="AU46" s="45">
        <v>4</v>
      </c>
      <c r="AV46" s="45">
        <v>4</v>
      </c>
      <c r="AW46" s="45">
        <v>1</v>
      </c>
      <c r="AX46" s="45">
        <v>1</v>
      </c>
      <c r="AY46" s="46">
        <f t="shared" si="9"/>
        <v>2.5</v>
      </c>
      <c r="AZ46" s="45">
        <v>3</v>
      </c>
      <c r="BA46" s="45">
        <v>3</v>
      </c>
      <c r="BB46" s="45">
        <v>1</v>
      </c>
      <c r="BC46" s="45">
        <v>1</v>
      </c>
      <c r="BD46" s="47">
        <f t="shared" si="10"/>
        <v>2</v>
      </c>
      <c r="BE46" s="45">
        <v>4</v>
      </c>
      <c r="BF46" s="45">
        <v>4</v>
      </c>
      <c r="BG46" s="45">
        <v>2</v>
      </c>
      <c r="BH46" s="45">
        <v>1</v>
      </c>
      <c r="BI46" s="45"/>
      <c r="BJ46" s="45">
        <v>4</v>
      </c>
      <c r="BK46" s="45">
        <v>4</v>
      </c>
      <c r="BL46" s="45">
        <v>1</v>
      </c>
      <c r="BM46" s="45">
        <v>1</v>
      </c>
      <c r="BN46" s="46">
        <f t="shared" si="12"/>
        <v>2.5</v>
      </c>
      <c r="BO46" s="45"/>
      <c r="BP46" s="45"/>
      <c r="BQ46" s="45"/>
      <c r="BR46" s="45"/>
      <c r="BS46" s="46">
        <f t="shared" si="13"/>
        <v>0</v>
      </c>
      <c r="BT46" s="45"/>
      <c r="BU46" s="45"/>
      <c r="BV46" s="45"/>
      <c r="BW46" s="45"/>
      <c r="BX46" s="46">
        <f t="shared" si="14"/>
        <v>0</v>
      </c>
      <c r="BY46" s="45"/>
      <c r="BZ46" s="45"/>
      <c r="CA46" s="45"/>
      <c r="CB46" s="45"/>
      <c r="CC46" s="46">
        <f t="shared" si="15"/>
        <v>0</v>
      </c>
      <c r="CD46" s="45"/>
      <c r="CE46" s="45"/>
      <c r="CF46" s="45"/>
      <c r="CG46" s="45"/>
      <c r="CH46" s="46">
        <f t="shared" si="16"/>
        <v>0</v>
      </c>
      <c r="CI46" s="45"/>
      <c r="CJ46" s="45"/>
      <c r="CK46" s="45"/>
      <c r="CL46" s="45"/>
      <c r="CM46" s="46">
        <f t="shared" si="17"/>
        <v>0</v>
      </c>
    </row>
    <row r="47" spans="1:91" ht="183">
      <c r="A47" s="45">
        <v>11</v>
      </c>
      <c r="B47" s="50">
        <f t="shared" si="18"/>
        <v>43</v>
      </c>
      <c r="C47" s="91" t="s">
        <v>4654</v>
      </c>
      <c r="D47" s="91" t="s">
        <v>4771</v>
      </c>
      <c r="E47" s="92" t="s">
        <v>4772</v>
      </c>
      <c r="F47" s="91" t="s">
        <v>4773</v>
      </c>
      <c r="G47" s="45" t="s">
        <v>4774</v>
      </c>
      <c r="H47" s="45" t="s">
        <v>4775</v>
      </c>
      <c r="I47" s="52" t="s">
        <v>4776</v>
      </c>
      <c r="J47" s="45" t="s">
        <v>3575</v>
      </c>
      <c r="K47" s="53"/>
      <c r="L47" s="54" t="e">
        <f>INDEX([1]Timeline!$E$10:$E$24,MATCH(A47,[1]Timeline!$C$10:$C$24,0))</f>
        <v>#N/A</v>
      </c>
      <c r="M47" s="55">
        <v>44561</v>
      </c>
      <c r="N47" s="56">
        <v>41870832</v>
      </c>
      <c r="O47" s="57">
        <v>0</v>
      </c>
      <c r="P47" s="56" t="e">
        <f t="shared" si="0"/>
        <v>#N/A</v>
      </c>
      <c r="Q47" s="56" t="s">
        <v>4265</v>
      </c>
      <c r="R47" s="56">
        <v>1</v>
      </c>
      <c r="S47" s="56"/>
      <c r="T47" s="58">
        <f t="shared" ref="T47:T110" si="25">N47/1</f>
        <v>41870832</v>
      </c>
      <c r="U47" s="58" t="e">
        <f t="shared" si="20"/>
        <v>#N/A</v>
      </c>
      <c r="V47" s="58" t="e">
        <f t="shared" si="1"/>
        <v>#N/A</v>
      </c>
      <c r="W47" s="45">
        <v>1</v>
      </c>
      <c r="X47" s="59">
        <f t="shared" si="21"/>
        <v>2.75</v>
      </c>
      <c r="Y47" s="59">
        <f t="shared" si="22"/>
        <v>3.4</v>
      </c>
      <c r="Z47" s="60">
        <f t="shared" si="23"/>
        <v>2.1</v>
      </c>
      <c r="AA47" s="45"/>
      <c r="AB47" s="45"/>
      <c r="AC47" s="45"/>
      <c r="AD47" s="45"/>
      <c r="AE47" s="46">
        <f t="shared" si="5"/>
        <v>0</v>
      </c>
      <c r="AF47" s="45">
        <v>4</v>
      </c>
      <c r="AG47" s="96">
        <v>4</v>
      </c>
      <c r="AH47" s="45">
        <v>2</v>
      </c>
      <c r="AI47" s="45">
        <v>2</v>
      </c>
      <c r="AJ47" s="61">
        <f t="shared" si="6"/>
        <v>3</v>
      </c>
      <c r="AK47" s="73"/>
      <c r="AL47" s="45"/>
      <c r="AM47" s="45"/>
      <c r="AN47" s="45"/>
      <c r="AO47" s="63">
        <f t="shared" si="7"/>
        <v>0</v>
      </c>
      <c r="AP47" s="64"/>
      <c r="AQ47" s="45"/>
      <c r="AR47" s="45"/>
      <c r="AS47" s="45"/>
      <c r="AT47" s="46">
        <f t="shared" si="8"/>
        <v>0</v>
      </c>
      <c r="AU47" s="45">
        <v>3</v>
      </c>
      <c r="AV47" s="45">
        <v>4</v>
      </c>
      <c r="AW47" s="45">
        <v>2</v>
      </c>
      <c r="AX47" s="45">
        <v>2</v>
      </c>
      <c r="AY47" s="46">
        <f t="shared" si="9"/>
        <v>2.75</v>
      </c>
      <c r="AZ47" s="45">
        <v>3</v>
      </c>
      <c r="BA47" s="45">
        <v>3</v>
      </c>
      <c r="BB47" s="45">
        <v>2</v>
      </c>
      <c r="BC47" s="45">
        <v>3</v>
      </c>
      <c r="BD47" s="47">
        <f t="shared" si="10"/>
        <v>2.75</v>
      </c>
      <c r="BE47" s="45">
        <v>3</v>
      </c>
      <c r="BF47" s="45">
        <v>3</v>
      </c>
      <c r="BG47" s="45">
        <v>2</v>
      </c>
      <c r="BH47" s="45">
        <v>2</v>
      </c>
      <c r="BI47" s="45"/>
      <c r="BJ47" s="45">
        <v>3</v>
      </c>
      <c r="BK47" s="45">
        <v>4</v>
      </c>
      <c r="BL47" s="45">
        <v>2</v>
      </c>
      <c r="BM47" s="45">
        <v>2</v>
      </c>
      <c r="BN47" s="46">
        <f t="shared" si="12"/>
        <v>2.75</v>
      </c>
      <c r="BO47" s="45"/>
      <c r="BP47" s="45"/>
      <c r="BQ47" s="45"/>
      <c r="BR47" s="45"/>
      <c r="BS47" s="46">
        <f t="shared" si="13"/>
        <v>0</v>
      </c>
      <c r="BT47" s="45"/>
      <c r="BU47" s="45"/>
      <c r="BV47" s="45"/>
      <c r="BW47" s="45"/>
      <c r="BX47" s="46">
        <f t="shared" si="14"/>
        <v>0</v>
      </c>
      <c r="BY47" s="45"/>
      <c r="BZ47" s="45"/>
      <c r="CA47" s="45"/>
      <c r="CB47" s="45"/>
      <c r="CC47" s="46">
        <f t="shared" si="15"/>
        <v>0</v>
      </c>
      <c r="CD47" s="45"/>
      <c r="CE47" s="45"/>
      <c r="CF47" s="45"/>
      <c r="CG47" s="45"/>
      <c r="CH47" s="46">
        <f t="shared" si="16"/>
        <v>0</v>
      </c>
      <c r="CI47" s="45"/>
      <c r="CJ47" s="45"/>
      <c r="CK47" s="45"/>
      <c r="CL47" s="45"/>
      <c r="CM47" s="46">
        <f t="shared" si="17"/>
        <v>0</v>
      </c>
    </row>
    <row r="48" spans="1:91" ht="167.25">
      <c r="A48" s="45">
        <v>11</v>
      </c>
      <c r="B48" s="50">
        <f t="shared" si="18"/>
        <v>44</v>
      </c>
      <c r="C48" s="91" t="s">
        <v>4777</v>
      </c>
      <c r="D48" s="91" t="s">
        <v>4778</v>
      </c>
      <c r="E48" s="97" t="s">
        <v>4779</v>
      </c>
      <c r="F48" s="91" t="s">
        <v>4780</v>
      </c>
      <c r="G48" s="45" t="s">
        <v>4781</v>
      </c>
      <c r="H48" s="45" t="s">
        <v>4782</v>
      </c>
      <c r="I48" s="52" t="s">
        <v>4783</v>
      </c>
      <c r="J48" s="45" t="s">
        <v>3575</v>
      </c>
      <c r="K48" s="53" t="s">
        <v>4784</v>
      </c>
      <c r="L48" s="54" t="e">
        <f>INDEX([1]Timeline!$E$10:$E$24,MATCH(A48,[1]Timeline!$C$10:$C$24,0))</f>
        <v>#N/A</v>
      </c>
      <c r="M48" s="55">
        <v>44561</v>
      </c>
      <c r="N48" s="56">
        <v>1428000</v>
      </c>
      <c r="O48" s="57">
        <v>0</v>
      </c>
      <c r="P48" s="56" t="e">
        <f t="shared" si="0"/>
        <v>#N/A</v>
      </c>
      <c r="Q48" s="56" t="s">
        <v>3452</v>
      </c>
      <c r="R48" s="56"/>
      <c r="S48" s="56"/>
      <c r="T48" s="58">
        <f t="shared" si="25"/>
        <v>1428000</v>
      </c>
      <c r="U48" s="58" t="e">
        <f t="shared" si="20"/>
        <v>#N/A</v>
      </c>
      <c r="V48" s="58" t="e">
        <f t="shared" si="1"/>
        <v>#N/A</v>
      </c>
      <c r="W48" s="45">
        <v>1</v>
      </c>
      <c r="X48" s="59">
        <f t="shared" si="21"/>
        <v>2.6</v>
      </c>
      <c r="Y48" s="59">
        <f t="shared" si="22"/>
        <v>3.2</v>
      </c>
      <c r="Z48" s="60">
        <f t="shared" si="23"/>
        <v>2</v>
      </c>
      <c r="AA48" s="45"/>
      <c r="AB48" s="45"/>
      <c r="AC48" s="45"/>
      <c r="AD48" s="45"/>
      <c r="AE48" s="46">
        <f t="shared" si="5"/>
        <v>0</v>
      </c>
      <c r="AF48" s="45">
        <v>3</v>
      </c>
      <c r="AG48" s="45">
        <v>3</v>
      </c>
      <c r="AH48" s="45">
        <v>2</v>
      </c>
      <c r="AI48" s="45">
        <v>2</v>
      </c>
      <c r="AJ48" s="61">
        <f t="shared" si="6"/>
        <v>2.5</v>
      </c>
      <c r="AK48" s="73"/>
      <c r="AL48" s="45"/>
      <c r="AM48" s="45"/>
      <c r="AN48" s="45"/>
      <c r="AO48" s="63">
        <f t="shared" si="7"/>
        <v>0</v>
      </c>
      <c r="AP48" s="64"/>
      <c r="AQ48" s="45"/>
      <c r="AR48" s="45"/>
      <c r="AS48" s="45"/>
      <c r="AT48" s="46">
        <f t="shared" si="8"/>
        <v>0</v>
      </c>
      <c r="AU48" s="45">
        <v>3</v>
      </c>
      <c r="AV48" s="45">
        <v>4</v>
      </c>
      <c r="AW48" s="45">
        <v>2</v>
      </c>
      <c r="AX48" s="45">
        <v>2</v>
      </c>
      <c r="AY48" s="46">
        <f t="shared" si="9"/>
        <v>2.75</v>
      </c>
      <c r="AZ48" s="45">
        <v>3</v>
      </c>
      <c r="BA48" s="45">
        <v>3</v>
      </c>
      <c r="BB48" s="45">
        <v>2</v>
      </c>
      <c r="BC48" s="45">
        <v>2</v>
      </c>
      <c r="BD48" s="47">
        <f t="shared" si="10"/>
        <v>2.5</v>
      </c>
      <c r="BE48" s="45">
        <v>3</v>
      </c>
      <c r="BF48" s="45">
        <v>3</v>
      </c>
      <c r="BG48" s="45">
        <v>2</v>
      </c>
      <c r="BH48" s="45">
        <v>2</v>
      </c>
      <c r="BI48" s="45"/>
      <c r="BJ48" s="45">
        <v>3</v>
      </c>
      <c r="BK48" s="45">
        <v>4</v>
      </c>
      <c r="BL48" s="45">
        <v>2</v>
      </c>
      <c r="BM48" s="45">
        <v>2</v>
      </c>
      <c r="BN48" s="46">
        <f t="shared" si="12"/>
        <v>2.75</v>
      </c>
      <c r="BO48" s="45"/>
      <c r="BP48" s="45"/>
      <c r="BQ48" s="45"/>
      <c r="BR48" s="45"/>
      <c r="BS48" s="46">
        <f t="shared" si="13"/>
        <v>0</v>
      </c>
      <c r="BT48" s="45"/>
      <c r="BU48" s="45"/>
      <c r="BV48" s="45"/>
      <c r="BW48" s="45"/>
      <c r="BX48" s="46">
        <f t="shared" si="14"/>
        <v>0</v>
      </c>
      <c r="BY48" s="45"/>
      <c r="BZ48" s="45"/>
      <c r="CA48" s="45"/>
      <c r="CB48" s="45"/>
      <c r="CC48" s="46">
        <f t="shared" si="15"/>
        <v>0</v>
      </c>
      <c r="CD48" s="45"/>
      <c r="CE48" s="45"/>
      <c r="CF48" s="45"/>
      <c r="CG48" s="45"/>
      <c r="CH48" s="46">
        <f t="shared" si="16"/>
        <v>0</v>
      </c>
      <c r="CI48" s="45"/>
      <c r="CJ48" s="45"/>
      <c r="CK48" s="45"/>
      <c r="CL48" s="45"/>
      <c r="CM48" s="46">
        <f t="shared" si="17"/>
        <v>0</v>
      </c>
    </row>
    <row r="49" spans="1:91" ht="137.25">
      <c r="A49" s="45">
        <v>11</v>
      </c>
      <c r="B49" s="50">
        <f t="shared" si="18"/>
        <v>45</v>
      </c>
      <c r="C49" s="91" t="s">
        <v>4785</v>
      </c>
      <c r="D49" s="91" t="s">
        <v>4778</v>
      </c>
      <c r="E49" s="92" t="s">
        <v>4786</v>
      </c>
      <c r="F49" s="91" t="s">
        <v>4787</v>
      </c>
      <c r="G49" s="74" t="s">
        <v>4788</v>
      </c>
      <c r="H49" s="74" t="s">
        <v>4789</v>
      </c>
      <c r="I49" s="52" t="s">
        <v>4790</v>
      </c>
      <c r="J49" s="45" t="s">
        <v>3575</v>
      </c>
      <c r="K49" s="53"/>
      <c r="L49" s="54" t="e">
        <f>INDEX([1]Timeline!$E$10:$E$24,MATCH(A49,[1]Timeline!$C$10:$C$24,0))</f>
        <v>#N/A</v>
      </c>
      <c r="M49" s="55">
        <v>44561</v>
      </c>
      <c r="N49" s="56">
        <v>1080000</v>
      </c>
      <c r="O49" s="57">
        <v>0</v>
      </c>
      <c r="P49" s="56" t="e">
        <f t="shared" si="0"/>
        <v>#N/A</v>
      </c>
      <c r="Q49" s="56" t="s">
        <v>3452</v>
      </c>
      <c r="R49" s="56"/>
      <c r="S49" s="56"/>
      <c r="T49" s="58">
        <f t="shared" si="25"/>
        <v>1080000</v>
      </c>
      <c r="U49" s="58" t="e">
        <f t="shared" si="20"/>
        <v>#N/A</v>
      </c>
      <c r="V49" s="58" t="e">
        <f t="shared" si="1"/>
        <v>#N/A</v>
      </c>
      <c r="W49" s="45">
        <v>1</v>
      </c>
      <c r="X49" s="59">
        <f t="shared" si="21"/>
        <v>2.916666666666667</v>
      </c>
      <c r="Y49" s="59">
        <f t="shared" si="22"/>
        <v>3.8333333333333335</v>
      </c>
      <c r="Z49" s="60">
        <f t="shared" si="23"/>
        <v>2</v>
      </c>
      <c r="AA49" s="45"/>
      <c r="AB49" s="45"/>
      <c r="AC49" s="45"/>
      <c r="AD49" s="45"/>
      <c r="AE49" s="46">
        <f t="shared" si="5"/>
        <v>0</v>
      </c>
      <c r="AF49" s="45">
        <v>3</v>
      </c>
      <c r="AG49" s="45">
        <v>3</v>
      </c>
      <c r="AH49" s="45">
        <v>2</v>
      </c>
      <c r="AI49" s="45">
        <v>2</v>
      </c>
      <c r="AJ49" s="61">
        <f t="shared" si="6"/>
        <v>2.5</v>
      </c>
      <c r="AK49" s="73">
        <v>4</v>
      </c>
      <c r="AL49" s="45">
        <v>4</v>
      </c>
      <c r="AM49" s="45">
        <v>2</v>
      </c>
      <c r="AN49" s="45">
        <v>2</v>
      </c>
      <c r="AO49" s="63">
        <f t="shared" si="7"/>
        <v>3</v>
      </c>
      <c r="AP49" s="64"/>
      <c r="AQ49" s="45"/>
      <c r="AR49" s="45"/>
      <c r="AS49" s="45"/>
      <c r="AT49" s="46">
        <f t="shared" si="8"/>
        <v>0</v>
      </c>
      <c r="AU49" s="45">
        <v>4</v>
      </c>
      <c r="AV49" s="45">
        <v>4</v>
      </c>
      <c r="AW49" s="45">
        <v>2</v>
      </c>
      <c r="AX49" s="45">
        <v>2</v>
      </c>
      <c r="AY49" s="46">
        <f t="shared" si="9"/>
        <v>3</v>
      </c>
      <c r="AZ49" s="45">
        <v>4</v>
      </c>
      <c r="BA49" s="45">
        <v>4</v>
      </c>
      <c r="BB49" s="45">
        <v>2</v>
      </c>
      <c r="BC49" s="45">
        <v>2</v>
      </c>
      <c r="BD49" s="47">
        <f t="shared" si="10"/>
        <v>3</v>
      </c>
      <c r="BE49" s="45">
        <v>4</v>
      </c>
      <c r="BF49" s="45">
        <v>4</v>
      </c>
      <c r="BG49" s="45">
        <v>2</v>
      </c>
      <c r="BH49" s="45">
        <v>2</v>
      </c>
      <c r="BI49" s="45"/>
      <c r="BJ49" s="45">
        <v>4</v>
      </c>
      <c r="BK49" s="45">
        <v>4</v>
      </c>
      <c r="BL49" s="45">
        <v>2</v>
      </c>
      <c r="BM49" s="45">
        <v>2</v>
      </c>
      <c r="BN49" s="46">
        <f t="shared" si="12"/>
        <v>3</v>
      </c>
      <c r="BO49" s="45"/>
      <c r="BP49" s="45"/>
      <c r="BQ49" s="45"/>
      <c r="BR49" s="45"/>
      <c r="BS49" s="46">
        <f t="shared" si="13"/>
        <v>0</v>
      </c>
      <c r="BT49" s="45"/>
      <c r="BU49" s="45"/>
      <c r="BV49" s="45"/>
      <c r="BW49" s="45"/>
      <c r="BX49" s="46">
        <f t="shared" si="14"/>
        <v>0</v>
      </c>
      <c r="BY49" s="45"/>
      <c r="BZ49" s="45"/>
      <c r="CA49" s="45"/>
      <c r="CB49" s="45"/>
      <c r="CC49" s="46">
        <f t="shared" si="15"/>
        <v>0</v>
      </c>
      <c r="CD49" s="45"/>
      <c r="CE49" s="45"/>
      <c r="CF49" s="45"/>
      <c r="CG49" s="45"/>
      <c r="CH49" s="46">
        <f t="shared" si="16"/>
        <v>0</v>
      </c>
      <c r="CI49" s="45"/>
      <c r="CJ49" s="45"/>
      <c r="CK49" s="45"/>
      <c r="CL49" s="45"/>
      <c r="CM49" s="46">
        <f t="shared" si="17"/>
        <v>0</v>
      </c>
    </row>
    <row r="50" spans="1:91" ht="290.25">
      <c r="A50" s="45">
        <v>11</v>
      </c>
      <c r="B50" s="50">
        <f t="shared" si="18"/>
        <v>46</v>
      </c>
      <c r="C50" s="91" t="s">
        <v>4791</v>
      </c>
      <c r="D50" s="91" t="s">
        <v>4778</v>
      </c>
      <c r="E50" s="92" t="s">
        <v>4792</v>
      </c>
      <c r="F50" s="91" t="s">
        <v>4793</v>
      </c>
      <c r="G50" s="45" t="s">
        <v>4794</v>
      </c>
      <c r="H50" s="45" t="s">
        <v>4795</v>
      </c>
      <c r="I50" s="52" t="s">
        <v>4796</v>
      </c>
      <c r="J50" s="45" t="s">
        <v>3575</v>
      </c>
      <c r="K50" s="53"/>
      <c r="L50" s="54" t="e">
        <f>INDEX([1]Timeline!$E$10:$E$24,MATCH(A50,[1]Timeline!$C$10:$C$24,0))</f>
        <v>#N/A</v>
      </c>
      <c r="M50" s="55">
        <v>44561</v>
      </c>
      <c r="N50" s="56">
        <v>6354000</v>
      </c>
      <c r="O50" s="57">
        <v>0</v>
      </c>
      <c r="P50" s="56" t="e">
        <f t="shared" si="0"/>
        <v>#N/A</v>
      </c>
      <c r="Q50" s="56" t="s">
        <v>3452</v>
      </c>
      <c r="R50" s="56"/>
      <c r="S50" s="56"/>
      <c r="T50" s="58">
        <f t="shared" si="25"/>
        <v>6354000</v>
      </c>
      <c r="U50" s="58" t="e">
        <f t="shared" si="20"/>
        <v>#N/A</v>
      </c>
      <c r="V50" s="58" t="e">
        <f t="shared" si="1"/>
        <v>#N/A</v>
      </c>
      <c r="W50" s="45">
        <v>1</v>
      </c>
      <c r="X50" s="59">
        <f t="shared" si="21"/>
        <v>2.666666666666667</v>
      </c>
      <c r="Y50" s="59">
        <f t="shared" si="22"/>
        <v>3.3333333333333335</v>
      </c>
      <c r="Z50" s="60">
        <f t="shared" si="23"/>
        <v>2</v>
      </c>
      <c r="AA50" s="45"/>
      <c r="AB50" s="45"/>
      <c r="AC50" s="45"/>
      <c r="AD50" s="45"/>
      <c r="AE50" s="46">
        <f t="shared" si="5"/>
        <v>0</v>
      </c>
      <c r="AF50" s="45">
        <v>4</v>
      </c>
      <c r="AG50" s="45">
        <v>3</v>
      </c>
      <c r="AH50" s="45">
        <v>2</v>
      </c>
      <c r="AI50" s="45">
        <v>2</v>
      </c>
      <c r="AJ50" s="61">
        <f t="shared" si="6"/>
        <v>2.75</v>
      </c>
      <c r="AK50" s="73">
        <v>3</v>
      </c>
      <c r="AL50" s="45">
        <v>3</v>
      </c>
      <c r="AM50" s="45">
        <v>2</v>
      </c>
      <c r="AN50" s="45">
        <v>2</v>
      </c>
      <c r="AO50" s="63">
        <f t="shared" si="7"/>
        <v>2.5</v>
      </c>
      <c r="AP50" s="64"/>
      <c r="AQ50" s="45"/>
      <c r="AR50" s="45"/>
      <c r="AS50" s="45"/>
      <c r="AT50" s="46">
        <f t="shared" si="8"/>
        <v>0</v>
      </c>
      <c r="AU50" s="45">
        <v>3</v>
      </c>
      <c r="AV50" s="45">
        <v>4</v>
      </c>
      <c r="AW50" s="45">
        <v>2</v>
      </c>
      <c r="AX50" s="45">
        <v>2</v>
      </c>
      <c r="AY50" s="46">
        <f t="shared" si="9"/>
        <v>2.75</v>
      </c>
      <c r="AZ50" s="45">
        <v>3</v>
      </c>
      <c r="BA50" s="45">
        <v>3</v>
      </c>
      <c r="BB50" s="45">
        <v>2</v>
      </c>
      <c r="BC50" s="45">
        <v>2</v>
      </c>
      <c r="BD50" s="47">
        <f t="shared" si="10"/>
        <v>2.5</v>
      </c>
      <c r="BE50" s="45">
        <v>3</v>
      </c>
      <c r="BF50" s="45">
        <v>4</v>
      </c>
      <c r="BG50" s="45">
        <v>2</v>
      </c>
      <c r="BH50" s="45">
        <v>2</v>
      </c>
      <c r="BI50" s="45"/>
      <c r="BJ50" s="45">
        <v>3</v>
      </c>
      <c r="BK50" s="45">
        <v>4</v>
      </c>
      <c r="BL50" s="45">
        <v>2</v>
      </c>
      <c r="BM50" s="45">
        <v>2</v>
      </c>
      <c r="BN50" s="46">
        <f t="shared" si="12"/>
        <v>2.75</v>
      </c>
      <c r="BO50" s="45"/>
      <c r="BP50" s="45"/>
      <c r="BQ50" s="45"/>
      <c r="BR50" s="45"/>
      <c r="BS50" s="46">
        <f t="shared" si="13"/>
        <v>0</v>
      </c>
      <c r="BT50" s="45"/>
      <c r="BU50" s="45"/>
      <c r="BV50" s="45"/>
      <c r="BW50" s="45"/>
      <c r="BX50" s="46">
        <f t="shared" si="14"/>
        <v>0</v>
      </c>
      <c r="BY50" s="45"/>
      <c r="BZ50" s="45"/>
      <c r="CA50" s="45"/>
      <c r="CB50" s="45"/>
      <c r="CC50" s="46">
        <f t="shared" si="15"/>
        <v>0</v>
      </c>
      <c r="CD50" s="45"/>
      <c r="CE50" s="45"/>
      <c r="CF50" s="45"/>
      <c r="CG50" s="45"/>
      <c r="CH50" s="46">
        <f t="shared" si="16"/>
        <v>0</v>
      </c>
      <c r="CI50" s="45"/>
      <c r="CJ50" s="45"/>
      <c r="CK50" s="45"/>
      <c r="CL50" s="45"/>
      <c r="CM50" s="46">
        <f t="shared" si="17"/>
        <v>0</v>
      </c>
    </row>
    <row r="51" spans="1:91" ht="137.25">
      <c r="A51" s="45">
        <v>11</v>
      </c>
      <c r="B51" s="50">
        <f t="shared" si="18"/>
        <v>47</v>
      </c>
      <c r="C51" s="91" t="s">
        <v>4324</v>
      </c>
      <c r="D51" s="91" t="s">
        <v>4797</v>
      </c>
      <c r="E51" s="92" t="s">
        <v>4798</v>
      </c>
      <c r="F51" s="91" t="s">
        <v>4799</v>
      </c>
      <c r="G51" s="45" t="s">
        <v>4800</v>
      </c>
      <c r="H51" s="45" t="s">
        <v>4801</v>
      </c>
      <c r="I51" s="52" t="s">
        <v>4802</v>
      </c>
      <c r="J51" s="45" t="s">
        <v>3575</v>
      </c>
      <c r="K51" s="53"/>
      <c r="L51" s="54" t="e">
        <f>INDEX([1]Timeline!$E$10:$E$24,MATCH(A51,[1]Timeline!$C$10:$C$24,0))</f>
        <v>#N/A</v>
      </c>
      <c r="M51" s="55">
        <v>44561</v>
      </c>
      <c r="N51" s="56">
        <v>144000</v>
      </c>
      <c r="O51" s="57">
        <v>0</v>
      </c>
      <c r="P51" s="56" t="e">
        <f t="shared" si="0"/>
        <v>#N/A</v>
      </c>
      <c r="Q51" s="56" t="s">
        <v>3645</v>
      </c>
      <c r="R51" s="56"/>
      <c r="S51" s="56"/>
      <c r="T51" s="58">
        <f t="shared" si="25"/>
        <v>144000</v>
      </c>
      <c r="U51" s="58" t="e">
        <f t="shared" si="20"/>
        <v>#N/A</v>
      </c>
      <c r="V51" s="58" t="e">
        <f t="shared" si="1"/>
        <v>#N/A</v>
      </c>
      <c r="W51" s="45">
        <v>1</v>
      </c>
      <c r="X51" s="59">
        <f t="shared" si="21"/>
        <v>2.875</v>
      </c>
      <c r="Y51" s="59">
        <f t="shared" si="22"/>
        <v>3.8333333333333335</v>
      </c>
      <c r="Z51" s="60">
        <f t="shared" si="23"/>
        <v>1.9166666666666667</v>
      </c>
      <c r="AA51" s="45"/>
      <c r="AB51" s="45"/>
      <c r="AC51" s="45"/>
      <c r="AD51" s="45"/>
      <c r="AE51" s="46">
        <f t="shared" si="5"/>
        <v>0</v>
      </c>
      <c r="AF51" s="45">
        <v>4</v>
      </c>
      <c r="AG51" s="45">
        <v>4</v>
      </c>
      <c r="AH51" s="45">
        <v>2</v>
      </c>
      <c r="AI51" s="45">
        <v>2</v>
      </c>
      <c r="AJ51" s="61">
        <f t="shared" si="6"/>
        <v>3</v>
      </c>
      <c r="AK51" s="73">
        <v>4</v>
      </c>
      <c r="AL51" s="45">
        <v>3</v>
      </c>
      <c r="AM51" s="45">
        <v>2</v>
      </c>
      <c r="AN51" s="45">
        <v>2</v>
      </c>
      <c r="AO51" s="63">
        <f t="shared" si="7"/>
        <v>2.75</v>
      </c>
      <c r="AP51" s="64"/>
      <c r="AQ51" s="45"/>
      <c r="AR51" s="45"/>
      <c r="AS51" s="45"/>
      <c r="AT51" s="46">
        <f t="shared" si="8"/>
        <v>0</v>
      </c>
      <c r="AU51" s="45">
        <v>4</v>
      </c>
      <c r="AV51" s="45">
        <v>4</v>
      </c>
      <c r="AW51" s="45">
        <v>1</v>
      </c>
      <c r="AX51" s="45">
        <v>2</v>
      </c>
      <c r="AY51" s="46">
        <f t="shared" si="9"/>
        <v>2.75</v>
      </c>
      <c r="AZ51" s="45">
        <v>4</v>
      </c>
      <c r="BA51" s="45">
        <v>4</v>
      </c>
      <c r="BB51" s="45">
        <v>2</v>
      </c>
      <c r="BC51" s="45">
        <v>2</v>
      </c>
      <c r="BD51" s="47">
        <f t="shared" si="10"/>
        <v>3</v>
      </c>
      <c r="BE51" s="45">
        <v>3</v>
      </c>
      <c r="BF51" s="45">
        <v>4</v>
      </c>
      <c r="BG51" s="45">
        <v>2</v>
      </c>
      <c r="BH51" s="45">
        <v>2</v>
      </c>
      <c r="BI51" s="45"/>
      <c r="BJ51" s="45">
        <v>4</v>
      </c>
      <c r="BK51" s="45">
        <v>4</v>
      </c>
      <c r="BL51" s="45">
        <v>2</v>
      </c>
      <c r="BM51" s="45">
        <v>2</v>
      </c>
      <c r="BN51" s="46">
        <f t="shared" si="12"/>
        <v>3</v>
      </c>
      <c r="BO51" s="45"/>
      <c r="BP51" s="45"/>
      <c r="BQ51" s="45"/>
      <c r="BR51" s="45"/>
      <c r="BS51" s="46">
        <f t="shared" si="13"/>
        <v>0</v>
      </c>
      <c r="BT51" s="45"/>
      <c r="BU51" s="45"/>
      <c r="BV51" s="45"/>
      <c r="BW51" s="45"/>
      <c r="BX51" s="46">
        <f t="shared" si="14"/>
        <v>0</v>
      </c>
      <c r="BY51" s="45"/>
      <c r="BZ51" s="45"/>
      <c r="CA51" s="45"/>
      <c r="CB51" s="45"/>
      <c r="CC51" s="46">
        <f t="shared" si="15"/>
        <v>0</v>
      </c>
      <c r="CD51" s="45"/>
      <c r="CE51" s="45"/>
      <c r="CF51" s="45"/>
      <c r="CG51" s="45"/>
      <c r="CH51" s="46">
        <f t="shared" si="16"/>
        <v>0</v>
      </c>
      <c r="CI51" s="45"/>
      <c r="CJ51" s="45"/>
      <c r="CK51" s="45"/>
      <c r="CL51" s="45"/>
      <c r="CM51" s="46">
        <f t="shared" si="17"/>
        <v>0</v>
      </c>
    </row>
    <row r="52" spans="1:91" ht="244.5">
      <c r="A52" s="45">
        <v>11</v>
      </c>
      <c r="B52" s="50">
        <f t="shared" si="18"/>
        <v>48</v>
      </c>
      <c r="C52" s="91" t="s">
        <v>4631</v>
      </c>
      <c r="D52" s="91" t="s">
        <v>2967</v>
      </c>
      <c r="E52" s="92" t="s">
        <v>4803</v>
      </c>
      <c r="F52" s="91" t="s">
        <v>4804</v>
      </c>
      <c r="G52" s="45" t="s">
        <v>4805</v>
      </c>
      <c r="H52" s="45" t="s">
        <v>4806</v>
      </c>
      <c r="I52" s="52" t="s">
        <v>4807</v>
      </c>
      <c r="J52" s="45" t="s">
        <v>3575</v>
      </c>
      <c r="K52" s="53"/>
      <c r="L52" s="54" t="e">
        <f>INDEX([1]Timeline!$E$10:$E$24,MATCH(A52,[1]Timeline!$C$10:$C$24,0))</f>
        <v>#N/A</v>
      </c>
      <c r="M52" s="55">
        <v>44561</v>
      </c>
      <c r="N52" s="56">
        <v>1692529</v>
      </c>
      <c r="O52" s="57">
        <v>0</v>
      </c>
      <c r="P52" s="56" t="e">
        <f t="shared" si="0"/>
        <v>#N/A</v>
      </c>
      <c r="Q52" s="56" t="s">
        <v>3662</v>
      </c>
      <c r="R52" s="56"/>
      <c r="S52" s="56"/>
      <c r="T52" s="58">
        <f t="shared" si="25"/>
        <v>1692529</v>
      </c>
      <c r="U52" s="58" t="e">
        <f t="shared" si="20"/>
        <v>#N/A</v>
      </c>
      <c r="V52" s="58" t="e">
        <f t="shared" si="1"/>
        <v>#N/A</v>
      </c>
      <c r="W52" s="45">
        <v>1</v>
      </c>
      <c r="X52" s="59">
        <f t="shared" si="21"/>
        <v>1.75</v>
      </c>
      <c r="Y52" s="59">
        <f t="shared" si="22"/>
        <v>2.1666666666666665</v>
      </c>
      <c r="Z52" s="60">
        <f t="shared" si="23"/>
        <v>1.3333333333333333</v>
      </c>
      <c r="AA52" s="45"/>
      <c r="AB52" s="45"/>
      <c r="AC52" s="45"/>
      <c r="AD52" s="45"/>
      <c r="AE52" s="46">
        <f t="shared" si="5"/>
        <v>0</v>
      </c>
      <c r="AF52" s="45">
        <v>0</v>
      </c>
      <c r="AG52" s="45">
        <v>0</v>
      </c>
      <c r="AH52" s="45">
        <v>0</v>
      </c>
      <c r="AI52" s="45">
        <v>0</v>
      </c>
      <c r="AJ52" s="61">
        <f t="shared" si="6"/>
        <v>0</v>
      </c>
      <c r="AK52" s="73">
        <v>2</v>
      </c>
      <c r="AL52" s="45">
        <v>2</v>
      </c>
      <c r="AM52" s="45">
        <v>1</v>
      </c>
      <c r="AN52" s="45">
        <v>1</v>
      </c>
      <c r="AO52" s="63">
        <f t="shared" si="7"/>
        <v>1.5</v>
      </c>
      <c r="AP52" s="64"/>
      <c r="AQ52" s="45"/>
      <c r="AR52" s="45"/>
      <c r="AS52" s="45"/>
      <c r="AT52" s="46">
        <f t="shared" si="8"/>
        <v>0</v>
      </c>
      <c r="AU52" s="45">
        <v>3</v>
      </c>
      <c r="AV52" s="45">
        <v>3</v>
      </c>
      <c r="AW52" s="45">
        <v>2</v>
      </c>
      <c r="AX52" s="45">
        <v>3</v>
      </c>
      <c r="AY52" s="46">
        <f t="shared" si="9"/>
        <v>2.75</v>
      </c>
      <c r="AZ52" s="45">
        <v>2</v>
      </c>
      <c r="BA52" s="45">
        <v>2</v>
      </c>
      <c r="BB52" s="45">
        <v>1</v>
      </c>
      <c r="BC52" s="45">
        <v>1</v>
      </c>
      <c r="BD52" s="47">
        <f t="shared" si="10"/>
        <v>1.5</v>
      </c>
      <c r="BE52" s="45">
        <v>3</v>
      </c>
      <c r="BF52" s="45">
        <v>3</v>
      </c>
      <c r="BG52" s="45">
        <v>2</v>
      </c>
      <c r="BH52" s="45">
        <v>1</v>
      </c>
      <c r="BI52" s="45"/>
      <c r="BJ52" s="45">
        <v>3</v>
      </c>
      <c r="BK52" s="45">
        <v>3</v>
      </c>
      <c r="BL52" s="45">
        <v>2</v>
      </c>
      <c r="BM52" s="45">
        <v>2</v>
      </c>
      <c r="BN52" s="46">
        <f t="shared" si="12"/>
        <v>2.5</v>
      </c>
      <c r="BO52" s="45"/>
      <c r="BP52" s="45"/>
      <c r="BQ52" s="45"/>
      <c r="BR52" s="45"/>
      <c r="BS52" s="46">
        <f t="shared" si="13"/>
        <v>0</v>
      </c>
      <c r="BT52" s="45"/>
      <c r="BU52" s="45"/>
      <c r="BV52" s="45"/>
      <c r="BW52" s="45"/>
      <c r="BX52" s="46">
        <f t="shared" si="14"/>
        <v>0</v>
      </c>
      <c r="BY52" s="45"/>
      <c r="BZ52" s="45"/>
      <c r="CA52" s="45"/>
      <c r="CB52" s="45"/>
      <c r="CC52" s="46">
        <f t="shared" si="15"/>
        <v>0</v>
      </c>
      <c r="CD52" s="45"/>
      <c r="CE52" s="45"/>
      <c r="CF52" s="45"/>
      <c r="CG52" s="45"/>
      <c r="CH52" s="46">
        <f t="shared" si="16"/>
        <v>0</v>
      </c>
      <c r="CI52" s="45"/>
      <c r="CJ52" s="45"/>
      <c r="CK52" s="45"/>
      <c r="CL52" s="45"/>
      <c r="CM52" s="46">
        <f t="shared" si="17"/>
        <v>0</v>
      </c>
    </row>
    <row r="53" spans="1:91" ht="409.6">
      <c r="A53" s="45">
        <v>11</v>
      </c>
      <c r="B53" s="50">
        <f t="shared" si="18"/>
        <v>49</v>
      </c>
      <c r="C53" s="91" t="s">
        <v>4324</v>
      </c>
      <c r="D53" s="91" t="s">
        <v>4808</v>
      </c>
      <c r="E53" s="92" t="s">
        <v>4809</v>
      </c>
      <c r="F53" s="91" t="s">
        <v>4810</v>
      </c>
      <c r="G53" s="45" t="s">
        <v>4811</v>
      </c>
      <c r="H53" s="45" t="s">
        <v>4812</v>
      </c>
      <c r="I53" s="52" t="s">
        <v>4813</v>
      </c>
      <c r="J53" s="45" t="s">
        <v>3575</v>
      </c>
      <c r="K53" s="53"/>
      <c r="L53" s="54" t="e">
        <f>INDEX([1]Timeline!$E$10:$E$24,MATCH(A53,[1]Timeline!$C$10:$C$24,0))</f>
        <v>#N/A</v>
      </c>
      <c r="M53" s="55">
        <v>44561</v>
      </c>
      <c r="N53" s="56">
        <v>1516500</v>
      </c>
      <c r="O53" s="57">
        <v>0</v>
      </c>
      <c r="P53" s="56" t="e">
        <f t="shared" si="0"/>
        <v>#N/A</v>
      </c>
      <c r="Q53" s="56" t="s">
        <v>4814</v>
      </c>
      <c r="R53" s="56"/>
      <c r="S53" s="56"/>
      <c r="T53" s="58">
        <f t="shared" si="25"/>
        <v>1516500</v>
      </c>
      <c r="U53" s="58" t="e">
        <f t="shared" si="20"/>
        <v>#N/A</v>
      </c>
      <c r="V53" s="58" t="e">
        <f t="shared" si="1"/>
        <v>#N/A</v>
      </c>
      <c r="W53" s="45">
        <v>1</v>
      </c>
      <c r="X53" s="59">
        <f t="shared" si="21"/>
        <v>1.9583333333333335</v>
      </c>
      <c r="Y53" s="59">
        <f t="shared" si="22"/>
        <v>2.5</v>
      </c>
      <c r="Z53" s="60">
        <f t="shared" si="23"/>
        <v>1.4166666666666667</v>
      </c>
      <c r="AA53" s="45"/>
      <c r="AB53" s="45"/>
      <c r="AC53" s="45"/>
      <c r="AD53" s="45"/>
      <c r="AE53" s="46">
        <f t="shared" si="5"/>
        <v>0</v>
      </c>
      <c r="AF53" s="45">
        <v>3</v>
      </c>
      <c r="AG53" s="45">
        <v>3</v>
      </c>
      <c r="AH53" s="45">
        <v>2</v>
      </c>
      <c r="AI53" s="45">
        <v>2</v>
      </c>
      <c r="AJ53" s="61">
        <f t="shared" si="6"/>
        <v>2.5</v>
      </c>
      <c r="AK53" s="73">
        <v>2</v>
      </c>
      <c r="AL53" s="45">
        <v>2</v>
      </c>
      <c r="AM53" s="45">
        <v>1</v>
      </c>
      <c r="AN53" s="45">
        <v>1</v>
      </c>
      <c r="AO53" s="63">
        <f t="shared" si="7"/>
        <v>1.5</v>
      </c>
      <c r="AP53" s="64"/>
      <c r="AQ53" s="45"/>
      <c r="AR53" s="45"/>
      <c r="AS53" s="45"/>
      <c r="AT53" s="46">
        <f t="shared" si="8"/>
        <v>0</v>
      </c>
      <c r="AU53" s="45">
        <v>3</v>
      </c>
      <c r="AV53" s="45">
        <v>3</v>
      </c>
      <c r="AW53" s="45">
        <v>1</v>
      </c>
      <c r="AX53" s="45">
        <v>2</v>
      </c>
      <c r="AY53" s="46">
        <f t="shared" si="9"/>
        <v>2.25</v>
      </c>
      <c r="AZ53" s="45">
        <v>2</v>
      </c>
      <c r="BA53" s="45">
        <v>2</v>
      </c>
      <c r="BB53" s="45">
        <v>1</v>
      </c>
      <c r="BC53" s="45">
        <v>1</v>
      </c>
      <c r="BD53" s="47">
        <f t="shared" si="10"/>
        <v>1.5</v>
      </c>
      <c r="BE53" s="45">
        <v>2</v>
      </c>
      <c r="BF53" s="45">
        <v>2</v>
      </c>
      <c r="BG53" s="45">
        <v>1</v>
      </c>
      <c r="BH53" s="45">
        <v>2</v>
      </c>
      <c r="BI53" s="45"/>
      <c r="BJ53" s="45">
        <v>3</v>
      </c>
      <c r="BK53" s="45">
        <v>3</v>
      </c>
      <c r="BL53" s="45">
        <v>1</v>
      </c>
      <c r="BM53" s="45">
        <v>2</v>
      </c>
      <c r="BN53" s="46">
        <f t="shared" si="12"/>
        <v>2.25</v>
      </c>
      <c r="BO53" s="45"/>
      <c r="BP53" s="45"/>
      <c r="BQ53" s="45"/>
      <c r="BR53" s="45"/>
      <c r="BS53" s="46">
        <f t="shared" si="13"/>
        <v>0</v>
      </c>
      <c r="BT53" s="45"/>
      <c r="BU53" s="45"/>
      <c r="BV53" s="45"/>
      <c r="BW53" s="45"/>
      <c r="BX53" s="46">
        <f t="shared" si="14"/>
        <v>0</v>
      </c>
      <c r="BY53" s="45"/>
      <c r="BZ53" s="45"/>
      <c r="CA53" s="45"/>
      <c r="CB53" s="45"/>
      <c r="CC53" s="46">
        <f t="shared" si="15"/>
        <v>0</v>
      </c>
      <c r="CD53" s="45"/>
      <c r="CE53" s="45"/>
      <c r="CF53" s="45"/>
      <c r="CG53" s="45"/>
      <c r="CH53" s="46">
        <f t="shared" si="16"/>
        <v>0</v>
      </c>
      <c r="CI53" s="45"/>
      <c r="CJ53" s="45"/>
      <c r="CK53" s="45"/>
      <c r="CL53" s="45"/>
      <c r="CM53" s="46">
        <f t="shared" si="17"/>
        <v>0</v>
      </c>
    </row>
    <row r="54" spans="1:91" ht="198">
      <c r="A54" s="45">
        <v>12</v>
      </c>
      <c r="B54" s="50">
        <f t="shared" si="18"/>
        <v>50</v>
      </c>
      <c r="C54" s="91" t="s">
        <v>4654</v>
      </c>
      <c r="D54" s="91" t="s">
        <v>3534</v>
      </c>
      <c r="E54" s="92" t="s">
        <v>4815</v>
      </c>
      <c r="F54" s="91" t="s">
        <v>4816</v>
      </c>
      <c r="G54" s="45" t="s">
        <v>4817</v>
      </c>
      <c r="H54" s="45" t="s">
        <v>4818</v>
      </c>
      <c r="I54" s="52" t="s">
        <v>4819</v>
      </c>
      <c r="J54" s="45" t="s">
        <v>3575</v>
      </c>
      <c r="K54" s="53"/>
      <c r="L54" s="54" t="e">
        <f>INDEX([1]Timeline!$E$10:$E$24,MATCH(A54,[1]Timeline!$C$10:$C$24,0))</f>
        <v>#N/A</v>
      </c>
      <c r="M54" s="55">
        <v>44561</v>
      </c>
      <c r="N54" s="56">
        <v>74500</v>
      </c>
      <c r="O54" s="57">
        <v>0</v>
      </c>
      <c r="P54" s="56" t="e">
        <f t="shared" si="0"/>
        <v>#N/A</v>
      </c>
      <c r="Q54" s="56" t="s">
        <v>4686</v>
      </c>
      <c r="R54" s="56"/>
      <c r="S54" s="56"/>
      <c r="T54" s="58">
        <f t="shared" si="25"/>
        <v>74500</v>
      </c>
      <c r="U54" s="58" t="e">
        <f t="shared" si="20"/>
        <v>#N/A</v>
      </c>
      <c r="V54" s="58" t="e">
        <f t="shared" si="1"/>
        <v>#N/A</v>
      </c>
      <c r="W54" s="45">
        <v>1</v>
      </c>
      <c r="X54" s="59">
        <f t="shared" si="21"/>
        <v>2.5625</v>
      </c>
      <c r="Y54" s="59">
        <f t="shared" si="22"/>
        <v>3.5</v>
      </c>
      <c r="Z54" s="60">
        <f t="shared" si="23"/>
        <v>1.625</v>
      </c>
      <c r="AA54" s="45"/>
      <c r="AB54" s="45"/>
      <c r="AC54" s="45"/>
      <c r="AD54" s="45"/>
      <c r="AE54" s="46">
        <f t="shared" si="5"/>
        <v>0</v>
      </c>
      <c r="AF54" s="45"/>
      <c r="AG54" s="45"/>
      <c r="AH54" s="45"/>
      <c r="AI54" s="45"/>
      <c r="AJ54" s="61">
        <f t="shared" si="6"/>
        <v>0</v>
      </c>
      <c r="AK54" s="62"/>
      <c r="AL54" s="45"/>
      <c r="AM54" s="45"/>
      <c r="AN54" s="45"/>
      <c r="AO54" s="63">
        <f t="shared" si="7"/>
        <v>0</v>
      </c>
      <c r="AP54" s="64"/>
      <c r="AQ54" s="45"/>
      <c r="AR54" s="45"/>
      <c r="AS54" s="45"/>
      <c r="AT54" s="46">
        <f t="shared" si="8"/>
        <v>0</v>
      </c>
      <c r="AU54" s="45">
        <v>3</v>
      </c>
      <c r="AV54" s="45">
        <v>3</v>
      </c>
      <c r="AW54" s="45">
        <v>1</v>
      </c>
      <c r="AX54" s="45">
        <v>2</v>
      </c>
      <c r="AY54" s="46">
        <f t="shared" si="9"/>
        <v>2.25</v>
      </c>
      <c r="AZ54" s="45">
        <v>4</v>
      </c>
      <c r="BA54" s="45">
        <v>4</v>
      </c>
      <c r="BB54" s="45">
        <v>1</v>
      </c>
      <c r="BC54" s="45">
        <v>2</v>
      </c>
      <c r="BD54" s="47">
        <f t="shared" si="10"/>
        <v>2.75</v>
      </c>
      <c r="BE54" s="98">
        <v>3</v>
      </c>
      <c r="BF54" s="99">
        <v>3</v>
      </c>
      <c r="BG54" s="99">
        <v>2</v>
      </c>
      <c r="BH54" s="99">
        <v>2</v>
      </c>
      <c r="BI54" s="46">
        <f t="shared" ref="BI54:BI72" si="26">IFERROR(SUM(BE54:BH54)/4,0)</f>
        <v>2.5</v>
      </c>
      <c r="BJ54" s="45"/>
      <c r="BK54" s="45"/>
      <c r="BL54" s="45"/>
      <c r="BM54" s="45"/>
      <c r="BN54" s="46">
        <f t="shared" si="12"/>
        <v>0</v>
      </c>
      <c r="BO54" s="98">
        <v>4</v>
      </c>
      <c r="BP54" s="99">
        <v>4</v>
      </c>
      <c r="BQ54" s="99">
        <v>1</v>
      </c>
      <c r="BR54" s="99">
        <v>2</v>
      </c>
      <c r="BS54" s="46">
        <f t="shared" si="13"/>
        <v>2.75</v>
      </c>
      <c r="BT54" s="45">
        <v>3</v>
      </c>
      <c r="BU54" s="45">
        <v>3</v>
      </c>
      <c r="BV54" s="45">
        <v>1</v>
      </c>
      <c r="BW54" s="45">
        <v>2</v>
      </c>
      <c r="BX54" s="46">
        <f t="shared" si="14"/>
        <v>2.25</v>
      </c>
      <c r="BY54" s="45">
        <v>3</v>
      </c>
      <c r="BZ54" s="45">
        <v>3</v>
      </c>
      <c r="CA54" s="45">
        <v>2</v>
      </c>
      <c r="CB54" s="45">
        <v>2</v>
      </c>
      <c r="CC54" s="46">
        <f t="shared" si="15"/>
        <v>2.5</v>
      </c>
      <c r="CD54" s="45">
        <v>4</v>
      </c>
      <c r="CE54" s="45">
        <v>4</v>
      </c>
      <c r="CF54" s="45">
        <v>1</v>
      </c>
      <c r="CG54" s="45">
        <v>2</v>
      </c>
      <c r="CH54" s="46">
        <f t="shared" si="16"/>
        <v>2.75</v>
      </c>
      <c r="CI54" s="45">
        <v>4</v>
      </c>
      <c r="CJ54" s="45">
        <v>4</v>
      </c>
      <c r="CK54" s="45">
        <v>1</v>
      </c>
      <c r="CL54" s="45">
        <v>2</v>
      </c>
      <c r="CM54" s="46">
        <f t="shared" si="17"/>
        <v>2.75</v>
      </c>
    </row>
    <row r="55" spans="1:91" ht="121.5">
      <c r="A55" s="45">
        <v>12</v>
      </c>
      <c r="B55" s="50">
        <f t="shared" si="18"/>
        <v>51</v>
      </c>
      <c r="C55" s="91" t="s">
        <v>4820</v>
      </c>
      <c r="D55" s="92" t="s">
        <v>4821</v>
      </c>
      <c r="E55" s="91" t="s">
        <v>4822</v>
      </c>
      <c r="F55" s="45" t="s">
        <v>4823</v>
      </c>
      <c r="G55" s="14" t="s">
        <v>4824</v>
      </c>
      <c r="H55" s="45" t="s">
        <v>4825</v>
      </c>
      <c r="I55" s="52" t="s">
        <v>4826</v>
      </c>
      <c r="J55" s="45" t="s">
        <v>3575</v>
      </c>
      <c r="K55" s="53"/>
      <c r="L55" s="54" t="e">
        <f>INDEX([1]Timeline!$E$10:$E$24,MATCH(A55,[1]Timeline!$C$10:$C$24,0))</f>
        <v>#N/A</v>
      </c>
      <c r="M55" s="55">
        <v>44561</v>
      </c>
      <c r="N55" s="56">
        <v>6187320</v>
      </c>
      <c r="O55" s="57">
        <v>0</v>
      </c>
      <c r="P55" s="56" t="e">
        <f t="shared" si="0"/>
        <v>#N/A</v>
      </c>
      <c r="Q55" s="56" t="s">
        <v>4821</v>
      </c>
      <c r="R55" s="56"/>
      <c r="S55" s="56"/>
      <c r="T55" s="58">
        <f t="shared" si="25"/>
        <v>6187320</v>
      </c>
      <c r="U55" s="58" t="e">
        <f t="shared" si="20"/>
        <v>#N/A</v>
      </c>
      <c r="V55" s="58" t="e">
        <f t="shared" si="1"/>
        <v>#N/A</v>
      </c>
      <c r="W55" s="45">
        <v>1</v>
      </c>
      <c r="X55" s="59">
        <f t="shared" si="21"/>
        <v>3.15625</v>
      </c>
      <c r="Y55" s="59">
        <f t="shared" si="22"/>
        <v>3.625</v>
      </c>
      <c r="Z55" s="60">
        <f t="shared" si="23"/>
        <v>2.6875</v>
      </c>
      <c r="AA55" s="45"/>
      <c r="AB55" s="45"/>
      <c r="AC55" s="45"/>
      <c r="AD55" s="45"/>
      <c r="AE55" s="46">
        <f t="shared" si="5"/>
        <v>0</v>
      </c>
      <c r="AF55" s="45"/>
      <c r="AG55" s="45"/>
      <c r="AH55" s="45"/>
      <c r="AI55" s="45"/>
      <c r="AJ55" s="61">
        <f t="shared" si="6"/>
        <v>0</v>
      </c>
      <c r="AK55" s="62"/>
      <c r="AL55" s="45"/>
      <c r="AM55" s="45"/>
      <c r="AN55" s="45"/>
      <c r="AO55" s="63">
        <f t="shared" si="7"/>
        <v>0</v>
      </c>
      <c r="AP55" s="64"/>
      <c r="AQ55" s="45"/>
      <c r="AR55" s="45"/>
      <c r="AS55" s="45"/>
      <c r="AT55" s="46">
        <f t="shared" si="8"/>
        <v>0</v>
      </c>
      <c r="AU55" s="45">
        <v>4</v>
      </c>
      <c r="AV55" s="45">
        <v>4</v>
      </c>
      <c r="AW55" s="45">
        <v>3</v>
      </c>
      <c r="AX55" s="45">
        <v>2</v>
      </c>
      <c r="AY55" s="46">
        <f t="shared" si="9"/>
        <v>3.25</v>
      </c>
      <c r="AZ55" s="45">
        <v>4</v>
      </c>
      <c r="BA55" s="45">
        <v>4</v>
      </c>
      <c r="BB55" s="45">
        <v>3</v>
      </c>
      <c r="BC55" s="45">
        <v>4</v>
      </c>
      <c r="BD55" s="47">
        <f t="shared" si="10"/>
        <v>3.75</v>
      </c>
      <c r="BE55" s="100">
        <v>3</v>
      </c>
      <c r="BF55" s="101">
        <v>3</v>
      </c>
      <c r="BG55" s="101">
        <v>2</v>
      </c>
      <c r="BH55" s="101">
        <v>3</v>
      </c>
      <c r="BI55" s="46">
        <f t="shared" si="26"/>
        <v>2.75</v>
      </c>
      <c r="BJ55" s="45"/>
      <c r="BK55" s="45"/>
      <c r="BL55" s="45"/>
      <c r="BM55" s="45"/>
      <c r="BN55" s="46">
        <f t="shared" si="12"/>
        <v>0</v>
      </c>
      <c r="BO55" s="100">
        <v>3</v>
      </c>
      <c r="BP55" s="101">
        <v>3</v>
      </c>
      <c r="BQ55" s="101">
        <v>2</v>
      </c>
      <c r="BR55" s="101">
        <v>4</v>
      </c>
      <c r="BS55" s="46">
        <f t="shared" si="13"/>
        <v>3</v>
      </c>
      <c r="BT55" s="45">
        <v>4</v>
      </c>
      <c r="BU55" s="45">
        <v>3</v>
      </c>
      <c r="BV55" s="45">
        <v>2</v>
      </c>
      <c r="BW55" s="45">
        <v>2</v>
      </c>
      <c r="BX55" s="46">
        <f t="shared" si="14"/>
        <v>2.75</v>
      </c>
      <c r="BY55" s="45">
        <v>4</v>
      </c>
      <c r="BZ55" s="45">
        <v>4</v>
      </c>
      <c r="CA55" s="45">
        <v>4</v>
      </c>
      <c r="CB55" s="45">
        <v>4</v>
      </c>
      <c r="CC55" s="46">
        <f t="shared" si="15"/>
        <v>4</v>
      </c>
      <c r="CD55" s="45">
        <v>4</v>
      </c>
      <c r="CE55" s="45">
        <v>4</v>
      </c>
      <c r="CF55" s="45">
        <v>2</v>
      </c>
      <c r="CG55" s="45">
        <v>2</v>
      </c>
      <c r="CH55" s="46">
        <f t="shared" si="16"/>
        <v>3</v>
      </c>
      <c r="CI55" s="45">
        <v>3</v>
      </c>
      <c r="CJ55" s="45">
        <v>4</v>
      </c>
      <c r="CK55" s="45">
        <v>2</v>
      </c>
      <c r="CL55" s="45">
        <v>2</v>
      </c>
      <c r="CM55" s="46">
        <f t="shared" si="17"/>
        <v>2.75</v>
      </c>
    </row>
    <row r="56" spans="1:91" ht="301.35000000000002" customHeight="1">
      <c r="A56" s="45">
        <v>12</v>
      </c>
      <c r="B56" s="50">
        <f t="shared" si="18"/>
        <v>52</v>
      </c>
      <c r="C56" s="91" t="s">
        <v>4785</v>
      </c>
      <c r="D56" s="92" t="s">
        <v>4827</v>
      </c>
      <c r="E56" s="91" t="s">
        <v>4828</v>
      </c>
      <c r="F56" s="45" t="s">
        <v>4829</v>
      </c>
      <c r="G56" s="45" t="s">
        <v>4830</v>
      </c>
      <c r="H56" s="45" t="s">
        <v>4831</v>
      </c>
      <c r="I56" s="52" t="s">
        <v>4832</v>
      </c>
      <c r="J56" s="45" t="s">
        <v>3575</v>
      </c>
      <c r="K56" s="53"/>
      <c r="L56" s="54" t="e">
        <f>INDEX([1]Timeline!$E$10:$E$24,MATCH(A56,[1]Timeline!$C$10:$C$24,0))</f>
        <v>#N/A</v>
      </c>
      <c r="M56" s="55">
        <v>44561</v>
      </c>
      <c r="N56" s="56">
        <v>875988</v>
      </c>
      <c r="O56" s="57">
        <v>0</v>
      </c>
      <c r="P56" s="56" t="e">
        <f t="shared" si="0"/>
        <v>#N/A</v>
      </c>
      <c r="Q56" s="56" t="s">
        <v>4520</v>
      </c>
      <c r="R56" s="56"/>
      <c r="S56" s="56"/>
      <c r="T56" s="58">
        <f t="shared" si="25"/>
        <v>875988</v>
      </c>
      <c r="U56" s="58" t="e">
        <f t="shared" si="20"/>
        <v>#N/A</v>
      </c>
      <c r="V56" s="58" t="e">
        <f t="shared" si="1"/>
        <v>#N/A</v>
      </c>
      <c r="W56" s="45">
        <v>1</v>
      </c>
      <c r="X56" s="59">
        <f t="shared" si="21"/>
        <v>2.625</v>
      </c>
      <c r="Y56" s="59">
        <f t="shared" si="22"/>
        <v>3.125</v>
      </c>
      <c r="Z56" s="60">
        <f t="shared" si="23"/>
        <v>2.125</v>
      </c>
      <c r="AA56" s="45"/>
      <c r="AB56" s="45"/>
      <c r="AC56" s="45"/>
      <c r="AD56" s="45"/>
      <c r="AE56" s="46">
        <f t="shared" si="5"/>
        <v>0</v>
      </c>
      <c r="AF56" s="45"/>
      <c r="AG56" s="45"/>
      <c r="AH56" s="45"/>
      <c r="AI56" s="45"/>
      <c r="AJ56" s="61">
        <f t="shared" si="6"/>
        <v>0</v>
      </c>
      <c r="AK56" s="62"/>
      <c r="AL56" s="45"/>
      <c r="AM56" s="45"/>
      <c r="AN56" s="45"/>
      <c r="AO56" s="63">
        <f t="shared" si="7"/>
        <v>0</v>
      </c>
      <c r="AP56" s="64"/>
      <c r="AQ56" s="45"/>
      <c r="AR56" s="45"/>
      <c r="AS56" s="45"/>
      <c r="AT56" s="46">
        <f t="shared" si="8"/>
        <v>0</v>
      </c>
      <c r="AU56" s="45">
        <v>3</v>
      </c>
      <c r="AV56" s="45">
        <v>3</v>
      </c>
      <c r="AW56" s="45">
        <v>1</v>
      </c>
      <c r="AX56" s="45">
        <v>2</v>
      </c>
      <c r="AY56" s="46">
        <f t="shared" si="9"/>
        <v>2.25</v>
      </c>
      <c r="AZ56" s="45">
        <v>3</v>
      </c>
      <c r="BA56" s="45">
        <v>3</v>
      </c>
      <c r="BB56" s="45">
        <v>2</v>
      </c>
      <c r="BC56" s="45">
        <v>2</v>
      </c>
      <c r="BD56" s="47">
        <f t="shared" si="10"/>
        <v>2.5</v>
      </c>
      <c r="BE56" s="100">
        <v>3</v>
      </c>
      <c r="BF56" s="101">
        <v>3</v>
      </c>
      <c r="BG56" s="101">
        <v>2</v>
      </c>
      <c r="BH56" s="101">
        <v>2</v>
      </c>
      <c r="BI56" s="46">
        <f t="shared" si="26"/>
        <v>2.5</v>
      </c>
      <c r="BJ56" s="45"/>
      <c r="BK56" s="45"/>
      <c r="BL56" s="45"/>
      <c r="BM56" s="45"/>
      <c r="BN56" s="46">
        <f t="shared" si="12"/>
        <v>0</v>
      </c>
      <c r="BO56" s="100">
        <v>3</v>
      </c>
      <c r="BP56" s="101">
        <v>3</v>
      </c>
      <c r="BQ56" s="101">
        <v>2</v>
      </c>
      <c r="BR56" s="101">
        <v>2</v>
      </c>
      <c r="BS56" s="46">
        <f t="shared" si="13"/>
        <v>2.5</v>
      </c>
      <c r="BT56" s="45">
        <v>3</v>
      </c>
      <c r="BU56" s="45">
        <v>3</v>
      </c>
      <c r="BV56" s="45">
        <v>1</v>
      </c>
      <c r="BW56" s="45">
        <v>2</v>
      </c>
      <c r="BX56" s="46">
        <f t="shared" si="14"/>
        <v>2.25</v>
      </c>
      <c r="BY56" s="45">
        <v>4</v>
      </c>
      <c r="BZ56" s="45">
        <v>4</v>
      </c>
      <c r="CA56" s="45">
        <v>4</v>
      </c>
      <c r="CB56" s="45">
        <v>4</v>
      </c>
      <c r="CC56" s="46">
        <f t="shared" si="15"/>
        <v>4</v>
      </c>
      <c r="CD56" s="45">
        <v>3</v>
      </c>
      <c r="CE56" s="45">
        <v>3</v>
      </c>
      <c r="CF56" s="45">
        <v>2</v>
      </c>
      <c r="CG56" s="45">
        <v>2</v>
      </c>
      <c r="CH56" s="46">
        <f t="shared" si="16"/>
        <v>2.5</v>
      </c>
      <c r="CI56" s="45">
        <v>3</v>
      </c>
      <c r="CJ56" s="45">
        <v>3</v>
      </c>
      <c r="CK56" s="45">
        <v>2</v>
      </c>
      <c r="CL56" s="45">
        <v>2</v>
      </c>
      <c r="CM56" s="46">
        <f t="shared" si="17"/>
        <v>2.5</v>
      </c>
    </row>
    <row r="57" spans="1:91" ht="296.85000000000002" customHeight="1">
      <c r="A57" s="45">
        <v>12</v>
      </c>
      <c r="B57" s="50">
        <f t="shared" si="18"/>
        <v>53</v>
      </c>
      <c r="C57" s="91" t="s">
        <v>4833</v>
      </c>
      <c r="D57" s="92" t="s">
        <v>4834</v>
      </c>
      <c r="E57" s="91" t="s">
        <v>4835</v>
      </c>
      <c r="F57" s="45" t="s">
        <v>4836</v>
      </c>
      <c r="G57" s="45" t="s">
        <v>4837</v>
      </c>
      <c r="H57" s="45" t="s">
        <v>4838</v>
      </c>
      <c r="I57" s="52" t="s">
        <v>4839</v>
      </c>
      <c r="J57" s="45" t="s">
        <v>3575</v>
      </c>
      <c r="K57" s="53"/>
      <c r="L57" s="54" t="e">
        <f>INDEX([1]Timeline!$E$10:$E$24,MATCH(A57,[1]Timeline!$C$10:$C$24,0))</f>
        <v>#N/A</v>
      </c>
      <c r="M57" s="55">
        <v>44561</v>
      </c>
      <c r="N57" s="56">
        <v>5535124</v>
      </c>
      <c r="O57" s="57">
        <v>0</v>
      </c>
      <c r="P57" s="56" t="e">
        <f>(MONTH(M57)-MONTH(L57)+1)*N57</f>
        <v>#N/A</v>
      </c>
      <c r="Q57" s="56" t="s">
        <v>3452</v>
      </c>
      <c r="R57" s="56"/>
      <c r="S57" s="56"/>
      <c r="T57" s="58">
        <f t="shared" si="25"/>
        <v>5535124</v>
      </c>
      <c r="U57" s="58" t="e">
        <f t="shared" si="20"/>
        <v>#N/A</v>
      </c>
      <c r="V57" s="58" t="e">
        <f t="shared" si="1"/>
        <v>#N/A</v>
      </c>
      <c r="W57" s="45">
        <v>1</v>
      </c>
      <c r="X57" s="59">
        <f t="shared" si="21"/>
        <v>2.71875</v>
      </c>
      <c r="Y57" s="59">
        <f t="shared" si="22"/>
        <v>3.3125</v>
      </c>
      <c r="Z57" s="60">
        <f t="shared" si="23"/>
        <v>2.125</v>
      </c>
      <c r="AA57" s="45"/>
      <c r="AB57" s="45"/>
      <c r="AC57" s="45"/>
      <c r="AD57" s="45"/>
      <c r="AE57" s="46">
        <f t="shared" si="5"/>
        <v>0</v>
      </c>
      <c r="AF57" s="45"/>
      <c r="AG57" s="45"/>
      <c r="AH57" s="45"/>
      <c r="AI57" s="45"/>
      <c r="AJ57" s="61">
        <f t="shared" si="6"/>
        <v>0</v>
      </c>
      <c r="AK57" s="62"/>
      <c r="AL57" s="45"/>
      <c r="AM57" s="45"/>
      <c r="AN57" s="45"/>
      <c r="AO57" s="63">
        <f t="shared" si="7"/>
        <v>0</v>
      </c>
      <c r="AP57" s="64"/>
      <c r="AQ57" s="45"/>
      <c r="AR57" s="45"/>
      <c r="AS57" s="45"/>
      <c r="AT57" s="46">
        <f t="shared" si="8"/>
        <v>0</v>
      </c>
      <c r="AU57" s="45">
        <v>3</v>
      </c>
      <c r="AV57" s="45">
        <v>4</v>
      </c>
      <c r="AW57" s="45">
        <v>2</v>
      </c>
      <c r="AX57" s="45">
        <v>2</v>
      </c>
      <c r="AY57" s="46">
        <f t="shared" si="9"/>
        <v>2.75</v>
      </c>
      <c r="AZ57" s="45">
        <v>3</v>
      </c>
      <c r="BA57" s="45">
        <v>3</v>
      </c>
      <c r="BB57" s="45">
        <v>2</v>
      </c>
      <c r="BC57" s="45">
        <v>2</v>
      </c>
      <c r="BD57" s="47">
        <f t="shared" si="10"/>
        <v>2.5</v>
      </c>
      <c r="BE57" s="100">
        <v>4</v>
      </c>
      <c r="BF57" s="101">
        <v>3</v>
      </c>
      <c r="BG57" s="101">
        <v>2</v>
      </c>
      <c r="BH57" s="101">
        <v>2</v>
      </c>
      <c r="BI57" s="46">
        <f t="shared" si="26"/>
        <v>2.75</v>
      </c>
      <c r="BJ57" s="45"/>
      <c r="BK57" s="45"/>
      <c r="BL57" s="45"/>
      <c r="BM57" s="45"/>
      <c r="BN57" s="46">
        <f t="shared" si="12"/>
        <v>0</v>
      </c>
      <c r="BO57" s="98">
        <v>4</v>
      </c>
      <c r="BP57" s="99">
        <v>3</v>
      </c>
      <c r="BQ57" s="99">
        <v>2</v>
      </c>
      <c r="BR57" s="99">
        <v>2</v>
      </c>
      <c r="BS57" s="46">
        <f t="shared" si="13"/>
        <v>2.75</v>
      </c>
      <c r="BT57" s="45">
        <v>4</v>
      </c>
      <c r="BU57" s="45">
        <v>4</v>
      </c>
      <c r="BV57" s="45">
        <v>1</v>
      </c>
      <c r="BW57" s="45">
        <v>3</v>
      </c>
      <c r="BX57" s="46">
        <f t="shared" si="14"/>
        <v>3</v>
      </c>
      <c r="BY57" s="45">
        <v>2</v>
      </c>
      <c r="BZ57" s="45">
        <v>3</v>
      </c>
      <c r="CA57" s="45">
        <v>3</v>
      </c>
      <c r="CB57" s="45">
        <v>2</v>
      </c>
      <c r="CC57" s="46">
        <f t="shared" si="15"/>
        <v>2.5</v>
      </c>
      <c r="CD57" s="45">
        <v>4</v>
      </c>
      <c r="CE57" s="45">
        <v>3</v>
      </c>
      <c r="CF57" s="45">
        <v>2</v>
      </c>
      <c r="CG57" s="45">
        <v>2</v>
      </c>
      <c r="CH57" s="46">
        <f t="shared" si="16"/>
        <v>2.75</v>
      </c>
      <c r="CI57" s="45">
        <v>3</v>
      </c>
      <c r="CJ57" s="45">
        <v>3</v>
      </c>
      <c r="CK57" s="45">
        <v>3</v>
      </c>
      <c r="CL57" s="45">
        <v>2</v>
      </c>
      <c r="CM57" s="46">
        <f t="shared" si="17"/>
        <v>2.75</v>
      </c>
    </row>
    <row r="58" spans="1:91" ht="213">
      <c r="A58" s="45">
        <v>12</v>
      </c>
      <c r="B58" s="50">
        <f t="shared" si="18"/>
        <v>54</v>
      </c>
      <c r="C58" s="91" t="s">
        <v>4631</v>
      </c>
      <c r="D58" s="92" t="s">
        <v>4840</v>
      </c>
      <c r="E58" s="91" t="s">
        <v>4841</v>
      </c>
      <c r="F58" s="45" t="s">
        <v>4842</v>
      </c>
      <c r="G58" s="45" t="s">
        <v>4843</v>
      </c>
      <c r="H58" s="74" t="s">
        <v>4844</v>
      </c>
      <c r="I58" s="52" t="s">
        <v>4845</v>
      </c>
      <c r="J58" s="45" t="s">
        <v>3575</v>
      </c>
      <c r="K58" s="53"/>
      <c r="L58" s="54" t="e">
        <f>INDEX([1]Timeline!$E$10:$E$24,MATCH(A58,[1]Timeline!$C$10:$C$24,0))</f>
        <v>#N/A</v>
      </c>
      <c r="M58" s="55">
        <v>44561</v>
      </c>
      <c r="N58" s="56">
        <v>816000</v>
      </c>
      <c r="O58" s="57">
        <v>0</v>
      </c>
      <c r="P58" s="56" t="e">
        <f t="shared" si="0"/>
        <v>#N/A</v>
      </c>
      <c r="Q58" s="56" t="s">
        <v>4220</v>
      </c>
      <c r="R58" s="56"/>
      <c r="S58" s="56"/>
      <c r="T58" s="58">
        <f t="shared" si="25"/>
        <v>816000</v>
      </c>
      <c r="U58" s="58" t="e">
        <f t="shared" si="20"/>
        <v>#N/A</v>
      </c>
      <c r="V58" s="58" t="e">
        <f t="shared" si="1"/>
        <v>#N/A</v>
      </c>
      <c r="W58" s="45">
        <v>1</v>
      </c>
      <c r="X58" s="59">
        <f t="shared" si="21"/>
        <v>2.59375</v>
      </c>
      <c r="Y58" s="59">
        <f t="shared" si="22"/>
        <v>3</v>
      </c>
      <c r="Z58" s="60">
        <f t="shared" si="23"/>
        <v>2.1875</v>
      </c>
      <c r="AA58" s="45"/>
      <c r="AB58" s="45"/>
      <c r="AC58" s="45"/>
      <c r="AD58" s="45"/>
      <c r="AE58" s="46">
        <f t="shared" si="5"/>
        <v>0</v>
      </c>
      <c r="AF58" s="45"/>
      <c r="AG58" s="45"/>
      <c r="AH58" s="45"/>
      <c r="AI58" s="45"/>
      <c r="AJ58" s="61">
        <f t="shared" si="6"/>
        <v>0</v>
      </c>
      <c r="AK58" s="62"/>
      <c r="AL58" s="45"/>
      <c r="AM58" s="45"/>
      <c r="AN58" s="45"/>
      <c r="AO58" s="63">
        <f t="shared" si="7"/>
        <v>0</v>
      </c>
      <c r="AP58" s="64"/>
      <c r="AQ58" s="45"/>
      <c r="AR58" s="45"/>
      <c r="AS58" s="45"/>
      <c r="AT58" s="46">
        <f t="shared" si="8"/>
        <v>0</v>
      </c>
      <c r="AU58" s="45">
        <v>4</v>
      </c>
      <c r="AV58" s="45">
        <v>3</v>
      </c>
      <c r="AW58" s="45">
        <v>2</v>
      </c>
      <c r="AX58" s="45">
        <v>3</v>
      </c>
      <c r="AY58" s="46">
        <f t="shared" si="9"/>
        <v>3</v>
      </c>
      <c r="AZ58" s="45">
        <v>4</v>
      </c>
      <c r="BA58" s="45">
        <v>3</v>
      </c>
      <c r="BB58" s="45">
        <v>2</v>
      </c>
      <c r="BC58" s="45">
        <v>2</v>
      </c>
      <c r="BD58" s="47">
        <f t="shared" si="10"/>
        <v>2.75</v>
      </c>
      <c r="BE58" s="100">
        <v>3</v>
      </c>
      <c r="BF58" s="101">
        <v>3</v>
      </c>
      <c r="BG58" s="101">
        <v>2</v>
      </c>
      <c r="BH58" s="101">
        <v>2</v>
      </c>
      <c r="BI58" s="46">
        <f t="shared" si="26"/>
        <v>2.5</v>
      </c>
      <c r="BJ58" s="45"/>
      <c r="BK58" s="45"/>
      <c r="BL58" s="45"/>
      <c r="BM58" s="45"/>
      <c r="BN58" s="46">
        <f t="shared" si="12"/>
        <v>0</v>
      </c>
      <c r="BO58" s="100">
        <v>3</v>
      </c>
      <c r="BP58" s="101">
        <v>3</v>
      </c>
      <c r="BQ58" s="101">
        <v>2</v>
      </c>
      <c r="BR58" s="101">
        <v>4</v>
      </c>
      <c r="BS58" s="46">
        <f t="shared" si="13"/>
        <v>3</v>
      </c>
      <c r="BT58" s="45">
        <v>3</v>
      </c>
      <c r="BU58" s="45">
        <v>3</v>
      </c>
      <c r="BV58" s="45">
        <v>2</v>
      </c>
      <c r="BW58" s="45">
        <v>2</v>
      </c>
      <c r="BX58" s="46">
        <f t="shared" si="14"/>
        <v>2.5</v>
      </c>
      <c r="BY58" s="45">
        <v>2</v>
      </c>
      <c r="BZ58" s="45">
        <v>2</v>
      </c>
      <c r="CA58" s="45">
        <v>2</v>
      </c>
      <c r="CB58" s="45">
        <v>2</v>
      </c>
      <c r="CC58" s="46">
        <f t="shared" si="15"/>
        <v>2</v>
      </c>
      <c r="CD58" s="45">
        <v>3</v>
      </c>
      <c r="CE58" s="45">
        <v>3</v>
      </c>
      <c r="CF58" s="45">
        <v>2</v>
      </c>
      <c r="CG58" s="45">
        <v>2</v>
      </c>
      <c r="CH58" s="46">
        <f t="shared" si="16"/>
        <v>2.5</v>
      </c>
      <c r="CI58" s="45">
        <v>3</v>
      </c>
      <c r="CJ58" s="45">
        <v>3</v>
      </c>
      <c r="CK58" s="45">
        <v>2</v>
      </c>
      <c r="CL58" s="45">
        <v>2</v>
      </c>
      <c r="CM58" s="46">
        <f t="shared" si="17"/>
        <v>2.5</v>
      </c>
    </row>
    <row r="59" spans="1:91" ht="275.25">
      <c r="A59" s="45">
        <v>12</v>
      </c>
      <c r="B59" s="50">
        <f t="shared" si="18"/>
        <v>55</v>
      </c>
      <c r="C59" s="91" t="s">
        <v>4591</v>
      </c>
      <c r="D59" s="92" t="s">
        <v>4274</v>
      </c>
      <c r="E59" s="91" t="s">
        <v>4846</v>
      </c>
      <c r="F59" s="45" t="s">
        <v>4847</v>
      </c>
      <c r="G59" s="45" t="s">
        <v>4848</v>
      </c>
      <c r="H59" s="45" t="s">
        <v>4849</v>
      </c>
      <c r="I59" s="52" t="s">
        <v>4850</v>
      </c>
      <c r="J59" s="45" t="s">
        <v>3575</v>
      </c>
      <c r="K59" s="53"/>
      <c r="L59" s="54" t="e">
        <f>INDEX([1]Timeline!$E$10:$E$24,MATCH(A59,[1]Timeline!$C$10:$C$24,0))</f>
        <v>#N/A</v>
      </c>
      <c r="M59" s="55">
        <v>44561</v>
      </c>
      <c r="N59" s="56">
        <v>1801280</v>
      </c>
      <c r="O59" s="57">
        <v>0</v>
      </c>
      <c r="P59" s="56" t="e">
        <f t="shared" si="0"/>
        <v>#N/A</v>
      </c>
      <c r="Q59" s="56" t="s">
        <v>4274</v>
      </c>
      <c r="R59" s="56"/>
      <c r="S59" s="56"/>
      <c r="T59" s="58">
        <f t="shared" si="25"/>
        <v>1801280</v>
      </c>
      <c r="U59" s="58" t="e">
        <f t="shared" si="20"/>
        <v>#N/A</v>
      </c>
      <c r="V59" s="58" t="e">
        <f t="shared" si="1"/>
        <v>#N/A</v>
      </c>
      <c r="W59" s="45">
        <v>1</v>
      </c>
      <c r="X59" s="59">
        <f t="shared" si="21"/>
        <v>3.28125</v>
      </c>
      <c r="Y59" s="59">
        <f t="shared" si="22"/>
        <v>3.6875</v>
      </c>
      <c r="Z59" s="60">
        <f t="shared" si="23"/>
        <v>2.875</v>
      </c>
      <c r="AA59" s="45"/>
      <c r="AB59" s="45"/>
      <c r="AC59" s="45"/>
      <c r="AD59" s="45"/>
      <c r="AE59" s="46">
        <f t="shared" si="5"/>
        <v>0</v>
      </c>
      <c r="AF59" s="45"/>
      <c r="AG59" s="45"/>
      <c r="AH59" s="45"/>
      <c r="AI59" s="45"/>
      <c r="AJ59" s="61">
        <f t="shared" si="6"/>
        <v>0</v>
      </c>
      <c r="AK59" s="62"/>
      <c r="AL59" s="45"/>
      <c r="AM59" s="45"/>
      <c r="AN59" s="45"/>
      <c r="AO59" s="63">
        <f t="shared" si="7"/>
        <v>0</v>
      </c>
      <c r="AP59" s="64"/>
      <c r="AQ59" s="45"/>
      <c r="AR59" s="45"/>
      <c r="AS59" s="45"/>
      <c r="AT59" s="46">
        <f t="shared" si="8"/>
        <v>0</v>
      </c>
      <c r="AU59" s="45">
        <v>4</v>
      </c>
      <c r="AV59" s="45">
        <v>3</v>
      </c>
      <c r="AW59" s="45">
        <v>2</v>
      </c>
      <c r="AX59" s="45">
        <v>2</v>
      </c>
      <c r="AY59" s="46">
        <f t="shared" si="9"/>
        <v>2.75</v>
      </c>
      <c r="AZ59" s="45">
        <v>4</v>
      </c>
      <c r="BA59" s="45">
        <v>4</v>
      </c>
      <c r="BB59" s="45">
        <v>2</v>
      </c>
      <c r="BC59" s="45">
        <v>4</v>
      </c>
      <c r="BD59" s="47">
        <f t="shared" si="10"/>
        <v>3.5</v>
      </c>
      <c r="BE59" s="100">
        <v>4</v>
      </c>
      <c r="BF59" s="101">
        <v>4</v>
      </c>
      <c r="BG59" s="101">
        <v>2</v>
      </c>
      <c r="BH59" s="101">
        <v>4</v>
      </c>
      <c r="BI59" s="46">
        <f t="shared" si="26"/>
        <v>3.5</v>
      </c>
      <c r="BJ59" s="45"/>
      <c r="BK59" s="45"/>
      <c r="BL59" s="45"/>
      <c r="BM59" s="45"/>
      <c r="BN59" s="46">
        <f t="shared" si="12"/>
        <v>0</v>
      </c>
      <c r="BO59" s="98">
        <v>4</v>
      </c>
      <c r="BP59" s="99">
        <v>4</v>
      </c>
      <c r="BQ59" s="99">
        <v>2</v>
      </c>
      <c r="BR59" s="99">
        <v>4</v>
      </c>
      <c r="BS59" s="46">
        <f t="shared" si="13"/>
        <v>3.5</v>
      </c>
      <c r="BT59" s="45">
        <v>4</v>
      </c>
      <c r="BU59" s="45">
        <v>4</v>
      </c>
      <c r="BV59" s="45">
        <v>2</v>
      </c>
      <c r="BW59" s="45">
        <v>4</v>
      </c>
      <c r="BX59" s="46">
        <f t="shared" si="14"/>
        <v>3.5</v>
      </c>
      <c r="BY59" s="45">
        <v>2</v>
      </c>
      <c r="BZ59" s="45">
        <v>3</v>
      </c>
      <c r="CA59" s="45">
        <v>4</v>
      </c>
      <c r="CB59" s="45">
        <v>4</v>
      </c>
      <c r="CC59" s="46">
        <f t="shared" si="15"/>
        <v>3.25</v>
      </c>
      <c r="CD59" s="45">
        <v>3</v>
      </c>
      <c r="CE59" s="45">
        <v>4</v>
      </c>
      <c r="CF59" s="45">
        <v>2</v>
      </c>
      <c r="CG59" s="45">
        <v>2</v>
      </c>
      <c r="CH59" s="46">
        <f t="shared" si="16"/>
        <v>2.75</v>
      </c>
      <c r="CI59" s="45">
        <v>4</v>
      </c>
      <c r="CJ59" s="45">
        <v>4</v>
      </c>
      <c r="CK59" s="45">
        <v>2</v>
      </c>
      <c r="CL59" s="45">
        <v>4</v>
      </c>
      <c r="CM59" s="46">
        <f t="shared" si="17"/>
        <v>3.5</v>
      </c>
    </row>
    <row r="60" spans="1:91" ht="91.5">
      <c r="A60" s="45">
        <v>12</v>
      </c>
      <c r="B60" s="50">
        <f t="shared" si="18"/>
        <v>56</v>
      </c>
      <c r="C60" s="91" t="s">
        <v>4324</v>
      </c>
      <c r="D60" s="92" t="s">
        <v>4851</v>
      </c>
      <c r="E60" s="91" t="s">
        <v>4852</v>
      </c>
      <c r="F60" s="45" t="s">
        <v>4853</v>
      </c>
      <c r="G60" s="45" t="s">
        <v>4854</v>
      </c>
      <c r="H60" s="45" t="s">
        <v>4855</v>
      </c>
      <c r="I60" s="52" t="s">
        <v>4856</v>
      </c>
      <c r="J60" s="45" t="s">
        <v>3575</v>
      </c>
      <c r="K60" s="53"/>
      <c r="L60" s="54" t="e">
        <f>INDEX([1]Timeline!$E$10:$E$24,MATCH(A60,[1]Timeline!$C$10:$C$24,0))</f>
        <v>#N/A</v>
      </c>
      <c r="M60" s="55">
        <v>44561</v>
      </c>
      <c r="N60" s="56">
        <v>60000</v>
      </c>
      <c r="O60" s="57">
        <v>0</v>
      </c>
      <c r="P60" s="56" t="e">
        <f t="shared" si="0"/>
        <v>#N/A</v>
      </c>
      <c r="Q60" s="56" t="s">
        <v>3645</v>
      </c>
      <c r="R60" s="56"/>
      <c r="S60" s="56"/>
      <c r="T60" s="58">
        <f t="shared" si="25"/>
        <v>60000</v>
      </c>
      <c r="U60" s="58" t="e">
        <f t="shared" si="20"/>
        <v>#N/A</v>
      </c>
      <c r="V60" s="58" t="e">
        <f t="shared" si="1"/>
        <v>#N/A</v>
      </c>
      <c r="W60" s="45">
        <v>1</v>
      </c>
      <c r="X60" s="59">
        <f t="shared" si="21"/>
        <v>2.4375</v>
      </c>
      <c r="Y60" s="59">
        <f t="shared" si="22"/>
        <v>2.8125</v>
      </c>
      <c r="Z60" s="60">
        <f t="shared" si="23"/>
        <v>2.0625</v>
      </c>
      <c r="AA60" s="45"/>
      <c r="AB60" s="45"/>
      <c r="AC60" s="45"/>
      <c r="AD60" s="45"/>
      <c r="AE60" s="46">
        <f t="shared" si="5"/>
        <v>0</v>
      </c>
      <c r="AF60" s="45"/>
      <c r="AG60" s="45"/>
      <c r="AH60" s="45"/>
      <c r="AI60" s="45"/>
      <c r="AJ60" s="61">
        <f t="shared" si="6"/>
        <v>0</v>
      </c>
      <c r="AK60" s="62"/>
      <c r="AL60" s="45"/>
      <c r="AM60" s="45"/>
      <c r="AN60" s="45"/>
      <c r="AO60" s="63">
        <f t="shared" si="7"/>
        <v>0</v>
      </c>
      <c r="AP60" s="64"/>
      <c r="AQ60" s="45"/>
      <c r="AR60" s="45"/>
      <c r="AS60" s="45"/>
      <c r="AT60" s="46">
        <f t="shared" si="8"/>
        <v>0</v>
      </c>
      <c r="AU60" s="45">
        <v>3</v>
      </c>
      <c r="AV60" s="45">
        <v>3</v>
      </c>
      <c r="AW60" s="45">
        <v>2</v>
      </c>
      <c r="AX60" s="45">
        <v>2</v>
      </c>
      <c r="AY60" s="46">
        <f t="shared" si="9"/>
        <v>2.5</v>
      </c>
      <c r="AZ60" s="45">
        <v>3</v>
      </c>
      <c r="BA60" s="45">
        <v>3</v>
      </c>
      <c r="BB60" s="45">
        <v>2</v>
      </c>
      <c r="BC60" s="45">
        <v>2</v>
      </c>
      <c r="BD60" s="47">
        <f t="shared" si="10"/>
        <v>2.5</v>
      </c>
      <c r="BE60" s="100">
        <v>3</v>
      </c>
      <c r="BF60" s="101">
        <v>3</v>
      </c>
      <c r="BG60" s="101">
        <v>2</v>
      </c>
      <c r="BH60" s="101">
        <v>2</v>
      </c>
      <c r="BI60" s="46">
        <f t="shared" si="26"/>
        <v>2.5</v>
      </c>
      <c r="BJ60" s="45"/>
      <c r="BK60" s="45"/>
      <c r="BL60" s="45"/>
      <c r="BM60" s="45"/>
      <c r="BN60" s="46">
        <f t="shared" si="12"/>
        <v>0</v>
      </c>
      <c r="BO60" s="45">
        <v>3</v>
      </c>
      <c r="BP60" s="45">
        <v>3</v>
      </c>
      <c r="BQ60" s="45">
        <v>2</v>
      </c>
      <c r="BR60" s="45">
        <v>2</v>
      </c>
      <c r="BS60" s="46">
        <f t="shared" si="13"/>
        <v>2.5</v>
      </c>
      <c r="BT60" s="45">
        <v>3</v>
      </c>
      <c r="BU60" s="45">
        <v>3</v>
      </c>
      <c r="BV60" s="45">
        <v>2</v>
      </c>
      <c r="BW60" s="45">
        <v>2</v>
      </c>
      <c r="BX60" s="46">
        <f t="shared" si="14"/>
        <v>2.5</v>
      </c>
      <c r="BY60" s="45">
        <v>2</v>
      </c>
      <c r="BZ60" s="45">
        <v>3</v>
      </c>
      <c r="CA60" s="45">
        <v>3</v>
      </c>
      <c r="CB60" s="45">
        <v>3</v>
      </c>
      <c r="CC60" s="46">
        <f t="shared" si="15"/>
        <v>2.75</v>
      </c>
      <c r="CD60" s="45">
        <v>2</v>
      </c>
      <c r="CE60" s="45">
        <v>3</v>
      </c>
      <c r="CF60" s="45">
        <v>2</v>
      </c>
      <c r="CG60" s="45">
        <v>2</v>
      </c>
      <c r="CH60" s="46">
        <f t="shared" si="16"/>
        <v>2.25</v>
      </c>
      <c r="CI60" s="45">
        <v>3</v>
      </c>
      <c r="CJ60" s="45">
        <v>2</v>
      </c>
      <c r="CK60" s="45">
        <v>2</v>
      </c>
      <c r="CL60" s="45">
        <v>1</v>
      </c>
      <c r="CM60" s="46">
        <f t="shared" si="17"/>
        <v>2</v>
      </c>
    </row>
    <row r="61" spans="1:91" ht="152.25">
      <c r="A61" s="45">
        <v>12</v>
      </c>
      <c r="B61" s="50">
        <f t="shared" si="18"/>
        <v>57</v>
      </c>
      <c r="C61" s="91" t="s">
        <v>4857</v>
      </c>
      <c r="D61" s="92" t="s">
        <v>4552</v>
      </c>
      <c r="E61" s="91" t="s">
        <v>4858</v>
      </c>
      <c r="F61" s="45" t="s">
        <v>4859</v>
      </c>
      <c r="G61" s="45" t="s">
        <v>4860</v>
      </c>
      <c r="H61" s="74" t="s">
        <v>4861</v>
      </c>
      <c r="I61" s="52" t="s">
        <v>4862</v>
      </c>
      <c r="J61" s="45" t="s">
        <v>3575</v>
      </c>
      <c r="K61" s="53"/>
      <c r="L61" s="54" t="e">
        <f>INDEX([1]Timeline!$E$10:$E$24,MATCH(A61,[1]Timeline!$C$10:$C$24,0))</f>
        <v>#N/A</v>
      </c>
      <c r="M61" s="55">
        <v>44561</v>
      </c>
      <c r="N61" s="56">
        <v>1669324</v>
      </c>
      <c r="O61" s="57">
        <v>0</v>
      </c>
      <c r="P61" s="56" t="e">
        <f t="shared" si="0"/>
        <v>#N/A</v>
      </c>
      <c r="Q61" s="56" t="s">
        <v>2773</v>
      </c>
      <c r="R61" s="56"/>
      <c r="S61" s="56"/>
      <c r="T61" s="58">
        <f t="shared" si="25"/>
        <v>1669324</v>
      </c>
      <c r="U61" s="58" t="e">
        <f t="shared" si="20"/>
        <v>#N/A</v>
      </c>
      <c r="V61" s="58" t="e">
        <f t="shared" si="1"/>
        <v>#N/A</v>
      </c>
      <c r="W61" s="45">
        <v>1</v>
      </c>
      <c r="X61" s="59">
        <f t="shared" si="21"/>
        <v>2.9375</v>
      </c>
      <c r="Y61" s="59">
        <f t="shared" si="22"/>
        <v>3.1875</v>
      </c>
      <c r="Z61" s="60">
        <f t="shared" si="23"/>
        <v>2.6875</v>
      </c>
      <c r="AA61" s="45"/>
      <c r="AB61" s="45"/>
      <c r="AC61" s="45"/>
      <c r="AD61" s="45"/>
      <c r="AE61" s="46">
        <f t="shared" si="5"/>
        <v>0</v>
      </c>
      <c r="AF61" s="45"/>
      <c r="AG61" s="45"/>
      <c r="AH61" s="45"/>
      <c r="AI61" s="45"/>
      <c r="AJ61" s="61">
        <f t="shared" si="6"/>
        <v>0</v>
      </c>
      <c r="AK61" s="62"/>
      <c r="AL61" s="45"/>
      <c r="AM61" s="45"/>
      <c r="AN61" s="45"/>
      <c r="AO61" s="63">
        <f t="shared" si="7"/>
        <v>0</v>
      </c>
      <c r="AP61" s="64"/>
      <c r="AQ61" s="45"/>
      <c r="AR61" s="45"/>
      <c r="AS61" s="45"/>
      <c r="AT61" s="46">
        <f t="shared" si="8"/>
        <v>0</v>
      </c>
      <c r="AU61" s="45">
        <v>4</v>
      </c>
      <c r="AV61" s="45">
        <v>3</v>
      </c>
      <c r="AW61" s="45">
        <v>2</v>
      </c>
      <c r="AX61" s="45">
        <v>2</v>
      </c>
      <c r="AY61" s="46">
        <f t="shared" si="9"/>
        <v>2.75</v>
      </c>
      <c r="AZ61" s="45">
        <v>3</v>
      </c>
      <c r="BA61" s="45">
        <v>3</v>
      </c>
      <c r="BB61" s="45">
        <v>4</v>
      </c>
      <c r="BC61" s="45">
        <v>2</v>
      </c>
      <c r="BD61" s="47">
        <f t="shared" si="10"/>
        <v>3</v>
      </c>
      <c r="BE61" s="100">
        <v>3</v>
      </c>
      <c r="BF61" s="101">
        <v>3</v>
      </c>
      <c r="BG61" s="101">
        <v>4</v>
      </c>
      <c r="BH61" s="101">
        <v>2</v>
      </c>
      <c r="BI61" s="46">
        <f t="shared" si="26"/>
        <v>3</v>
      </c>
      <c r="BJ61" s="45"/>
      <c r="BK61" s="45"/>
      <c r="BL61" s="45"/>
      <c r="BM61" s="45"/>
      <c r="BN61" s="46">
        <f t="shared" si="12"/>
        <v>0</v>
      </c>
      <c r="BO61" s="98">
        <v>3</v>
      </c>
      <c r="BP61" s="99">
        <v>3</v>
      </c>
      <c r="BQ61" s="99">
        <v>4</v>
      </c>
      <c r="BR61" s="99">
        <v>0</v>
      </c>
      <c r="BS61" s="46">
        <f t="shared" si="13"/>
        <v>2.5</v>
      </c>
      <c r="BT61" s="45">
        <v>3</v>
      </c>
      <c r="BU61" s="45">
        <v>3</v>
      </c>
      <c r="BV61" s="45">
        <v>4</v>
      </c>
      <c r="BW61" s="45">
        <v>2</v>
      </c>
      <c r="BX61" s="46">
        <f t="shared" si="14"/>
        <v>3</v>
      </c>
      <c r="BY61" s="45">
        <v>2</v>
      </c>
      <c r="BZ61" s="45">
        <v>3</v>
      </c>
      <c r="CA61" s="45">
        <v>4</v>
      </c>
      <c r="CB61" s="45">
        <v>2</v>
      </c>
      <c r="CC61" s="46">
        <f t="shared" si="15"/>
        <v>2.75</v>
      </c>
      <c r="CD61" s="45">
        <v>3</v>
      </c>
      <c r="CE61" s="45">
        <v>4</v>
      </c>
      <c r="CF61" s="45">
        <v>4</v>
      </c>
      <c r="CG61" s="45">
        <v>2</v>
      </c>
      <c r="CH61" s="46">
        <f t="shared" si="16"/>
        <v>3.25</v>
      </c>
      <c r="CI61" s="45">
        <v>4</v>
      </c>
      <c r="CJ61" s="45">
        <v>4</v>
      </c>
      <c r="CK61" s="45">
        <v>4</v>
      </c>
      <c r="CL61" s="45">
        <v>1</v>
      </c>
      <c r="CM61" s="46">
        <f t="shared" si="17"/>
        <v>3.25</v>
      </c>
    </row>
    <row r="62" spans="1:91" ht="399.75" customHeight="1">
      <c r="A62" s="45">
        <v>12</v>
      </c>
      <c r="B62" s="50">
        <f t="shared" si="18"/>
        <v>58</v>
      </c>
      <c r="C62" s="91" t="s">
        <v>4857</v>
      </c>
      <c r="D62" s="91" t="s">
        <v>4191</v>
      </c>
      <c r="E62" s="92" t="s">
        <v>4863</v>
      </c>
      <c r="F62" s="91" t="s">
        <v>4864</v>
      </c>
      <c r="G62" s="45" t="s">
        <v>4865</v>
      </c>
      <c r="H62" s="45" t="s">
        <v>4866</v>
      </c>
      <c r="I62" s="52" t="s">
        <v>4867</v>
      </c>
      <c r="J62" s="45" t="s">
        <v>3575</v>
      </c>
      <c r="K62" s="53"/>
      <c r="L62" s="54" t="e">
        <f>INDEX([1]Timeline!$E$10:$E$24,MATCH(A62,[1]Timeline!$C$10:$C$24,0))</f>
        <v>#N/A</v>
      </c>
      <c r="M62" s="55">
        <v>44561</v>
      </c>
      <c r="N62" s="56">
        <v>739200</v>
      </c>
      <c r="O62" s="57">
        <v>0</v>
      </c>
      <c r="P62" s="56" t="e">
        <f t="shared" si="0"/>
        <v>#N/A</v>
      </c>
      <c r="Q62" s="56" t="s">
        <v>2773</v>
      </c>
      <c r="R62" s="56"/>
      <c r="S62" s="56"/>
      <c r="T62" s="58">
        <f t="shared" si="25"/>
        <v>739200</v>
      </c>
      <c r="U62" s="58" t="e">
        <f t="shared" si="20"/>
        <v>#N/A</v>
      </c>
      <c r="V62" s="58" t="e">
        <f t="shared" si="1"/>
        <v>#N/A</v>
      </c>
      <c r="W62" s="45">
        <v>1</v>
      </c>
      <c r="X62" s="59">
        <f t="shared" si="21"/>
        <v>2.53125</v>
      </c>
      <c r="Y62" s="59">
        <f t="shared" si="22"/>
        <v>3.0625</v>
      </c>
      <c r="Z62" s="60">
        <f t="shared" si="23"/>
        <v>2</v>
      </c>
      <c r="AA62" s="45"/>
      <c r="AB62" s="45"/>
      <c r="AC62" s="45"/>
      <c r="AD62" s="45"/>
      <c r="AE62" s="46">
        <f t="shared" si="5"/>
        <v>0</v>
      </c>
      <c r="AF62" s="45"/>
      <c r="AG62" s="45"/>
      <c r="AH62" s="45"/>
      <c r="AI62" s="45"/>
      <c r="AJ62" s="61">
        <f t="shared" si="6"/>
        <v>0</v>
      </c>
      <c r="AK62" s="62"/>
      <c r="AL62" s="45"/>
      <c r="AM62" s="45"/>
      <c r="AN62" s="45"/>
      <c r="AO62" s="63">
        <f t="shared" si="7"/>
        <v>0</v>
      </c>
      <c r="AP62" s="64"/>
      <c r="AQ62" s="45"/>
      <c r="AR62" s="45"/>
      <c r="AS62" s="45"/>
      <c r="AT62" s="46">
        <f t="shared" si="8"/>
        <v>0</v>
      </c>
      <c r="AU62" s="45">
        <v>2</v>
      </c>
      <c r="AV62" s="45">
        <v>3</v>
      </c>
      <c r="AW62" s="45">
        <v>3</v>
      </c>
      <c r="AX62" s="45">
        <v>1</v>
      </c>
      <c r="AY62" s="46">
        <f t="shared" si="9"/>
        <v>2.25</v>
      </c>
      <c r="AZ62" s="45">
        <v>3</v>
      </c>
      <c r="BA62" s="45">
        <v>3</v>
      </c>
      <c r="BB62" s="45">
        <v>1</v>
      </c>
      <c r="BC62" s="45">
        <v>1</v>
      </c>
      <c r="BD62" s="47">
        <f t="shared" si="10"/>
        <v>2</v>
      </c>
      <c r="BE62" s="100">
        <v>3</v>
      </c>
      <c r="BF62" s="101">
        <v>3</v>
      </c>
      <c r="BG62" s="101">
        <v>2</v>
      </c>
      <c r="BH62" s="101">
        <v>2</v>
      </c>
      <c r="BI62" s="46">
        <f t="shared" si="26"/>
        <v>2.5</v>
      </c>
      <c r="BJ62" s="45"/>
      <c r="BK62" s="45"/>
      <c r="BL62" s="45"/>
      <c r="BM62" s="45"/>
      <c r="BN62" s="46">
        <f t="shared" si="12"/>
        <v>0</v>
      </c>
      <c r="BO62" s="100">
        <v>3</v>
      </c>
      <c r="BP62" s="101">
        <v>3</v>
      </c>
      <c r="BQ62" s="101">
        <v>2</v>
      </c>
      <c r="BR62" s="101">
        <v>2</v>
      </c>
      <c r="BS62" s="46">
        <f t="shared" si="13"/>
        <v>2.5</v>
      </c>
      <c r="BT62" s="45">
        <v>4</v>
      </c>
      <c r="BU62" s="45">
        <v>4</v>
      </c>
      <c r="BV62" s="45">
        <v>2</v>
      </c>
      <c r="BW62" s="45">
        <v>2</v>
      </c>
      <c r="BX62" s="46">
        <f t="shared" si="14"/>
        <v>3</v>
      </c>
      <c r="BY62" s="45">
        <v>2</v>
      </c>
      <c r="BZ62" s="45">
        <v>2</v>
      </c>
      <c r="CA62" s="45">
        <v>3</v>
      </c>
      <c r="CB62" s="45">
        <v>2</v>
      </c>
      <c r="CC62" s="46">
        <f t="shared" si="15"/>
        <v>2.25</v>
      </c>
      <c r="CD62" s="45">
        <v>4</v>
      </c>
      <c r="CE62" s="45">
        <v>4</v>
      </c>
      <c r="CF62" s="45">
        <v>2</v>
      </c>
      <c r="CG62" s="45">
        <v>2</v>
      </c>
      <c r="CH62" s="46">
        <f t="shared" si="16"/>
        <v>3</v>
      </c>
      <c r="CI62" s="45">
        <v>3</v>
      </c>
      <c r="CJ62" s="45">
        <v>3</v>
      </c>
      <c r="CK62" s="45">
        <v>3</v>
      </c>
      <c r="CL62" s="45">
        <v>2</v>
      </c>
      <c r="CM62" s="46">
        <f t="shared" si="17"/>
        <v>2.75</v>
      </c>
    </row>
    <row r="63" spans="1:91" ht="213">
      <c r="A63" s="45">
        <v>12</v>
      </c>
      <c r="B63" s="50">
        <f t="shared" si="18"/>
        <v>59</v>
      </c>
      <c r="C63" s="91" t="s">
        <v>4791</v>
      </c>
      <c r="D63" s="91" t="s">
        <v>3452</v>
      </c>
      <c r="E63" s="92" t="s">
        <v>4868</v>
      </c>
      <c r="F63" s="91" t="s">
        <v>4869</v>
      </c>
      <c r="G63" s="45" t="s">
        <v>4870</v>
      </c>
      <c r="H63" s="74" t="s">
        <v>4871</v>
      </c>
      <c r="I63" s="52" t="s">
        <v>4872</v>
      </c>
      <c r="J63" s="45" t="s">
        <v>3575</v>
      </c>
      <c r="K63" s="53"/>
      <c r="L63" s="54" t="e">
        <f>INDEX([1]Timeline!$E$10:$E$24,MATCH(A63,[1]Timeline!$C$10:$C$24,0))</f>
        <v>#N/A</v>
      </c>
      <c r="M63" s="55">
        <v>44561</v>
      </c>
      <c r="N63" s="56">
        <v>1435500</v>
      </c>
      <c r="O63" s="57">
        <v>0</v>
      </c>
      <c r="P63" s="56" t="e">
        <f t="shared" si="0"/>
        <v>#N/A</v>
      </c>
      <c r="Q63" s="56" t="s">
        <v>3452</v>
      </c>
      <c r="R63" s="56"/>
      <c r="S63" s="56"/>
      <c r="T63" s="58">
        <f t="shared" si="25"/>
        <v>1435500</v>
      </c>
      <c r="U63" s="58" t="e">
        <f t="shared" si="20"/>
        <v>#N/A</v>
      </c>
      <c r="V63" s="58" t="e">
        <f t="shared" si="1"/>
        <v>#N/A</v>
      </c>
      <c r="W63" s="45">
        <v>1</v>
      </c>
      <c r="X63" s="59">
        <f t="shared" si="21"/>
        <v>2.875</v>
      </c>
      <c r="Y63" s="59">
        <f t="shared" si="22"/>
        <v>3.5625</v>
      </c>
      <c r="Z63" s="60">
        <f t="shared" si="23"/>
        <v>2.1875</v>
      </c>
      <c r="AA63" s="45"/>
      <c r="AB63" s="45"/>
      <c r="AC63" s="45"/>
      <c r="AD63" s="45"/>
      <c r="AE63" s="46">
        <f t="shared" si="5"/>
        <v>0</v>
      </c>
      <c r="AF63" s="45"/>
      <c r="AG63" s="45"/>
      <c r="AH63" s="45"/>
      <c r="AI63" s="45"/>
      <c r="AJ63" s="61">
        <f t="shared" si="6"/>
        <v>0</v>
      </c>
      <c r="AK63" s="62"/>
      <c r="AL63" s="45"/>
      <c r="AM63" s="45"/>
      <c r="AN63" s="45"/>
      <c r="AO63" s="63">
        <f t="shared" si="7"/>
        <v>0</v>
      </c>
      <c r="AP63" s="64"/>
      <c r="AQ63" s="45"/>
      <c r="AR63" s="45"/>
      <c r="AS63" s="45"/>
      <c r="AT63" s="46">
        <f t="shared" si="8"/>
        <v>0</v>
      </c>
      <c r="AU63" s="45">
        <v>4</v>
      </c>
      <c r="AV63" s="45">
        <v>4</v>
      </c>
      <c r="AW63" s="45">
        <v>2</v>
      </c>
      <c r="AX63" s="45">
        <v>2</v>
      </c>
      <c r="AY63" s="46">
        <f t="shared" si="9"/>
        <v>3</v>
      </c>
      <c r="AZ63" s="45">
        <v>4</v>
      </c>
      <c r="BA63" s="45">
        <v>4</v>
      </c>
      <c r="BB63" s="45">
        <v>2</v>
      </c>
      <c r="BC63" s="45">
        <v>2</v>
      </c>
      <c r="BD63" s="47">
        <f t="shared" si="10"/>
        <v>3</v>
      </c>
      <c r="BE63" s="100">
        <v>4</v>
      </c>
      <c r="BF63" s="101">
        <v>3</v>
      </c>
      <c r="BG63" s="101">
        <v>2</v>
      </c>
      <c r="BH63" s="101">
        <v>2</v>
      </c>
      <c r="BI63" s="46">
        <f t="shared" si="26"/>
        <v>2.75</v>
      </c>
      <c r="BJ63" s="45"/>
      <c r="BK63" s="45"/>
      <c r="BL63" s="45"/>
      <c r="BM63" s="45"/>
      <c r="BN63" s="46">
        <f t="shared" si="12"/>
        <v>0</v>
      </c>
      <c r="BO63" s="100">
        <v>4</v>
      </c>
      <c r="BP63" s="101">
        <v>3</v>
      </c>
      <c r="BQ63" s="101">
        <v>2</v>
      </c>
      <c r="BR63" s="101">
        <v>2</v>
      </c>
      <c r="BS63" s="46">
        <f t="shared" si="13"/>
        <v>2.75</v>
      </c>
      <c r="BT63" s="45">
        <v>4</v>
      </c>
      <c r="BU63" s="45">
        <v>3</v>
      </c>
      <c r="BV63" s="45">
        <v>2</v>
      </c>
      <c r="BW63" s="45">
        <v>2</v>
      </c>
      <c r="BX63" s="46">
        <f t="shared" si="14"/>
        <v>2.75</v>
      </c>
      <c r="BY63" s="45">
        <v>2</v>
      </c>
      <c r="BZ63" s="45">
        <v>2</v>
      </c>
      <c r="CA63" s="45">
        <v>2</v>
      </c>
      <c r="CB63" s="45">
        <v>3</v>
      </c>
      <c r="CC63" s="46">
        <f t="shared" si="15"/>
        <v>2.25</v>
      </c>
      <c r="CD63" s="45">
        <v>4</v>
      </c>
      <c r="CE63" s="45">
        <v>4</v>
      </c>
      <c r="CF63" s="45">
        <v>2</v>
      </c>
      <c r="CG63" s="45">
        <v>2</v>
      </c>
      <c r="CH63" s="46">
        <f t="shared" si="16"/>
        <v>3</v>
      </c>
      <c r="CI63" s="45">
        <v>4</v>
      </c>
      <c r="CJ63" s="45">
        <v>4</v>
      </c>
      <c r="CK63" s="45">
        <v>2</v>
      </c>
      <c r="CL63" s="45">
        <v>4</v>
      </c>
      <c r="CM63" s="46">
        <f t="shared" si="17"/>
        <v>3.5</v>
      </c>
    </row>
    <row r="64" spans="1:91" ht="322.5" customHeight="1">
      <c r="A64" s="45">
        <v>12</v>
      </c>
      <c r="B64" s="50">
        <f t="shared" si="18"/>
        <v>60</v>
      </c>
      <c r="C64" s="91" t="s">
        <v>4857</v>
      </c>
      <c r="D64" s="91" t="s">
        <v>4873</v>
      </c>
      <c r="E64" s="92" t="s">
        <v>4874</v>
      </c>
      <c r="F64" s="91" t="s">
        <v>4875</v>
      </c>
      <c r="G64" s="45" t="s">
        <v>4876</v>
      </c>
      <c r="H64" s="74" t="s">
        <v>4877</v>
      </c>
      <c r="I64" s="52" t="s">
        <v>4878</v>
      </c>
      <c r="J64" s="45" t="s">
        <v>3575</v>
      </c>
      <c r="K64" s="53"/>
      <c r="L64" s="54" t="e">
        <f>INDEX([1]Timeline!$E$10:$E$24,MATCH(A64,[1]Timeline!$C$10:$C$24,0))</f>
        <v>#N/A</v>
      </c>
      <c r="M64" s="55">
        <v>44561</v>
      </c>
      <c r="N64" s="56">
        <v>510000</v>
      </c>
      <c r="O64" s="57">
        <v>0</v>
      </c>
      <c r="P64" s="56" t="e">
        <f t="shared" si="0"/>
        <v>#N/A</v>
      </c>
      <c r="Q64" s="56" t="s">
        <v>2773</v>
      </c>
      <c r="R64" s="56"/>
      <c r="S64" s="56"/>
      <c r="T64" s="58">
        <f t="shared" si="25"/>
        <v>510000</v>
      </c>
      <c r="U64" s="58" t="e">
        <f t="shared" si="20"/>
        <v>#N/A</v>
      </c>
      <c r="V64" s="58" t="e">
        <f t="shared" si="1"/>
        <v>#N/A</v>
      </c>
      <c r="W64" s="45">
        <v>1</v>
      </c>
      <c r="X64" s="59">
        <f t="shared" si="21"/>
        <v>2.53125</v>
      </c>
      <c r="Y64" s="59">
        <f t="shared" si="22"/>
        <v>2.9375</v>
      </c>
      <c r="Z64" s="60">
        <f t="shared" si="23"/>
        <v>2.125</v>
      </c>
      <c r="AA64" s="45"/>
      <c r="AB64" s="45"/>
      <c r="AC64" s="45"/>
      <c r="AD64" s="45"/>
      <c r="AE64" s="46">
        <f t="shared" si="5"/>
        <v>0</v>
      </c>
      <c r="AF64" s="45"/>
      <c r="AG64" s="45"/>
      <c r="AH64" s="45"/>
      <c r="AI64" s="45"/>
      <c r="AJ64" s="61">
        <f t="shared" si="6"/>
        <v>0</v>
      </c>
      <c r="AK64" s="62"/>
      <c r="AL64" s="45"/>
      <c r="AM64" s="45"/>
      <c r="AN64" s="45"/>
      <c r="AO64" s="63">
        <f t="shared" si="7"/>
        <v>0</v>
      </c>
      <c r="AP64" s="64"/>
      <c r="AQ64" s="45"/>
      <c r="AR64" s="45"/>
      <c r="AS64" s="45"/>
      <c r="AT64" s="46">
        <f t="shared" si="8"/>
        <v>0</v>
      </c>
      <c r="AU64" s="45">
        <v>3</v>
      </c>
      <c r="AV64" s="45">
        <v>3</v>
      </c>
      <c r="AW64" s="45">
        <v>1</v>
      </c>
      <c r="AX64" s="45">
        <v>2</v>
      </c>
      <c r="AY64" s="46">
        <f t="shared" si="9"/>
        <v>2.25</v>
      </c>
      <c r="AZ64" s="45">
        <v>3</v>
      </c>
      <c r="BA64" s="45">
        <v>3</v>
      </c>
      <c r="BB64" s="45">
        <v>2</v>
      </c>
      <c r="BC64" s="45">
        <v>2</v>
      </c>
      <c r="BD64" s="47">
        <f t="shared" si="10"/>
        <v>2.5</v>
      </c>
      <c r="BE64" s="100">
        <v>3</v>
      </c>
      <c r="BF64" s="101">
        <v>3</v>
      </c>
      <c r="BG64" s="101">
        <v>2</v>
      </c>
      <c r="BH64" s="101">
        <v>2</v>
      </c>
      <c r="BI64" s="46">
        <f t="shared" si="26"/>
        <v>2.5</v>
      </c>
      <c r="BJ64" s="45"/>
      <c r="BK64" s="45"/>
      <c r="BL64" s="45"/>
      <c r="BM64" s="45"/>
      <c r="BN64" s="46">
        <f t="shared" si="12"/>
        <v>0</v>
      </c>
      <c r="BO64" s="102">
        <v>4</v>
      </c>
      <c r="BP64" s="103">
        <v>3</v>
      </c>
      <c r="BQ64" s="103">
        <v>2</v>
      </c>
      <c r="BR64" s="103">
        <v>2</v>
      </c>
      <c r="BS64" s="46">
        <f t="shared" si="13"/>
        <v>2.75</v>
      </c>
      <c r="BT64" s="45">
        <v>3</v>
      </c>
      <c r="BU64" s="45">
        <v>3</v>
      </c>
      <c r="BV64" s="45">
        <v>4</v>
      </c>
      <c r="BW64" s="45">
        <v>2</v>
      </c>
      <c r="BX64" s="46">
        <f t="shared" si="14"/>
        <v>3</v>
      </c>
      <c r="BY64" s="45">
        <v>2</v>
      </c>
      <c r="BZ64" s="45">
        <v>2</v>
      </c>
      <c r="CA64" s="45">
        <v>2</v>
      </c>
      <c r="CB64" s="45">
        <v>2</v>
      </c>
      <c r="CC64" s="46">
        <f t="shared" si="15"/>
        <v>2</v>
      </c>
      <c r="CD64" s="45">
        <v>3</v>
      </c>
      <c r="CE64" s="45">
        <v>3</v>
      </c>
      <c r="CF64" s="45">
        <v>4</v>
      </c>
      <c r="CG64" s="45">
        <v>2</v>
      </c>
      <c r="CH64" s="46">
        <f t="shared" si="16"/>
        <v>3</v>
      </c>
      <c r="CI64" s="45">
        <v>3</v>
      </c>
      <c r="CJ64" s="45">
        <v>3</v>
      </c>
      <c r="CK64" s="45">
        <v>1</v>
      </c>
      <c r="CL64" s="45">
        <v>2</v>
      </c>
      <c r="CM64" s="46">
        <f t="shared" si="17"/>
        <v>2.25</v>
      </c>
    </row>
    <row r="65" spans="1:91" ht="137.25">
      <c r="A65" s="45">
        <v>12</v>
      </c>
      <c r="B65" s="50">
        <f t="shared" si="18"/>
        <v>61</v>
      </c>
      <c r="C65" s="91" t="s">
        <v>4879</v>
      </c>
      <c r="D65" s="91" t="s">
        <v>3452</v>
      </c>
      <c r="E65" s="45" t="s">
        <v>4880</v>
      </c>
      <c r="F65" s="45" t="s">
        <v>4881</v>
      </c>
      <c r="G65" s="74" t="s">
        <v>4882</v>
      </c>
      <c r="H65" s="74" t="s">
        <v>4883</v>
      </c>
      <c r="I65" s="52" t="s">
        <v>4884</v>
      </c>
      <c r="J65" s="45" t="s">
        <v>3575</v>
      </c>
      <c r="K65" s="53"/>
      <c r="L65" s="54" t="e">
        <f>INDEX([1]Timeline!$E$10:$E$24,MATCH(A65,[1]Timeline!$C$10:$C$24,0))</f>
        <v>#N/A</v>
      </c>
      <c r="M65" s="55">
        <v>44561</v>
      </c>
      <c r="N65" s="56">
        <v>16852320</v>
      </c>
      <c r="O65" s="57">
        <v>0</v>
      </c>
      <c r="P65" s="56" t="e">
        <f t="shared" si="0"/>
        <v>#N/A</v>
      </c>
      <c r="Q65" s="56" t="s">
        <v>3452</v>
      </c>
      <c r="R65" s="56"/>
      <c r="S65" s="56"/>
      <c r="T65" s="58">
        <f t="shared" si="25"/>
        <v>16852320</v>
      </c>
      <c r="U65" s="58" t="e">
        <f t="shared" si="20"/>
        <v>#N/A</v>
      </c>
      <c r="V65" s="58" t="e">
        <f t="shared" si="1"/>
        <v>#N/A</v>
      </c>
      <c r="W65" s="45">
        <v>1</v>
      </c>
      <c r="X65" s="59">
        <f t="shared" si="21"/>
        <v>2.78125</v>
      </c>
      <c r="Y65" s="59">
        <f t="shared" si="22"/>
        <v>3.375</v>
      </c>
      <c r="Z65" s="60">
        <f t="shared" si="23"/>
        <v>2.1875</v>
      </c>
      <c r="AA65" s="45"/>
      <c r="AB65" s="45"/>
      <c r="AC65" s="45"/>
      <c r="AD65" s="45"/>
      <c r="AE65" s="46">
        <f t="shared" si="5"/>
        <v>0</v>
      </c>
      <c r="AF65" s="45"/>
      <c r="AG65" s="45"/>
      <c r="AH65" s="45"/>
      <c r="AI65" s="45"/>
      <c r="AJ65" s="61">
        <f t="shared" si="6"/>
        <v>0</v>
      </c>
      <c r="AK65" s="62"/>
      <c r="AL65" s="45"/>
      <c r="AM65" s="45"/>
      <c r="AN65" s="45"/>
      <c r="AO65" s="63">
        <f t="shared" si="7"/>
        <v>0</v>
      </c>
      <c r="AP65" s="64"/>
      <c r="AQ65" s="45"/>
      <c r="AR65" s="45"/>
      <c r="AS65" s="45"/>
      <c r="AT65" s="46">
        <f t="shared" si="8"/>
        <v>0</v>
      </c>
      <c r="AU65" s="45">
        <v>4</v>
      </c>
      <c r="AV65" s="45">
        <v>4</v>
      </c>
      <c r="AW65" s="45">
        <v>2</v>
      </c>
      <c r="AX65" s="45">
        <v>2</v>
      </c>
      <c r="AY65" s="46">
        <f t="shared" si="9"/>
        <v>3</v>
      </c>
      <c r="AZ65" s="45">
        <v>4</v>
      </c>
      <c r="BA65" s="45">
        <v>4</v>
      </c>
      <c r="BB65" s="45">
        <v>2</v>
      </c>
      <c r="BC65" s="45">
        <v>2</v>
      </c>
      <c r="BD65" s="47">
        <f t="shared" si="10"/>
        <v>3</v>
      </c>
      <c r="BE65" s="100">
        <v>3</v>
      </c>
      <c r="BF65" s="101">
        <v>3</v>
      </c>
      <c r="BG65" s="101">
        <v>2</v>
      </c>
      <c r="BH65" s="101">
        <v>2</v>
      </c>
      <c r="BI65" s="46">
        <f t="shared" si="26"/>
        <v>2.5</v>
      </c>
      <c r="BJ65" s="45"/>
      <c r="BK65" s="45"/>
      <c r="BL65" s="45"/>
      <c r="BM65" s="45"/>
      <c r="BN65" s="46">
        <f t="shared" si="12"/>
        <v>0</v>
      </c>
      <c r="BO65" s="102">
        <v>3</v>
      </c>
      <c r="BP65" s="103">
        <v>3</v>
      </c>
      <c r="BQ65" s="103">
        <v>2</v>
      </c>
      <c r="BR65" s="103">
        <v>2</v>
      </c>
      <c r="BS65" s="46">
        <f t="shared" si="13"/>
        <v>2.5</v>
      </c>
      <c r="BT65" s="45">
        <v>3</v>
      </c>
      <c r="BU65" s="45">
        <v>3</v>
      </c>
      <c r="BV65" s="45">
        <v>2</v>
      </c>
      <c r="BW65" s="45">
        <v>2</v>
      </c>
      <c r="BX65" s="46">
        <f t="shared" si="14"/>
        <v>2.5</v>
      </c>
      <c r="BY65" s="45">
        <v>2</v>
      </c>
      <c r="BZ65" s="45">
        <v>3</v>
      </c>
      <c r="CA65" s="45">
        <v>4</v>
      </c>
      <c r="CB65" s="45">
        <v>3</v>
      </c>
      <c r="CC65" s="46">
        <f t="shared" si="15"/>
        <v>3</v>
      </c>
      <c r="CD65" s="45">
        <v>4</v>
      </c>
      <c r="CE65" s="45">
        <v>3</v>
      </c>
      <c r="CF65" s="45">
        <v>2</v>
      </c>
      <c r="CG65" s="45">
        <v>2</v>
      </c>
      <c r="CH65" s="46">
        <f t="shared" si="16"/>
        <v>2.75</v>
      </c>
      <c r="CI65" s="45">
        <v>4</v>
      </c>
      <c r="CJ65" s="45">
        <v>4</v>
      </c>
      <c r="CK65" s="45">
        <v>2</v>
      </c>
      <c r="CL65" s="45">
        <v>2</v>
      </c>
      <c r="CM65" s="46">
        <f t="shared" si="17"/>
        <v>3</v>
      </c>
    </row>
    <row r="66" spans="1:91" ht="137.25">
      <c r="A66" s="45">
        <v>12</v>
      </c>
      <c r="B66" s="50">
        <f t="shared" si="18"/>
        <v>62</v>
      </c>
      <c r="C66" s="91" t="s">
        <v>4857</v>
      </c>
      <c r="D66" s="91" t="s">
        <v>4243</v>
      </c>
      <c r="E66" s="95" t="s">
        <v>4885</v>
      </c>
      <c r="F66" s="91" t="s">
        <v>4886</v>
      </c>
      <c r="G66" s="45" t="s">
        <v>4887</v>
      </c>
      <c r="H66" s="74" t="s">
        <v>4888</v>
      </c>
      <c r="I66" s="52" t="s">
        <v>4889</v>
      </c>
      <c r="J66" s="45" t="s">
        <v>3575</v>
      </c>
      <c r="K66" s="53"/>
      <c r="L66" s="54" t="e">
        <f>INDEX([1]Timeline!$E$10:$E$24,MATCH(A66,[1]Timeline!$C$10:$C$24,0))</f>
        <v>#N/A</v>
      </c>
      <c r="M66" s="55">
        <v>44561</v>
      </c>
      <c r="N66" s="56">
        <v>77917</v>
      </c>
      <c r="O66" s="57">
        <v>0</v>
      </c>
      <c r="P66" s="56" t="e">
        <f t="shared" si="0"/>
        <v>#N/A</v>
      </c>
      <c r="Q66" s="56" t="s">
        <v>2773</v>
      </c>
      <c r="R66" s="56"/>
      <c r="S66" s="56"/>
      <c r="T66" s="58">
        <f t="shared" si="25"/>
        <v>77917</v>
      </c>
      <c r="U66" s="58" t="e">
        <f t="shared" si="20"/>
        <v>#N/A</v>
      </c>
      <c r="V66" s="58" t="e">
        <f t="shared" si="1"/>
        <v>#N/A</v>
      </c>
      <c r="W66" s="45">
        <v>1</v>
      </c>
      <c r="X66" s="59">
        <f t="shared" si="21"/>
        <v>3.0625</v>
      </c>
      <c r="Y66" s="59">
        <f t="shared" si="22"/>
        <v>3.375</v>
      </c>
      <c r="Z66" s="60">
        <f t="shared" si="23"/>
        <v>2.75</v>
      </c>
      <c r="AA66" s="45"/>
      <c r="AB66" s="45"/>
      <c r="AC66" s="45"/>
      <c r="AD66" s="45"/>
      <c r="AE66" s="46">
        <f t="shared" si="5"/>
        <v>0</v>
      </c>
      <c r="AF66" s="45"/>
      <c r="AG66" s="45"/>
      <c r="AH66" s="45"/>
      <c r="AI66" s="45"/>
      <c r="AJ66" s="61">
        <f t="shared" si="6"/>
        <v>0</v>
      </c>
      <c r="AK66" s="62"/>
      <c r="AL66" s="45"/>
      <c r="AM66" s="45"/>
      <c r="AN66" s="45"/>
      <c r="AO66" s="63">
        <f t="shared" si="7"/>
        <v>0</v>
      </c>
      <c r="AP66" s="64"/>
      <c r="AQ66" s="45"/>
      <c r="AR66" s="45"/>
      <c r="AS66" s="45"/>
      <c r="AT66" s="46">
        <f t="shared" si="8"/>
        <v>0</v>
      </c>
      <c r="AU66" s="45">
        <v>3</v>
      </c>
      <c r="AV66" s="45">
        <v>3</v>
      </c>
      <c r="AW66" s="45">
        <v>1</v>
      </c>
      <c r="AX66" s="45">
        <v>2</v>
      </c>
      <c r="AY66" s="46">
        <f t="shared" si="9"/>
        <v>2.25</v>
      </c>
      <c r="AZ66" s="45">
        <v>3</v>
      </c>
      <c r="BA66" s="45">
        <v>3</v>
      </c>
      <c r="BB66" s="45">
        <v>3</v>
      </c>
      <c r="BC66" s="45">
        <v>3</v>
      </c>
      <c r="BD66" s="47">
        <f t="shared" si="10"/>
        <v>3</v>
      </c>
      <c r="BE66" s="100">
        <v>3</v>
      </c>
      <c r="BF66" s="101">
        <v>4</v>
      </c>
      <c r="BG66" s="101">
        <v>4</v>
      </c>
      <c r="BH66" s="101">
        <v>3</v>
      </c>
      <c r="BI66" s="46">
        <f t="shared" si="26"/>
        <v>3.5</v>
      </c>
      <c r="BJ66" s="45"/>
      <c r="BK66" s="45"/>
      <c r="BL66" s="45"/>
      <c r="BM66" s="45"/>
      <c r="BN66" s="46">
        <f t="shared" si="12"/>
        <v>0</v>
      </c>
      <c r="BO66" s="104">
        <v>4</v>
      </c>
      <c r="BP66" s="105">
        <v>4</v>
      </c>
      <c r="BQ66" s="105">
        <v>2</v>
      </c>
      <c r="BR66" s="105">
        <v>3</v>
      </c>
      <c r="BS66" s="46">
        <f t="shared" si="13"/>
        <v>3.25</v>
      </c>
      <c r="BT66" s="45">
        <v>3</v>
      </c>
      <c r="BU66" s="45">
        <v>4</v>
      </c>
      <c r="BV66" s="45">
        <v>4</v>
      </c>
      <c r="BW66" s="45">
        <v>2</v>
      </c>
      <c r="BX66" s="46">
        <f t="shared" si="14"/>
        <v>3.25</v>
      </c>
      <c r="BY66" s="45">
        <v>3</v>
      </c>
      <c r="BZ66" s="45">
        <v>3</v>
      </c>
      <c r="CA66" s="45">
        <v>3</v>
      </c>
      <c r="CB66" s="45">
        <v>3</v>
      </c>
      <c r="CC66" s="46">
        <f t="shared" si="15"/>
        <v>3</v>
      </c>
      <c r="CD66" s="45">
        <v>4</v>
      </c>
      <c r="CE66" s="45">
        <v>4</v>
      </c>
      <c r="CF66" s="45">
        <v>4</v>
      </c>
      <c r="CG66" s="45">
        <v>1</v>
      </c>
      <c r="CH66" s="46">
        <f t="shared" si="16"/>
        <v>3.25</v>
      </c>
      <c r="CI66" s="45">
        <v>3</v>
      </c>
      <c r="CJ66" s="45">
        <v>3</v>
      </c>
      <c r="CK66" s="45">
        <v>3</v>
      </c>
      <c r="CL66" s="45">
        <v>3</v>
      </c>
      <c r="CM66" s="46">
        <f>IFERROR(SUM(CI66:CL66)/4,0)</f>
        <v>3</v>
      </c>
    </row>
    <row r="67" spans="1:91" ht="107.25" customHeight="1">
      <c r="A67" s="45">
        <v>12</v>
      </c>
      <c r="B67" s="50">
        <f t="shared" si="18"/>
        <v>63</v>
      </c>
      <c r="C67" s="91" t="s">
        <v>4890</v>
      </c>
      <c r="D67" s="91" t="s">
        <v>4061</v>
      </c>
      <c r="E67" s="45" t="s">
        <v>4891</v>
      </c>
      <c r="F67" s="45" t="s">
        <v>4892</v>
      </c>
      <c r="G67" s="45" t="s">
        <v>4893</v>
      </c>
      <c r="H67" s="45"/>
      <c r="I67" s="52" t="s">
        <v>4894</v>
      </c>
      <c r="J67" s="45" t="s">
        <v>3575</v>
      </c>
      <c r="K67" s="53"/>
      <c r="L67" s="54" t="e">
        <f>INDEX([1]Timeline!$E$10:$E$24,MATCH(A67,[1]Timeline!$C$10:$C$24,0))</f>
        <v>#N/A</v>
      </c>
      <c r="M67" s="55">
        <v>44561</v>
      </c>
      <c r="N67" s="56"/>
      <c r="O67" s="57">
        <v>0</v>
      </c>
      <c r="P67" s="56" t="e">
        <f t="shared" si="0"/>
        <v>#N/A</v>
      </c>
      <c r="Q67" s="56" t="s">
        <v>4064</v>
      </c>
      <c r="R67" s="56"/>
      <c r="S67" s="56"/>
      <c r="T67" s="58">
        <f t="shared" si="25"/>
        <v>0</v>
      </c>
      <c r="U67" s="58" t="e">
        <f t="shared" si="20"/>
        <v>#N/A</v>
      </c>
      <c r="V67" s="58" t="e">
        <f t="shared" si="1"/>
        <v>#N/A</v>
      </c>
      <c r="W67" s="45">
        <v>1</v>
      </c>
      <c r="X67" s="59">
        <f t="shared" si="21"/>
        <v>2.96875</v>
      </c>
      <c r="Y67" s="59">
        <f t="shared" si="22"/>
        <v>3.3125</v>
      </c>
      <c r="Z67" s="60">
        <f t="shared" si="23"/>
        <v>2.625</v>
      </c>
      <c r="AA67" s="45"/>
      <c r="AB67" s="45"/>
      <c r="AC67" s="45"/>
      <c r="AD67" s="45"/>
      <c r="AE67" s="46">
        <f t="shared" si="5"/>
        <v>0</v>
      </c>
      <c r="AF67" s="45"/>
      <c r="AG67" s="45"/>
      <c r="AH67" s="45"/>
      <c r="AI67" s="45"/>
      <c r="AJ67" s="61">
        <f t="shared" si="6"/>
        <v>0</v>
      </c>
      <c r="AK67" s="62"/>
      <c r="AL67" s="45"/>
      <c r="AM67" s="45"/>
      <c r="AN67" s="45"/>
      <c r="AO67" s="63">
        <f t="shared" si="7"/>
        <v>0</v>
      </c>
      <c r="AP67" s="64"/>
      <c r="AQ67" s="45"/>
      <c r="AR67" s="45"/>
      <c r="AS67" s="45"/>
      <c r="AT67" s="46">
        <f t="shared" si="8"/>
        <v>0</v>
      </c>
      <c r="AU67" s="45">
        <v>3</v>
      </c>
      <c r="AV67" s="45">
        <v>4</v>
      </c>
      <c r="AW67" s="45">
        <v>1</v>
      </c>
      <c r="AX67" s="45">
        <v>2</v>
      </c>
      <c r="AY67" s="46">
        <f t="shared" si="9"/>
        <v>2.5</v>
      </c>
      <c r="AZ67" s="45">
        <v>3</v>
      </c>
      <c r="BA67" s="45">
        <v>3</v>
      </c>
      <c r="BB67" s="45">
        <v>2</v>
      </c>
      <c r="BC67" s="45">
        <v>3</v>
      </c>
      <c r="BD67" s="47">
        <f t="shared" si="10"/>
        <v>2.75</v>
      </c>
      <c r="BE67" s="100">
        <v>3</v>
      </c>
      <c r="BF67" s="101">
        <v>3</v>
      </c>
      <c r="BG67" s="101">
        <v>2</v>
      </c>
      <c r="BH67" s="101">
        <v>4</v>
      </c>
      <c r="BI67" s="46">
        <f t="shared" si="26"/>
        <v>3</v>
      </c>
      <c r="BJ67" s="45"/>
      <c r="BK67" s="45"/>
      <c r="BL67" s="45"/>
      <c r="BM67" s="45"/>
      <c r="BN67" s="46">
        <f t="shared" si="12"/>
        <v>0</v>
      </c>
      <c r="BO67" s="102">
        <v>3</v>
      </c>
      <c r="BP67" s="103">
        <v>3</v>
      </c>
      <c r="BQ67" s="103">
        <v>2</v>
      </c>
      <c r="BR67" s="103">
        <v>4</v>
      </c>
      <c r="BS67" s="46">
        <f t="shared" si="13"/>
        <v>3</v>
      </c>
      <c r="BT67" s="45">
        <v>4</v>
      </c>
      <c r="BU67" s="45">
        <v>4</v>
      </c>
      <c r="BV67" s="45">
        <v>2</v>
      </c>
      <c r="BW67" s="45">
        <v>2</v>
      </c>
      <c r="BX67" s="46">
        <f t="shared" si="14"/>
        <v>3</v>
      </c>
      <c r="BY67" s="45">
        <v>3</v>
      </c>
      <c r="BZ67" s="45">
        <v>3</v>
      </c>
      <c r="CA67" s="45">
        <v>3</v>
      </c>
      <c r="CB67" s="45">
        <v>3</v>
      </c>
      <c r="CC67" s="46">
        <f t="shared" si="15"/>
        <v>3</v>
      </c>
      <c r="CD67" s="45">
        <v>4</v>
      </c>
      <c r="CE67" s="45">
        <v>4</v>
      </c>
      <c r="CF67" s="45">
        <v>2</v>
      </c>
      <c r="CG67" s="45">
        <v>4</v>
      </c>
      <c r="CH67" s="46">
        <f t="shared" si="16"/>
        <v>3.5</v>
      </c>
      <c r="CI67" s="45">
        <v>3</v>
      </c>
      <c r="CJ67" s="45">
        <v>3</v>
      </c>
      <c r="CK67" s="45">
        <v>3</v>
      </c>
      <c r="CL67" s="45">
        <v>3</v>
      </c>
      <c r="CM67" s="46">
        <f t="shared" si="17"/>
        <v>3</v>
      </c>
    </row>
    <row r="68" spans="1:91" ht="321" customHeight="1">
      <c r="A68" s="45">
        <v>12</v>
      </c>
      <c r="B68" s="50">
        <f t="shared" si="18"/>
        <v>64</v>
      </c>
      <c r="C68" s="91" t="s">
        <v>4890</v>
      </c>
      <c r="D68" s="91" t="s">
        <v>4061</v>
      </c>
      <c r="E68" s="45" t="s">
        <v>4895</v>
      </c>
      <c r="F68" s="45" t="s">
        <v>4896</v>
      </c>
      <c r="G68" s="45" t="s">
        <v>4897</v>
      </c>
      <c r="H68" s="45" t="s">
        <v>4898</v>
      </c>
      <c r="I68" s="52" t="s">
        <v>4899</v>
      </c>
      <c r="J68" s="45" t="s">
        <v>3575</v>
      </c>
      <c r="K68" s="53"/>
      <c r="L68" s="54" t="e">
        <f>INDEX([1]Timeline!$E$10:$E$24,MATCH(A68,[1]Timeline!$C$10:$C$24,0))</f>
        <v>#N/A</v>
      </c>
      <c r="M68" s="55">
        <v>44561</v>
      </c>
      <c r="N68" s="56">
        <v>22077000</v>
      </c>
      <c r="O68" s="57">
        <v>0</v>
      </c>
      <c r="P68" s="56" t="e">
        <f t="shared" ref="P68:P119" si="27">(MONTH(M68)-MONTH(L68)+1)*N68</f>
        <v>#N/A</v>
      </c>
      <c r="Q68" s="56" t="s">
        <v>4064</v>
      </c>
      <c r="R68" s="56"/>
      <c r="S68" s="56"/>
      <c r="T68" s="58">
        <f t="shared" si="25"/>
        <v>22077000</v>
      </c>
      <c r="U68" s="58" t="e">
        <f t="shared" si="20"/>
        <v>#N/A</v>
      </c>
      <c r="V68" s="58" t="e">
        <f t="shared" ref="V68:V119" si="28">(MONTH(M68)-MONTH(L68)+1)*T68</f>
        <v>#N/A</v>
      </c>
      <c r="W68" s="45">
        <v>1</v>
      </c>
      <c r="X68" s="59">
        <f t="shared" si="21"/>
        <v>3.40625</v>
      </c>
      <c r="Y68" s="59">
        <f t="shared" si="22"/>
        <v>3.8125</v>
      </c>
      <c r="Z68" s="60">
        <f t="shared" si="23"/>
        <v>3</v>
      </c>
      <c r="AA68" s="45"/>
      <c r="AB68" s="45"/>
      <c r="AC68" s="45"/>
      <c r="AD68" s="45"/>
      <c r="AE68" s="46">
        <f t="shared" ref="AE68:AE119" si="29">IFERROR(SUM(AA68:AD68)/4,0)</f>
        <v>0</v>
      </c>
      <c r="AF68" s="45"/>
      <c r="AG68" s="45"/>
      <c r="AH68" s="45"/>
      <c r="AI68" s="45"/>
      <c r="AJ68" s="61">
        <f t="shared" ref="AJ68:AJ119" si="30">IFERROR(SUM(AF68:AI68)/4,0)</f>
        <v>0</v>
      </c>
      <c r="AK68" s="62"/>
      <c r="AL68" s="45"/>
      <c r="AM68" s="45"/>
      <c r="AN68" s="45"/>
      <c r="AO68" s="63">
        <f t="shared" ref="AO68:AO119" si="31">IFERROR(SUM(AK68:AN68)/4,0)</f>
        <v>0</v>
      </c>
      <c r="AP68" s="64"/>
      <c r="AQ68" s="45"/>
      <c r="AR68" s="45"/>
      <c r="AS68" s="45"/>
      <c r="AT68" s="46">
        <f t="shared" ref="AT68:AT119" si="32">IFERROR(SUM(AP68:AS68)/4,0)</f>
        <v>0</v>
      </c>
      <c r="AU68" s="45">
        <v>4</v>
      </c>
      <c r="AV68" s="45">
        <v>3</v>
      </c>
      <c r="AW68" s="45">
        <v>2</v>
      </c>
      <c r="AX68" s="45">
        <v>3</v>
      </c>
      <c r="AY68" s="46">
        <f t="shared" ref="AY68:AY119" si="33">IFERROR(SUM(AU68:AX68)/4,0)</f>
        <v>3</v>
      </c>
      <c r="AZ68" s="45">
        <v>4</v>
      </c>
      <c r="BA68" s="45">
        <v>4</v>
      </c>
      <c r="BB68" s="45">
        <v>2</v>
      </c>
      <c r="BC68" s="45">
        <v>4</v>
      </c>
      <c r="BD68" s="47">
        <f t="shared" ref="BD68:BD119" si="34">IFERROR(SUM(AZ68:BC68)/4,0)</f>
        <v>3.5</v>
      </c>
      <c r="BE68" s="100">
        <v>4</v>
      </c>
      <c r="BF68" s="101">
        <v>4</v>
      </c>
      <c r="BG68" s="101">
        <v>2</v>
      </c>
      <c r="BH68" s="101">
        <v>4</v>
      </c>
      <c r="BI68" s="46">
        <f t="shared" si="26"/>
        <v>3.5</v>
      </c>
      <c r="BJ68" s="45"/>
      <c r="BK68" s="45"/>
      <c r="BL68" s="45"/>
      <c r="BM68" s="45"/>
      <c r="BN68" s="46">
        <f t="shared" ref="BN68:BN119" si="35">IFERROR(SUM(BJ68:BM68)/4,0)</f>
        <v>0</v>
      </c>
      <c r="BO68" s="104">
        <v>3</v>
      </c>
      <c r="BP68" s="105">
        <v>4</v>
      </c>
      <c r="BQ68" s="105">
        <v>2</v>
      </c>
      <c r="BR68" s="105">
        <v>4</v>
      </c>
      <c r="BS68" s="46">
        <f t="shared" ref="BS68:BS119" si="36">IFERROR(SUM(BO68:BR68)/4,0)</f>
        <v>3.25</v>
      </c>
      <c r="BT68" s="45">
        <v>4</v>
      </c>
      <c r="BU68" s="45">
        <v>4</v>
      </c>
      <c r="BV68" s="45">
        <v>2</v>
      </c>
      <c r="BW68" s="45">
        <v>4</v>
      </c>
      <c r="BX68" s="46">
        <f t="shared" ref="BX68:BX119" si="37">IFERROR(SUM(BT68:BW68)/4,0)</f>
        <v>3.5</v>
      </c>
      <c r="BY68" s="45">
        <v>3</v>
      </c>
      <c r="BZ68" s="45">
        <v>4</v>
      </c>
      <c r="CA68" s="45">
        <v>4</v>
      </c>
      <c r="CB68" s="45">
        <v>3</v>
      </c>
      <c r="CC68" s="46">
        <f t="shared" ref="CC68:CC119" si="38">IFERROR(SUM(BY68:CB68)/4,0)</f>
        <v>3.5</v>
      </c>
      <c r="CD68" s="45">
        <v>4</v>
      </c>
      <c r="CE68" s="45">
        <v>4</v>
      </c>
      <c r="CF68" s="45">
        <v>2</v>
      </c>
      <c r="CG68" s="45">
        <v>4</v>
      </c>
      <c r="CH68" s="46">
        <f t="shared" ref="CH68:CH119" si="39">IFERROR(SUM(CD68:CG68)/4,0)</f>
        <v>3.5</v>
      </c>
      <c r="CI68" s="45">
        <v>4</v>
      </c>
      <c r="CJ68" s="45">
        <v>4</v>
      </c>
      <c r="CK68" s="45">
        <v>2</v>
      </c>
      <c r="CL68" s="45">
        <v>4</v>
      </c>
      <c r="CM68" s="46">
        <f t="shared" ref="CM68:CM119" si="40">IFERROR(SUM(CI68:CL68)/4,0)</f>
        <v>3.5</v>
      </c>
    </row>
    <row r="69" spans="1:91" ht="244.5">
      <c r="A69" s="45">
        <v>12</v>
      </c>
      <c r="B69" s="50">
        <f t="shared" si="18"/>
        <v>65</v>
      </c>
      <c r="C69" s="91" t="s">
        <v>4890</v>
      </c>
      <c r="D69" s="91" t="s">
        <v>4900</v>
      </c>
      <c r="E69" s="45" t="s">
        <v>4901</v>
      </c>
      <c r="F69" s="45" t="s">
        <v>4902</v>
      </c>
      <c r="G69" s="45" t="s">
        <v>4903</v>
      </c>
      <c r="H69" s="45" t="s">
        <v>4904</v>
      </c>
      <c r="I69" s="52" t="s">
        <v>4905</v>
      </c>
      <c r="J69" s="45" t="s">
        <v>3575</v>
      </c>
      <c r="K69" s="53"/>
      <c r="L69" s="54" t="e">
        <f>INDEX([1]Timeline!$E$10:$E$24,MATCH(A69,[1]Timeline!$C$10:$C$24,0))</f>
        <v>#N/A</v>
      </c>
      <c r="M69" s="55">
        <v>44561</v>
      </c>
      <c r="N69" s="56">
        <v>3440000</v>
      </c>
      <c r="O69" s="57">
        <v>0</v>
      </c>
      <c r="P69" s="56" t="e">
        <f t="shared" si="27"/>
        <v>#N/A</v>
      </c>
      <c r="Q69" s="56" t="s">
        <v>3871</v>
      </c>
      <c r="R69" s="56"/>
      <c r="S69" s="56"/>
      <c r="T69" s="58">
        <f t="shared" si="25"/>
        <v>3440000</v>
      </c>
      <c r="U69" s="58" t="e">
        <f t="shared" si="20"/>
        <v>#N/A</v>
      </c>
      <c r="V69" s="58" t="e">
        <f t="shared" si="28"/>
        <v>#N/A</v>
      </c>
      <c r="W69" s="45">
        <v>1</v>
      </c>
      <c r="X69" s="59">
        <f t="shared" si="21"/>
        <v>2.5625</v>
      </c>
      <c r="Y69" s="59">
        <f t="shared" si="22"/>
        <v>2.9375</v>
      </c>
      <c r="Z69" s="60">
        <f t="shared" si="23"/>
        <v>2.1875</v>
      </c>
      <c r="AA69" s="45"/>
      <c r="AB69" s="45"/>
      <c r="AC69" s="45"/>
      <c r="AD69" s="45"/>
      <c r="AE69" s="46">
        <f t="shared" si="29"/>
        <v>0</v>
      </c>
      <c r="AF69" s="45"/>
      <c r="AG69" s="45"/>
      <c r="AH69" s="45"/>
      <c r="AI69" s="45"/>
      <c r="AJ69" s="61">
        <f t="shared" si="30"/>
        <v>0</v>
      </c>
      <c r="AK69" s="62"/>
      <c r="AL69" s="45"/>
      <c r="AM69" s="45"/>
      <c r="AN69" s="45"/>
      <c r="AO69" s="63">
        <f t="shared" si="31"/>
        <v>0</v>
      </c>
      <c r="AP69" s="64"/>
      <c r="AQ69" s="45"/>
      <c r="AR69" s="45"/>
      <c r="AS69" s="45"/>
      <c r="AT69" s="46">
        <f t="shared" si="32"/>
        <v>0</v>
      </c>
      <c r="AU69" s="45">
        <v>2</v>
      </c>
      <c r="AV69" s="45">
        <v>3</v>
      </c>
      <c r="AW69" s="45">
        <v>2</v>
      </c>
      <c r="AX69" s="45">
        <v>2</v>
      </c>
      <c r="AY69" s="46">
        <f t="shared" si="33"/>
        <v>2.25</v>
      </c>
      <c r="AZ69" s="45">
        <v>3</v>
      </c>
      <c r="BA69" s="45">
        <v>3</v>
      </c>
      <c r="BB69" s="45">
        <v>2</v>
      </c>
      <c r="BC69" s="45">
        <v>2</v>
      </c>
      <c r="BD69" s="47">
        <f t="shared" si="34"/>
        <v>2.5</v>
      </c>
      <c r="BE69" s="100">
        <v>3</v>
      </c>
      <c r="BF69" s="101">
        <v>3</v>
      </c>
      <c r="BG69" s="101">
        <v>2</v>
      </c>
      <c r="BH69" s="101">
        <v>2</v>
      </c>
      <c r="BI69" s="46">
        <f t="shared" si="26"/>
        <v>2.5</v>
      </c>
      <c r="BJ69" s="45"/>
      <c r="BK69" s="45"/>
      <c r="BL69" s="45"/>
      <c r="BM69" s="45"/>
      <c r="BN69" s="46">
        <f t="shared" si="35"/>
        <v>0</v>
      </c>
      <c r="BO69" s="102">
        <v>3</v>
      </c>
      <c r="BP69" s="103">
        <v>3</v>
      </c>
      <c r="BQ69" s="103">
        <v>2</v>
      </c>
      <c r="BR69" s="103">
        <v>2</v>
      </c>
      <c r="BS69" s="46">
        <f t="shared" si="36"/>
        <v>2.5</v>
      </c>
      <c r="BT69" s="45">
        <v>3</v>
      </c>
      <c r="BU69" s="45">
        <v>3</v>
      </c>
      <c r="BV69" s="45">
        <v>2</v>
      </c>
      <c r="BW69" s="45">
        <v>2</v>
      </c>
      <c r="BX69" s="46">
        <f t="shared" si="37"/>
        <v>2.5</v>
      </c>
      <c r="BY69" s="45">
        <v>3</v>
      </c>
      <c r="BZ69" s="45">
        <v>3</v>
      </c>
      <c r="CA69" s="45">
        <v>3</v>
      </c>
      <c r="CB69" s="45">
        <v>3</v>
      </c>
      <c r="CC69" s="46">
        <f t="shared" si="38"/>
        <v>3</v>
      </c>
      <c r="CD69" s="45">
        <v>3</v>
      </c>
      <c r="CE69" s="45">
        <v>3</v>
      </c>
      <c r="CF69" s="45">
        <v>2</v>
      </c>
      <c r="CG69" s="45">
        <v>2</v>
      </c>
      <c r="CH69" s="46">
        <f t="shared" si="39"/>
        <v>2.5</v>
      </c>
      <c r="CI69" s="45">
        <v>3</v>
      </c>
      <c r="CJ69" s="45">
        <v>3</v>
      </c>
      <c r="CK69" s="45">
        <v>2</v>
      </c>
      <c r="CL69" s="45">
        <v>3</v>
      </c>
      <c r="CM69" s="46">
        <f t="shared" si="40"/>
        <v>2.75</v>
      </c>
    </row>
    <row r="70" spans="1:91" ht="305.25">
      <c r="A70" s="45">
        <v>12</v>
      </c>
      <c r="B70" s="50">
        <f t="shared" ref="B70:B119" si="41">IFERROR(B69+1,1)</f>
        <v>66</v>
      </c>
      <c r="C70" s="91" t="s">
        <v>4857</v>
      </c>
      <c r="D70" s="91" t="s">
        <v>4906</v>
      </c>
      <c r="E70" s="45" t="s">
        <v>4907</v>
      </c>
      <c r="F70" s="45" t="s">
        <v>4908</v>
      </c>
      <c r="G70" s="45" t="s">
        <v>4909</v>
      </c>
      <c r="H70" s="74" t="s">
        <v>4910</v>
      </c>
      <c r="I70" s="52" t="s">
        <v>4911</v>
      </c>
      <c r="J70" s="45" t="s">
        <v>3575</v>
      </c>
      <c r="K70" s="53"/>
      <c r="L70" s="54" t="e">
        <f>INDEX([1]Timeline!$E$10:$E$24,MATCH(A70,[1]Timeline!$C$10:$C$24,0))</f>
        <v>#N/A</v>
      </c>
      <c r="M70" s="55">
        <v>44561</v>
      </c>
      <c r="N70" s="56">
        <v>3116528</v>
      </c>
      <c r="O70" s="57">
        <v>0</v>
      </c>
      <c r="P70" s="56" t="e">
        <f t="shared" si="27"/>
        <v>#N/A</v>
      </c>
      <c r="Q70" s="56" t="s">
        <v>2773</v>
      </c>
      <c r="R70" s="56"/>
      <c r="S70" s="56"/>
      <c r="T70" s="58">
        <f t="shared" si="25"/>
        <v>3116528</v>
      </c>
      <c r="U70" s="58" t="e">
        <f t="shared" ref="U70:U119" si="42">MAX(0,(6-MONTH(L70)+1)*T70)</f>
        <v>#N/A</v>
      </c>
      <c r="V70" s="58" t="e">
        <f t="shared" si="28"/>
        <v>#N/A</v>
      </c>
      <c r="W70" s="45">
        <v>1</v>
      </c>
      <c r="X70" s="59">
        <f t="shared" ref="X70:X121" si="43">AVERAGE(Y70:Z70)</f>
        <v>2.875</v>
      </c>
      <c r="Y70" s="59">
        <f t="shared" ref="Y70:Y119" si="44">IF(W70&gt;0,AVERAGE(AA70:AB70,AF70:AG70,AK70:AL70,AP70:AQ70,AU70:AV70,AZ70:BA70,BE70:BF70,BJ70:BK70,BO70:BP70,BT70:BU70,BY70:BZ70,CD70:CE70,CI70:CJ70),0)</f>
        <v>3.5</v>
      </c>
      <c r="Z70" s="60">
        <f t="shared" ref="Z70:Z119" si="45">IF(W70&gt;0,AVERAGE(AC70:AD70,AH70:AI70,AM70:AN70,AR70:AS70,AW70:AX70,BB70:BC70,BG70:BH70,BL70:BM70,BQ70:BR70,BV70:BW70,CA70:CB70,CF70:CG70,CK70:CL70),0)</f>
        <v>2.25</v>
      </c>
      <c r="AA70" s="45"/>
      <c r="AB70" s="45"/>
      <c r="AC70" s="45"/>
      <c r="AD70" s="45"/>
      <c r="AE70" s="46">
        <f t="shared" si="29"/>
        <v>0</v>
      </c>
      <c r="AF70" s="45"/>
      <c r="AG70" s="45"/>
      <c r="AH70" s="45"/>
      <c r="AI70" s="45"/>
      <c r="AJ70" s="61">
        <f t="shared" si="30"/>
        <v>0</v>
      </c>
      <c r="AK70" s="62"/>
      <c r="AL70" s="45"/>
      <c r="AM70" s="45"/>
      <c r="AN70" s="45"/>
      <c r="AO70" s="63">
        <f t="shared" si="31"/>
        <v>0</v>
      </c>
      <c r="AP70" s="64"/>
      <c r="AQ70" s="45"/>
      <c r="AR70" s="45"/>
      <c r="AS70" s="45"/>
      <c r="AT70" s="46">
        <f t="shared" si="32"/>
        <v>0</v>
      </c>
      <c r="AU70" s="45">
        <v>3</v>
      </c>
      <c r="AV70" s="45">
        <v>3</v>
      </c>
      <c r="AW70" s="45">
        <v>1</v>
      </c>
      <c r="AX70" s="45">
        <v>2</v>
      </c>
      <c r="AY70" s="46">
        <f t="shared" si="33"/>
        <v>2.25</v>
      </c>
      <c r="AZ70" s="45">
        <v>3</v>
      </c>
      <c r="BA70" s="45">
        <v>3</v>
      </c>
      <c r="BB70" s="45">
        <v>2</v>
      </c>
      <c r="BC70" s="45">
        <v>2</v>
      </c>
      <c r="BD70" s="47">
        <f t="shared" si="34"/>
        <v>2.5</v>
      </c>
      <c r="BE70" s="100">
        <v>4</v>
      </c>
      <c r="BF70" s="101">
        <v>4</v>
      </c>
      <c r="BG70" s="101">
        <v>2</v>
      </c>
      <c r="BH70" s="101">
        <v>2</v>
      </c>
      <c r="BI70" s="46">
        <f t="shared" si="26"/>
        <v>3</v>
      </c>
      <c r="BJ70" s="45"/>
      <c r="BK70" s="45"/>
      <c r="BL70" s="45"/>
      <c r="BM70" s="45"/>
      <c r="BN70" s="46">
        <f t="shared" si="35"/>
        <v>0</v>
      </c>
      <c r="BO70" s="104">
        <v>4</v>
      </c>
      <c r="BP70" s="105">
        <v>4</v>
      </c>
      <c r="BQ70" s="105">
        <v>2</v>
      </c>
      <c r="BR70" s="105">
        <v>4</v>
      </c>
      <c r="BS70" s="46">
        <f t="shared" si="36"/>
        <v>3.5</v>
      </c>
      <c r="BT70" s="45">
        <v>4</v>
      </c>
      <c r="BU70" s="45">
        <v>4</v>
      </c>
      <c r="BV70" s="45">
        <v>2</v>
      </c>
      <c r="BW70" s="45">
        <v>2</v>
      </c>
      <c r="BX70" s="46">
        <f t="shared" si="37"/>
        <v>3</v>
      </c>
      <c r="BY70" s="45">
        <v>3</v>
      </c>
      <c r="BZ70" s="45">
        <v>3</v>
      </c>
      <c r="CA70" s="45">
        <v>3</v>
      </c>
      <c r="CB70" s="45">
        <v>3</v>
      </c>
      <c r="CC70" s="46">
        <f t="shared" si="38"/>
        <v>3</v>
      </c>
      <c r="CD70" s="45">
        <v>4</v>
      </c>
      <c r="CE70" s="45">
        <v>4</v>
      </c>
      <c r="CF70" s="45">
        <v>2</v>
      </c>
      <c r="CG70" s="45">
        <v>2</v>
      </c>
      <c r="CH70" s="46">
        <f t="shared" si="39"/>
        <v>3</v>
      </c>
      <c r="CI70" s="45">
        <v>3</v>
      </c>
      <c r="CJ70" s="45">
        <v>3</v>
      </c>
      <c r="CK70" s="45">
        <v>2</v>
      </c>
      <c r="CL70" s="45">
        <v>3</v>
      </c>
      <c r="CM70" s="46">
        <f t="shared" si="40"/>
        <v>2.75</v>
      </c>
    </row>
    <row r="71" spans="1:91" ht="248.25" customHeight="1">
      <c r="A71" s="45">
        <v>12</v>
      </c>
      <c r="B71" s="50">
        <f t="shared" si="41"/>
        <v>67</v>
      </c>
      <c r="C71" s="91" t="s">
        <v>4857</v>
      </c>
      <c r="D71" s="91" t="s">
        <v>4912</v>
      </c>
      <c r="E71" s="45" t="s">
        <v>4913</v>
      </c>
      <c r="F71" s="45" t="s">
        <v>4914</v>
      </c>
      <c r="G71" s="45" t="s">
        <v>4915</v>
      </c>
      <c r="H71" s="45" t="s">
        <v>4916</v>
      </c>
      <c r="I71" s="52" t="s">
        <v>4917</v>
      </c>
      <c r="J71" s="45" t="s">
        <v>3575</v>
      </c>
      <c r="K71" s="53"/>
      <c r="L71" s="54" t="e">
        <f>INDEX([1]Timeline!$E$10:$E$24,MATCH(A71,[1]Timeline!$C$10:$C$24,0))</f>
        <v>#N/A</v>
      </c>
      <c r="M71" s="55">
        <v>44561</v>
      </c>
      <c r="N71" s="56">
        <v>2342880</v>
      </c>
      <c r="O71" s="57">
        <v>0</v>
      </c>
      <c r="P71" s="56" t="e">
        <f t="shared" si="27"/>
        <v>#N/A</v>
      </c>
      <c r="Q71" s="56" t="s">
        <v>2773</v>
      </c>
      <c r="R71" s="56"/>
      <c r="S71" s="56"/>
      <c r="T71" s="58">
        <f t="shared" si="25"/>
        <v>2342880</v>
      </c>
      <c r="U71" s="58" t="e">
        <f t="shared" si="42"/>
        <v>#N/A</v>
      </c>
      <c r="V71" s="58" t="e">
        <f t="shared" si="28"/>
        <v>#N/A</v>
      </c>
      <c r="W71" s="45">
        <v>1</v>
      </c>
      <c r="X71" s="59">
        <f t="shared" si="43"/>
        <v>2.8125</v>
      </c>
      <c r="Y71" s="59">
        <f t="shared" si="44"/>
        <v>3.375</v>
      </c>
      <c r="Z71" s="60">
        <f t="shared" si="45"/>
        <v>2.25</v>
      </c>
      <c r="AA71" s="45"/>
      <c r="AB71" s="45"/>
      <c r="AC71" s="45"/>
      <c r="AD71" s="45"/>
      <c r="AE71" s="46">
        <f t="shared" si="29"/>
        <v>0</v>
      </c>
      <c r="AF71" s="45"/>
      <c r="AG71" s="45"/>
      <c r="AH71" s="45"/>
      <c r="AI71" s="45"/>
      <c r="AJ71" s="61">
        <f t="shared" si="30"/>
        <v>0</v>
      </c>
      <c r="AK71" s="62"/>
      <c r="AL71" s="45"/>
      <c r="AM71" s="45"/>
      <c r="AN71" s="45"/>
      <c r="AO71" s="63">
        <f t="shared" si="31"/>
        <v>0</v>
      </c>
      <c r="AP71" s="64"/>
      <c r="AQ71" s="45"/>
      <c r="AR71" s="45"/>
      <c r="AS71" s="45"/>
      <c r="AT71" s="46">
        <f t="shared" si="32"/>
        <v>0</v>
      </c>
      <c r="AU71" s="45">
        <v>4</v>
      </c>
      <c r="AV71" s="45">
        <v>4</v>
      </c>
      <c r="AW71" s="45">
        <v>1</v>
      </c>
      <c r="AX71" s="45">
        <v>2</v>
      </c>
      <c r="AY71" s="46">
        <f t="shared" si="33"/>
        <v>2.75</v>
      </c>
      <c r="AZ71" s="45">
        <v>4</v>
      </c>
      <c r="BA71" s="45">
        <v>4</v>
      </c>
      <c r="BB71" s="45">
        <v>1</v>
      </c>
      <c r="BC71" s="45">
        <v>3</v>
      </c>
      <c r="BD71" s="47">
        <f t="shared" si="34"/>
        <v>3</v>
      </c>
      <c r="BE71" s="100">
        <v>3</v>
      </c>
      <c r="BF71" s="101">
        <v>3</v>
      </c>
      <c r="BG71" s="101">
        <v>2</v>
      </c>
      <c r="BH71" s="101">
        <v>2</v>
      </c>
      <c r="BI71" s="46">
        <f t="shared" si="26"/>
        <v>2.5</v>
      </c>
      <c r="BJ71" s="45"/>
      <c r="BK71" s="45"/>
      <c r="BL71" s="45"/>
      <c r="BM71" s="45"/>
      <c r="BN71" s="46">
        <f t="shared" si="35"/>
        <v>0</v>
      </c>
      <c r="BO71" s="102">
        <v>4</v>
      </c>
      <c r="BP71" s="103">
        <v>4</v>
      </c>
      <c r="BQ71" s="103">
        <v>2</v>
      </c>
      <c r="BR71" s="103">
        <v>4</v>
      </c>
      <c r="BS71" s="46">
        <f t="shared" si="36"/>
        <v>3.5</v>
      </c>
      <c r="BT71" s="45">
        <v>3</v>
      </c>
      <c r="BU71" s="45">
        <v>3</v>
      </c>
      <c r="BV71" s="45">
        <v>2</v>
      </c>
      <c r="BW71" s="45">
        <v>2</v>
      </c>
      <c r="BX71" s="46">
        <f t="shared" si="37"/>
        <v>2.5</v>
      </c>
      <c r="BY71" s="45">
        <v>3</v>
      </c>
      <c r="BZ71" s="45">
        <v>3</v>
      </c>
      <c r="CA71" s="45">
        <v>3</v>
      </c>
      <c r="CB71" s="45">
        <v>4</v>
      </c>
      <c r="CC71" s="46">
        <f t="shared" si="38"/>
        <v>3.25</v>
      </c>
      <c r="CD71" s="45">
        <v>3</v>
      </c>
      <c r="CE71" s="45">
        <v>3</v>
      </c>
      <c r="CF71" s="45">
        <v>2</v>
      </c>
      <c r="CG71" s="45">
        <v>2</v>
      </c>
      <c r="CH71" s="46">
        <f t="shared" si="39"/>
        <v>2.5</v>
      </c>
      <c r="CI71" s="45">
        <v>3</v>
      </c>
      <c r="CJ71" s="45">
        <v>3</v>
      </c>
      <c r="CK71" s="45">
        <v>2</v>
      </c>
      <c r="CL71" s="45">
        <v>2</v>
      </c>
      <c r="CM71" s="46">
        <f t="shared" si="40"/>
        <v>2.5</v>
      </c>
    </row>
    <row r="72" spans="1:91" ht="170.25" customHeight="1">
      <c r="A72" s="45">
        <v>14</v>
      </c>
      <c r="B72" s="50">
        <f t="shared" si="41"/>
        <v>68</v>
      </c>
      <c r="C72" s="93" t="s">
        <v>3457</v>
      </c>
      <c r="D72" s="93" t="s">
        <v>4918</v>
      </c>
      <c r="E72" s="106" t="s">
        <v>4919</v>
      </c>
      <c r="F72" s="45" t="s">
        <v>4920</v>
      </c>
      <c r="G72" s="45" t="s">
        <v>4921</v>
      </c>
      <c r="H72" s="45" t="s">
        <v>4922</v>
      </c>
      <c r="I72" s="52" t="s">
        <v>4923</v>
      </c>
      <c r="J72" s="45" t="s">
        <v>3575</v>
      </c>
      <c r="K72" s="53"/>
      <c r="L72" s="54" t="e">
        <f>INDEX([1]Timeline!$E$10:$E$24,MATCH(A72,[1]Timeline!$C$10:$C$24,0))</f>
        <v>#N/A</v>
      </c>
      <c r="M72" s="55">
        <v>44561</v>
      </c>
      <c r="N72" s="56">
        <v>429000</v>
      </c>
      <c r="O72" s="57">
        <v>0</v>
      </c>
      <c r="P72" s="56" t="e">
        <f t="shared" si="27"/>
        <v>#N/A</v>
      </c>
      <c r="Q72" s="56" t="s">
        <v>2841</v>
      </c>
      <c r="R72" s="56"/>
      <c r="S72" s="56"/>
      <c r="T72" s="58">
        <f t="shared" si="25"/>
        <v>429000</v>
      </c>
      <c r="U72" s="58" t="e">
        <f t="shared" si="42"/>
        <v>#N/A</v>
      </c>
      <c r="V72" s="58" t="e">
        <f t="shared" si="28"/>
        <v>#N/A</v>
      </c>
      <c r="W72" s="45">
        <v>1</v>
      </c>
      <c r="X72" s="59">
        <f t="shared" si="43"/>
        <v>2.78125</v>
      </c>
      <c r="Y72" s="59">
        <f t="shared" si="44"/>
        <v>3.1875</v>
      </c>
      <c r="Z72" s="60">
        <f t="shared" si="45"/>
        <v>2.375</v>
      </c>
      <c r="AA72" s="45"/>
      <c r="AB72" s="45"/>
      <c r="AC72" s="45"/>
      <c r="AD72" s="45"/>
      <c r="AE72" s="46">
        <f t="shared" si="29"/>
        <v>0</v>
      </c>
      <c r="AF72" s="45"/>
      <c r="AG72" s="45"/>
      <c r="AH72" s="45"/>
      <c r="AI72" s="45"/>
      <c r="AJ72" s="61">
        <f t="shared" si="30"/>
        <v>0</v>
      </c>
      <c r="AK72" s="62"/>
      <c r="AL72" s="45"/>
      <c r="AM72" s="45"/>
      <c r="AN72" s="45"/>
      <c r="AO72" s="63">
        <f t="shared" si="31"/>
        <v>0</v>
      </c>
      <c r="AP72" s="64"/>
      <c r="AQ72" s="45"/>
      <c r="AR72" s="45"/>
      <c r="AS72" s="45"/>
      <c r="AT72" s="46">
        <f t="shared" si="32"/>
        <v>0</v>
      </c>
      <c r="AU72" s="45">
        <v>4</v>
      </c>
      <c r="AV72" s="45">
        <v>3</v>
      </c>
      <c r="AW72" s="45">
        <v>2</v>
      </c>
      <c r="AX72" s="45">
        <v>2</v>
      </c>
      <c r="AY72" s="46">
        <f t="shared" si="33"/>
        <v>2.75</v>
      </c>
      <c r="AZ72" s="45">
        <v>3</v>
      </c>
      <c r="BA72" s="45">
        <v>3</v>
      </c>
      <c r="BB72" s="45">
        <v>2</v>
      </c>
      <c r="BC72" s="45">
        <v>2</v>
      </c>
      <c r="BD72" s="47">
        <f t="shared" si="34"/>
        <v>2.5</v>
      </c>
      <c r="BE72" s="100">
        <v>3</v>
      </c>
      <c r="BF72" s="101">
        <v>3</v>
      </c>
      <c r="BG72" s="101">
        <v>2</v>
      </c>
      <c r="BH72" s="101">
        <v>3</v>
      </c>
      <c r="BI72" s="46">
        <f t="shared" si="26"/>
        <v>2.75</v>
      </c>
      <c r="BJ72" s="45"/>
      <c r="BK72" s="45"/>
      <c r="BL72" s="45"/>
      <c r="BM72" s="45"/>
      <c r="BN72" s="46">
        <f t="shared" si="35"/>
        <v>0</v>
      </c>
      <c r="BO72" s="104">
        <v>3</v>
      </c>
      <c r="BP72" s="105">
        <v>3</v>
      </c>
      <c r="BQ72" s="105">
        <v>2</v>
      </c>
      <c r="BR72" s="105">
        <v>3</v>
      </c>
      <c r="BS72" s="46">
        <f t="shared" si="36"/>
        <v>2.75</v>
      </c>
      <c r="BT72" s="45">
        <v>3</v>
      </c>
      <c r="BU72" s="45">
        <v>3</v>
      </c>
      <c r="BV72" s="45">
        <v>2</v>
      </c>
      <c r="BW72" s="45">
        <v>2</v>
      </c>
      <c r="BX72" s="46">
        <f t="shared" si="37"/>
        <v>2.5</v>
      </c>
      <c r="BY72" s="45">
        <v>3</v>
      </c>
      <c r="BZ72" s="45">
        <v>3</v>
      </c>
      <c r="CA72" s="45">
        <v>3</v>
      </c>
      <c r="CB72" s="45">
        <v>3</v>
      </c>
      <c r="CC72" s="46">
        <f t="shared" si="38"/>
        <v>3</v>
      </c>
      <c r="CD72" s="45">
        <v>4</v>
      </c>
      <c r="CE72" s="45">
        <v>4</v>
      </c>
      <c r="CF72" s="45">
        <v>2</v>
      </c>
      <c r="CG72" s="45">
        <v>3</v>
      </c>
      <c r="CH72" s="46">
        <f t="shared" si="39"/>
        <v>3.25</v>
      </c>
      <c r="CI72" s="45">
        <v>3</v>
      </c>
      <c r="CJ72" s="45">
        <v>3</v>
      </c>
      <c r="CK72" s="45">
        <v>2</v>
      </c>
      <c r="CL72" s="45">
        <v>3</v>
      </c>
      <c r="CM72" s="46">
        <f t="shared" si="40"/>
        <v>2.75</v>
      </c>
    </row>
    <row r="73" spans="1:91">
      <c r="A73" s="45">
        <v>0</v>
      </c>
      <c r="B73" s="50">
        <f t="shared" si="41"/>
        <v>69</v>
      </c>
      <c r="C73" s="51"/>
      <c r="D73" s="45"/>
      <c r="E73" s="45"/>
      <c r="F73" s="45"/>
      <c r="G73" s="45"/>
      <c r="H73" s="45"/>
      <c r="I73" s="52"/>
      <c r="J73" s="45" t="s">
        <v>3575</v>
      </c>
      <c r="K73" s="53"/>
      <c r="L73" s="54" t="e">
        <f>INDEX([1]Timeline!$E$10:$E$24,MATCH(A73,[1]Timeline!$C$10:$C$24,0))</f>
        <v>#N/A</v>
      </c>
      <c r="M73" s="55">
        <v>44561</v>
      </c>
      <c r="N73" s="56"/>
      <c r="O73" s="57">
        <v>0</v>
      </c>
      <c r="P73" s="56" t="e">
        <f t="shared" si="27"/>
        <v>#N/A</v>
      </c>
      <c r="Q73" s="56"/>
      <c r="R73" s="56"/>
      <c r="S73" s="56"/>
      <c r="T73" s="58">
        <f t="shared" si="25"/>
        <v>0</v>
      </c>
      <c r="U73" s="58" t="e">
        <f t="shared" si="42"/>
        <v>#N/A</v>
      </c>
      <c r="V73" s="58" t="e">
        <f t="shared" si="28"/>
        <v>#N/A</v>
      </c>
      <c r="W73" s="45">
        <v>1</v>
      </c>
      <c r="X73" s="59" t="e">
        <f t="shared" si="43"/>
        <v>#DIV/0!</v>
      </c>
      <c r="Y73" s="59" t="e">
        <f t="shared" si="44"/>
        <v>#DIV/0!</v>
      </c>
      <c r="Z73" s="60" t="e">
        <f t="shared" si="45"/>
        <v>#DIV/0!</v>
      </c>
      <c r="AA73" s="45"/>
      <c r="AB73" s="45"/>
      <c r="AC73" s="45"/>
      <c r="AD73" s="45"/>
      <c r="AE73" s="46">
        <f t="shared" si="29"/>
        <v>0</v>
      </c>
      <c r="AF73" s="45"/>
      <c r="AG73" s="45"/>
      <c r="AH73" s="45"/>
      <c r="AI73" s="45"/>
      <c r="AJ73" s="61">
        <f t="shared" si="30"/>
        <v>0</v>
      </c>
      <c r="AK73" s="62"/>
      <c r="AL73" s="45"/>
      <c r="AM73" s="45"/>
      <c r="AN73" s="45"/>
      <c r="AO73" s="63">
        <f t="shared" si="31"/>
        <v>0</v>
      </c>
      <c r="AP73" s="64"/>
      <c r="AQ73" s="45"/>
      <c r="AR73" s="45"/>
      <c r="AS73" s="45"/>
      <c r="AT73" s="46">
        <f t="shared" si="32"/>
        <v>0</v>
      </c>
      <c r="AU73" s="45"/>
      <c r="AV73" s="45"/>
      <c r="AW73" s="45"/>
      <c r="AX73" s="45"/>
      <c r="AY73" s="46">
        <f t="shared" si="33"/>
        <v>0</v>
      </c>
      <c r="AZ73" s="45"/>
      <c r="BA73" s="45"/>
      <c r="BB73" s="45"/>
      <c r="BC73" s="45"/>
      <c r="BD73" s="47">
        <f t="shared" si="34"/>
        <v>0</v>
      </c>
      <c r="BE73" s="45"/>
      <c r="BF73" s="45"/>
      <c r="BG73" s="45"/>
      <c r="BH73" s="45"/>
      <c r="BI73" s="45"/>
      <c r="BJ73" s="45"/>
      <c r="BK73" s="45"/>
      <c r="BL73" s="45"/>
      <c r="BM73" s="45"/>
      <c r="BN73" s="46">
        <f t="shared" si="35"/>
        <v>0</v>
      </c>
      <c r="BO73" s="45"/>
      <c r="BP73" s="45"/>
      <c r="BQ73" s="45"/>
      <c r="BR73" s="45"/>
      <c r="BS73" s="46">
        <f t="shared" si="36"/>
        <v>0</v>
      </c>
      <c r="BT73" s="45"/>
      <c r="BU73" s="45"/>
      <c r="BV73" s="45"/>
      <c r="BW73" s="45"/>
      <c r="BX73" s="46">
        <f t="shared" si="37"/>
        <v>0</v>
      </c>
      <c r="BY73" s="45"/>
      <c r="BZ73" s="45"/>
      <c r="CA73" s="45"/>
      <c r="CB73" s="45"/>
      <c r="CC73" s="46">
        <f t="shared" si="38"/>
        <v>0</v>
      </c>
      <c r="CD73" s="45"/>
      <c r="CE73" s="45"/>
      <c r="CF73" s="45"/>
      <c r="CG73" s="45"/>
      <c r="CH73" s="46">
        <f t="shared" si="39"/>
        <v>0</v>
      </c>
      <c r="CI73" s="45"/>
      <c r="CJ73" s="45"/>
      <c r="CK73" s="45"/>
      <c r="CL73" s="45"/>
      <c r="CM73" s="46">
        <f t="shared" si="40"/>
        <v>0</v>
      </c>
    </row>
    <row r="74" spans="1:91">
      <c r="A74" s="45">
        <v>0</v>
      </c>
      <c r="B74" s="50">
        <f t="shared" si="41"/>
        <v>70</v>
      </c>
      <c r="C74" s="51"/>
      <c r="D74" s="45"/>
      <c r="E74" s="45"/>
      <c r="F74" s="45"/>
      <c r="G74" s="45"/>
      <c r="H74" s="45"/>
      <c r="I74" s="52"/>
      <c r="J74" s="45" t="s">
        <v>3575</v>
      </c>
      <c r="K74" s="53"/>
      <c r="L74" s="54" t="e">
        <f>INDEX([1]Timeline!$E$10:$E$24,MATCH(A74,[1]Timeline!$C$10:$C$24,0))</f>
        <v>#N/A</v>
      </c>
      <c r="M74" s="55">
        <v>44561</v>
      </c>
      <c r="N74" s="56"/>
      <c r="O74" s="57">
        <v>0</v>
      </c>
      <c r="P74" s="56" t="e">
        <f t="shared" si="27"/>
        <v>#N/A</v>
      </c>
      <c r="Q74" s="56"/>
      <c r="R74" s="56"/>
      <c r="S74" s="56"/>
      <c r="T74" s="58">
        <f t="shared" si="25"/>
        <v>0</v>
      </c>
      <c r="U74" s="58" t="e">
        <f t="shared" si="42"/>
        <v>#N/A</v>
      </c>
      <c r="V74" s="58" t="e">
        <f t="shared" si="28"/>
        <v>#N/A</v>
      </c>
      <c r="W74" s="45">
        <v>1</v>
      </c>
      <c r="X74" s="59" t="e">
        <f t="shared" si="43"/>
        <v>#DIV/0!</v>
      </c>
      <c r="Y74" s="59" t="e">
        <f t="shared" si="44"/>
        <v>#DIV/0!</v>
      </c>
      <c r="Z74" s="60" t="e">
        <f t="shared" si="45"/>
        <v>#DIV/0!</v>
      </c>
      <c r="AA74" s="45"/>
      <c r="AB74" s="45"/>
      <c r="AC74" s="45"/>
      <c r="AD74" s="45"/>
      <c r="AE74" s="46">
        <f t="shared" si="29"/>
        <v>0</v>
      </c>
      <c r="AF74" s="45"/>
      <c r="AG74" s="45"/>
      <c r="AH74" s="45"/>
      <c r="AI74" s="45"/>
      <c r="AJ74" s="61">
        <f t="shared" si="30"/>
        <v>0</v>
      </c>
      <c r="AK74" s="62"/>
      <c r="AL74" s="45"/>
      <c r="AM74" s="45"/>
      <c r="AN74" s="45"/>
      <c r="AO74" s="63">
        <f t="shared" si="31"/>
        <v>0</v>
      </c>
      <c r="AP74" s="64"/>
      <c r="AQ74" s="45"/>
      <c r="AR74" s="45"/>
      <c r="AS74" s="45"/>
      <c r="AT74" s="46">
        <f t="shared" si="32"/>
        <v>0</v>
      </c>
      <c r="AU74" s="45"/>
      <c r="AV74" s="45"/>
      <c r="AW74" s="45"/>
      <c r="AX74" s="45"/>
      <c r="AY74" s="46">
        <f t="shared" si="33"/>
        <v>0</v>
      </c>
      <c r="AZ74" s="45"/>
      <c r="BA74" s="45"/>
      <c r="BB74" s="45"/>
      <c r="BC74" s="45"/>
      <c r="BD74" s="47">
        <f t="shared" si="34"/>
        <v>0</v>
      </c>
      <c r="BE74" s="45"/>
      <c r="BF74" s="45"/>
      <c r="BG74" s="45"/>
      <c r="BH74" s="45"/>
      <c r="BI74" s="45"/>
      <c r="BJ74" s="45"/>
      <c r="BK74" s="45"/>
      <c r="BL74" s="45"/>
      <c r="BM74" s="45"/>
      <c r="BN74" s="46">
        <f t="shared" si="35"/>
        <v>0</v>
      </c>
      <c r="BO74" s="45"/>
      <c r="BP74" s="45"/>
      <c r="BQ74" s="45"/>
      <c r="BR74" s="45"/>
      <c r="BS74" s="46">
        <f t="shared" si="36"/>
        <v>0</v>
      </c>
      <c r="BT74" s="45"/>
      <c r="BU74" s="45"/>
      <c r="BV74" s="45"/>
      <c r="BW74" s="45"/>
      <c r="BX74" s="46">
        <f t="shared" si="37"/>
        <v>0</v>
      </c>
      <c r="BY74" s="45"/>
      <c r="BZ74" s="45"/>
      <c r="CA74" s="45"/>
      <c r="CB74" s="45"/>
      <c r="CC74" s="46">
        <f t="shared" si="38"/>
        <v>0</v>
      </c>
      <c r="CD74" s="45"/>
      <c r="CE74" s="45"/>
      <c r="CF74" s="45"/>
      <c r="CG74" s="45"/>
      <c r="CH74" s="46">
        <f t="shared" si="39"/>
        <v>0</v>
      </c>
      <c r="CI74" s="45"/>
      <c r="CJ74" s="45"/>
      <c r="CK74" s="45"/>
      <c r="CL74" s="45"/>
      <c r="CM74" s="46">
        <f t="shared" si="40"/>
        <v>0</v>
      </c>
    </row>
    <row r="75" spans="1:91">
      <c r="A75" s="45">
        <v>0</v>
      </c>
      <c r="B75" s="50">
        <f t="shared" si="41"/>
        <v>71</v>
      </c>
      <c r="C75" s="51"/>
      <c r="D75" s="45"/>
      <c r="E75" s="45"/>
      <c r="F75" s="45"/>
      <c r="G75" s="45"/>
      <c r="H75" s="45"/>
      <c r="I75" s="52"/>
      <c r="J75" s="45" t="s">
        <v>3575</v>
      </c>
      <c r="K75" s="53"/>
      <c r="L75" s="54" t="e">
        <f>INDEX([1]Timeline!$E$10:$E$24,MATCH(A75,[1]Timeline!$C$10:$C$24,0))</f>
        <v>#N/A</v>
      </c>
      <c r="M75" s="55">
        <v>44561</v>
      </c>
      <c r="N75" s="56"/>
      <c r="O75" s="57">
        <v>0</v>
      </c>
      <c r="P75" s="56" t="e">
        <f t="shared" si="27"/>
        <v>#N/A</v>
      </c>
      <c r="Q75" s="56"/>
      <c r="R75" s="56"/>
      <c r="S75" s="56"/>
      <c r="T75" s="58">
        <f t="shared" si="25"/>
        <v>0</v>
      </c>
      <c r="U75" s="58" t="e">
        <f t="shared" si="42"/>
        <v>#N/A</v>
      </c>
      <c r="V75" s="58" t="e">
        <f t="shared" si="28"/>
        <v>#N/A</v>
      </c>
      <c r="W75" s="45">
        <v>1</v>
      </c>
      <c r="X75" s="59" t="e">
        <f t="shared" si="43"/>
        <v>#DIV/0!</v>
      </c>
      <c r="Y75" s="59" t="e">
        <f t="shared" si="44"/>
        <v>#DIV/0!</v>
      </c>
      <c r="Z75" s="60" t="e">
        <f t="shared" si="45"/>
        <v>#DIV/0!</v>
      </c>
      <c r="AA75" s="45"/>
      <c r="AB75" s="45"/>
      <c r="AC75" s="45"/>
      <c r="AD75" s="45"/>
      <c r="AE75" s="46">
        <f t="shared" si="29"/>
        <v>0</v>
      </c>
      <c r="AF75" s="45"/>
      <c r="AG75" s="45"/>
      <c r="AH75" s="45"/>
      <c r="AI75" s="45"/>
      <c r="AJ75" s="61">
        <f t="shared" si="30"/>
        <v>0</v>
      </c>
      <c r="AK75" s="62"/>
      <c r="AL75" s="45"/>
      <c r="AM75" s="45"/>
      <c r="AN75" s="45"/>
      <c r="AO75" s="63">
        <f t="shared" si="31"/>
        <v>0</v>
      </c>
      <c r="AP75" s="64"/>
      <c r="AQ75" s="45"/>
      <c r="AR75" s="45"/>
      <c r="AS75" s="45"/>
      <c r="AT75" s="46">
        <f t="shared" si="32"/>
        <v>0</v>
      </c>
      <c r="AU75" s="45"/>
      <c r="AV75" s="45"/>
      <c r="AW75" s="45"/>
      <c r="AX75" s="45"/>
      <c r="AY75" s="46">
        <f t="shared" si="33"/>
        <v>0</v>
      </c>
      <c r="AZ75" s="45"/>
      <c r="BA75" s="45"/>
      <c r="BB75" s="45"/>
      <c r="BC75" s="45"/>
      <c r="BD75" s="47">
        <f t="shared" si="34"/>
        <v>0</v>
      </c>
      <c r="BE75" s="45"/>
      <c r="BF75" s="45"/>
      <c r="BG75" s="45"/>
      <c r="BH75" s="45"/>
      <c r="BI75" s="45"/>
      <c r="BJ75" s="45"/>
      <c r="BK75" s="45"/>
      <c r="BL75" s="45"/>
      <c r="BM75" s="45"/>
      <c r="BN75" s="46">
        <f t="shared" si="35"/>
        <v>0</v>
      </c>
      <c r="BO75" s="45"/>
      <c r="BP75" s="45"/>
      <c r="BQ75" s="45"/>
      <c r="BR75" s="45"/>
      <c r="BS75" s="46">
        <f t="shared" si="36"/>
        <v>0</v>
      </c>
      <c r="BT75" s="45"/>
      <c r="BU75" s="45"/>
      <c r="BV75" s="45"/>
      <c r="BW75" s="45"/>
      <c r="BX75" s="46">
        <f t="shared" si="37"/>
        <v>0</v>
      </c>
      <c r="BY75" s="45"/>
      <c r="BZ75" s="45"/>
      <c r="CA75" s="45"/>
      <c r="CB75" s="45"/>
      <c r="CC75" s="46">
        <f t="shared" si="38"/>
        <v>0</v>
      </c>
      <c r="CD75" s="45"/>
      <c r="CE75" s="45"/>
      <c r="CF75" s="45"/>
      <c r="CG75" s="45"/>
      <c r="CH75" s="46">
        <f t="shared" si="39"/>
        <v>0</v>
      </c>
      <c r="CI75" s="45"/>
      <c r="CJ75" s="45"/>
      <c r="CK75" s="45"/>
      <c r="CL75" s="45"/>
      <c r="CM75" s="46">
        <f t="shared" si="40"/>
        <v>0</v>
      </c>
    </row>
    <row r="76" spans="1:91">
      <c r="A76" s="45">
        <v>0</v>
      </c>
      <c r="B76" s="50">
        <f t="shared" si="41"/>
        <v>72</v>
      </c>
      <c r="C76" s="51"/>
      <c r="D76" s="45"/>
      <c r="E76" s="45"/>
      <c r="F76" s="45"/>
      <c r="G76" s="45"/>
      <c r="H76" s="45"/>
      <c r="I76" s="52"/>
      <c r="J76" s="45" t="s">
        <v>3575</v>
      </c>
      <c r="K76" s="53"/>
      <c r="L76" s="54" t="e">
        <f>INDEX([1]Timeline!$E$10:$E$24,MATCH(A76,[1]Timeline!$C$10:$C$24,0))</f>
        <v>#N/A</v>
      </c>
      <c r="M76" s="55">
        <v>44561</v>
      </c>
      <c r="N76" s="56"/>
      <c r="O76" s="57">
        <v>0</v>
      </c>
      <c r="P76" s="56" t="e">
        <f t="shared" si="27"/>
        <v>#N/A</v>
      </c>
      <c r="Q76" s="56"/>
      <c r="R76" s="56"/>
      <c r="S76" s="56"/>
      <c r="T76" s="58">
        <f t="shared" si="25"/>
        <v>0</v>
      </c>
      <c r="U76" s="58" t="e">
        <f t="shared" si="42"/>
        <v>#N/A</v>
      </c>
      <c r="V76" s="58" t="e">
        <f t="shared" si="28"/>
        <v>#N/A</v>
      </c>
      <c r="W76" s="45">
        <v>1</v>
      </c>
      <c r="X76" s="59" t="e">
        <f t="shared" si="43"/>
        <v>#DIV/0!</v>
      </c>
      <c r="Y76" s="59" t="e">
        <f t="shared" si="44"/>
        <v>#DIV/0!</v>
      </c>
      <c r="Z76" s="60" t="e">
        <f t="shared" si="45"/>
        <v>#DIV/0!</v>
      </c>
      <c r="AA76" s="45"/>
      <c r="AB76" s="45"/>
      <c r="AC76" s="45"/>
      <c r="AD76" s="45"/>
      <c r="AE76" s="46">
        <f t="shared" si="29"/>
        <v>0</v>
      </c>
      <c r="AF76" s="45"/>
      <c r="AG76" s="45"/>
      <c r="AH76" s="45"/>
      <c r="AI76" s="45"/>
      <c r="AJ76" s="61">
        <f t="shared" si="30"/>
        <v>0</v>
      </c>
      <c r="AK76" s="62"/>
      <c r="AL76" s="45"/>
      <c r="AM76" s="45"/>
      <c r="AN76" s="45"/>
      <c r="AO76" s="63">
        <f t="shared" si="31"/>
        <v>0</v>
      </c>
      <c r="AP76" s="64"/>
      <c r="AQ76" s="45"/>
      <c r="AR76" s="45"/>
      <c r="AS76" s="45"/>
      <c r="AT76" s="46">
        <f t="shared" si="32"/>
        <v>0</v>
      </c>
      <c r="AU76" s="45"/>
      <c r="AV76" s="45"/>
      <c r="AW76" s="45"/>
      <c r="AX76" s="45"/>
      <c r="AY76" s="46">
        <f t="shared" si="33"/>
        <v>0</v>
      </c>
      <c r="AZ76" s="45"/>
      <c r="BA76" s="45"/>
      <c r="BB76" s="45"/>
      <c r="BC76" s="45"/>
      <c r="BD76" s="47">
        <f t="shared" si="34"/>
        <v>0</v>
      </c>
      <c r="BE76" s="45"/>
      <c r="BF76" s="45"/>
      <c r="BG76" s="45"/>
      <c r="BH76" s="45"/>
      <c r="BI76" s="45"/>
      <c r="BJ76" s="45"/>
      <c r="BK76" s="45"/>
      <c r="BL76" s="45"/>
      <c r="BM76" s="45"/>
      <c r="BN76" s="46">
        <f t="shared" si="35"/>
        <v>0</v>
      </c>
      <c r="BO76" s="45"/>
      <c r="BP76" s="45"/>
      <c r="BQ76" s="45"/>
      <c r="BR76" s="45"/>
      <c r="BS76" s="46">
        <f t="shared" si="36"/>
        <v>0</v>
      </c>
      <c r="BT76" s="45"/>
      <c r="BU76" s="45"/>
      <c r="BV76" s="45"/>
      <c r="BW76" s="45"/>
      <c r="BX76" s="46">
        <f t="shared" si="37"/>
        <v>0</v>
      </c>
      <c r="BY76" s="45"/>
      <c r="BZ76" s="45"/>
      <c r="CA76" s="45"/>
      <c r="CB76" s="45"/>
      <c r="CC76" s="46">
        <f t="shared" si="38"/>
        <v>0</v>
      </c>
      <c r="CD76" s="45"/>
      <c r="CE76" s="45"/>
      <c r="CF76" s="45"/>
      <c r="CG76" s="45"/>
      <c r="CH76" s="46">
        <f t="shared" si="39"/>
        <v>0</v>
      </c>
      <c r="CI76" s="45"/>
      <c r="CJ76" s="45"/>
      <c r="CK76" s="45"/>
      <c r="CL76" s="45"/>
      <c r="CM76" s="46">
        <f t="shared" si="40"/>
        <v>0</v>
      </c>
    </row>
    <row r="77" spans="1:91">
      <c r="A77" s="45">
        <v>0</v>
      </c>
      <c r="B77" s="50">
        <f t="shared" si="41"/>
        <v>73</v>
      </c>
      <c r="C77" s="51"/>
      <c r="D77" s="45"/>
      <c r="E77" s="45"/>
      <c r="F77" s="45"/>
      <c r="G77" s="45"/>
      <c r="H77" s="45"/>
      <c r="I77" s="52"/>
      <c r="J77" s="45" t="s">
        <v>3575</v>
      </c>
      <c r="K77" s="53"/>
      <c r="L77" s="54" t="e">
        <f>INDEX([1]Timeline!$E$10:$E$24,MATCH(A77,[1]Timeline!$C$10:$C$24,0))</f>
        <v>#N/A</v>
      </c>
      <c r="M77" s="55">
        <v>44561</v>
      </c>
      <c r="N77" s="56"/>
      <c r="O77" s="57">
        <v>0</v>
      </c>
      <c r="P77" s="56" t="e">
        <f t="shared" si="27"/>
        <v>#N/A</v>
      </c>
      <c r="Q77" s="56"/>
      <c r="R77" s="56"/>
      <c r="S77" s="56"/>
      <c r="T77" s="58">
        <f t="shared" si="25"/>
        <v>0</v>
      </c>
      <c r="U77" s="58" t="e">
        <f t="shared" si="42"/>
        <v>#N/A</v>
      </c>
      <c r="V77" s="58" t="e">
        <f t="shared" si="28"/>
        <v>#N/A</v>
      </c>
      <c r="W77" s="45">
        <v>1</v>
      </c>
      <c r="X77" s="59" t="e">
        <f t="shared" si="43"/>
        <v>#DIV/0!</v>
      </c>
      <c r="Y77" s="59" t="e">
        <f t="shared" si="44"/>
        <v>#DIV/0!</v>
      </c>
      <c r="Z77" s="60" t="e">
        <f t="shared" si="45"/>
        <v>#DIV/0!</v>
      </c>
      <c r="AA77" s="45"/>
      <c r="AB77" s="45"/>
      <c r="AC77" s="45"/>
      <c r="AD77" s="45"/>
      <c r="AE77" s="46">
        <f t="shared" si="29"/>
        <v>0</v>
      </c>
      <c r="AF77" s="45"/>
      <c r="AG77" s="45"/>
      <c r="AH77" s="45"/>
      <c r="AI77" s="45"/>
      <c r="AJ77" s="61">
        <f t="shared" si="30"/>
        <v>0</v>
      </c>
      <c r="AK77" s="62"/>
      <c r="AL77" s="45"/>
      <c r="AM77" s="45"/>
      <c r="AN77" s="45"/>
      <c r="AO77" s="63">
        <f t="shared" si="31"/>
        <v>0</v>
      </c>
      <c r="AP77" s="64"/>
      <c r="AQ77" s="45"/>
      <c r="AR77" s="45"/>
      <c r="AS77" s="45"/>
      <c r="AT77" s="46">
        <f t="shared" si="32"/>
        <v>0</v>
      </c>
      <c r="AU77" s="45"/>
      <c r="AV77" s="45"/>
      <c r="AW77" s="45"/>
      <c r="AX77" s="45"/>
      <c r="AY77" s="46">
        <f t="shared" si="33"/>
        <v>0</v>
      </c>
      <c r="AZ77" s="45"/>
      <c r="BA77" s="45"/>
      <c r="BB77" s="45"/>
      <c r="BC77" s="45"/>
      <c r="BD77" s="47">
        <f t="shared" si="34"/>
        <v>0</v>
      </c>
      <c r="BE77" s="45"/>
      <c r="BF77" s="45"/>
      <c r="BG77" s="45"/>
      <c r="BH77" s="45"/>
      <c r="BI77" s="45"/>
      <c r="BJ77" s="45"/>
      <c r="BK77" s="45"/>
      <c r="BL77" s="45"/>
      <c r="BM77" s="45"/>
      <c r="BN77" s="46">
        <f t="shared" si="35"/>
        <v>0</v>
      </c>
      <c r="BO77" s="45"/>
      <c r="BP77" s="45"/>
      <c r="BQ77" s="45"/>
      <c r="BR77" s="45"/>
      <c r="BS77" s="46">
        <f t="shared" si="36"/>
        <v>0</v>
      </c>
      <c r="BT77" s="45"/>
      <c r="BU77" s="45"/>
      <c r="BV77" s="45"/>
      <c r="BW77" s="45"/>
      <c r="BX77" s="46">
        <f t="shared" si="37"/>
        <v>0</v>
      </c>
      <c r="BY77" s="45"/>
      <c r="BZ77" s="45"/>
      <c r="CA77" s="45"/>
      <c r="CB77" s="45"/>
      <c r="CC77" s="46">
        <f t="shared" si="38"/>
        <v>0</v>
      </c>
      <c r="CD77" s="45"/>
      <c r="CE77" s="45"/>
      <c r="CF77" s="45"/>
      <c r="CG77" s="45"/>
      <c r="CH77" s="46">
        <f t="shared" si="39"/>
        <v>0</v>
      </c>
      <c r="CI77" s="45"/>
      <c r="CJ77" s="45"/>
      <c r="CK77" s="45"/>
      <c r="CL77" s="45"/>
      <c r="CM77" s="46">
        <f t="shared" si="40"/>
        <v>0</v>
      </c>
    </row>
    <row r="78" spans="1:91">
      <c r="A78" s="45">
        <v>0</v>
      </c>
      <c r="B78" s="50">
        <f t="shared" si="41"/>
        <v>74</v>
      </c>
      <c r="C78" s="51"/>
      <c r="D78" s="45"/>
      <c r="E78" s="45"/>
      <c r="F78" s="45"/>
      <c r="G78" s="45"/>
      <c r="H78" s="45"/>
      <c r="I78" s="52"/>
      <c r="J78" s="45" t="s">
        <v>3575</v>
      </c>
      <c r="K78" s="53"/>
      <c r="L78" s="54" t="e">
        <f>INDEX([1]Timeline!$E$10:$E$24,MATCH(A78,[1]Timeline!$C$10:$C$24,0))</f>
        <v>#N/A</v>
      </c>
      <c r="M78" s="55">
        <v>44561</v>
      </c>
      <c r="N78" s="56"/>
      <c r="O78" s="57">
        <v>0</v>
      </c>
      <c r="P78" s="56" t="e">
        <f t="shared" si="27"/>
        <v>#N/A</v>
      </c>
      <c r="Q78" s="56"/>
      <c r="R78" s="56"/>
      <c r="S78" s="56"/>
      <c r="T78" s="58">
        <f t="shared" si="25"/>
        <v>0</v>
      </c>
      <c r="U78" s="58" t="e">
        <f t="shared" si="42"/>
        <v>#N/A</v>
      </c>
      <c r="V78" s="58" t="e">
        <f t="shared" si="28"/>
        <v>#N/A</v>
      </c>
      <c r="W78" s="45">
        <v>1</v>
      </c>
      <c r="X78" s="59" t="e">
        <f t="shared" si="43"/>
        <v>#DIV/0!</v>
      </c>
      <c r="Y78" s="59" t="e">
        <f t="shared" si="44"/>
        <v>#DIV/0!</v>
      </c>
      <c r="Z78" s="60" t="e">
        <f t="shared" si="45"/>
        <v>#DIV/0!</v>
      </c>
      <c r="AA78" s="45"/>
      <c r="AB78" s="45"/>
      <c r="AC78" s="45"/>
      <c r="AD78" s="45"/>
      <c r="AE78" s="46">
        <f t="shared" si="29"/>
        <v>0</v>
      </c>
      <c r="AF78" s="45"/>
      <c r="AG78" s="45"/>
      <c r="AH78" s="45"/>
      <c r="AI78" s="45"/>
      <c r="AJ78" s="61">
        <f t="shared" si="30"/>
        <v>0</v>
      </c>
      <c r="AK78" s="62"/>
      <c r="AL78" s="45"/>
      <c r="AM78" s="45"/>
      <c r="AN78" s="45"/>
      <c r="AO78" s="63">
        <f t="shared" si="31"/>
        <v>0</v>
      </c>
      <c r="AP78" s="64"/>
      <c r="AQ78" s="45"/>
      <c r="AR78" s="45"/>
      <c r="AS78" s="45"/>
      <c r="AT78" s="46">
        <f t="shared" si="32"/>
        <v>0</v>
      </c>
      <c r="AU78" s="45"/>
      <c r="AV78" s="45"/>
      <c r="AW78" s="45"/>
      <c r="AX78" s="45"/>
      <c r="AY78" s="46">
        <f t="shared" si="33"/>
        <v>0</v>
      </c>
      <c r="AZ78" s="45"/>
      <c r="BA78" s="45"/>
      <c r="BB78" s="45"/>
      <c r="BC78" s="45"/>
      <c r="BD78" s="47">
        <f t="shared" si="34"/>
        <v>0</v>
      </c>
      <c r="BE78" s="45"/>
      <c r="BF78" s="45"/>
      <c r="BG78" s="45"/>
      <c r="BH78" s="45"/>
      <c r="BI78" s="45"/>
      <c r="BJ78" s="45"/>
      <c r="BK78" s="45"/>
      <c r="BL78" s="45"/>
      <c r="BM78" s="45"/>
      <c r="BN78" s="46">
        <f t="shared" si="35"/>
        <v>0</v>
      </c>
      <c r="BO78" s="45"/>
      <c r="BP78" s="45"/>
      <c r="BQ78" s="45"/>
      <c r="BR78" s="45"/>
      <c r="BS78" s="46">
        <f t="shared" si="36"/>
        <v>0</v>
      </c>
      <c r="BT78" s="45"/>
      <c r="BU78" s="45"/>
      <c r="BV78" s="45"/>
      <c r="BW78" s="45"/>
      <c r="BX78" s="46">
        <f t="shared" si="37"/>
        <v>0</v>
      </c>
      <c r="BY78" s="45"/>
      <c r="BZ78" s="45"/>
      <c r="CA78" s="45"/>
      <c r="CB78" s="45"/>
      <c r="CC78" s="46">
        <f t="shared" si="38"/>
        <v>0</v>
      </c>
      <c r="CD78" s="45"/>
      <c r="CE78" s="45"/>
      <c r="CF78" s="45"/>
      <c r="CG78" s="45"/>
      <c r="CH78" s="46">
        <f t="shared" si="39"/>
        <v>0</v>
      </c>
      <c r="CI78" s="45"/>
      <c r="CJ78" s="45"/>
      <c r="CK78" s="45"/>
      <c r="CL78" s="45"/>
      <c r="CM78" s="46">
        <f t="shared" si="40"/>
        <v>0</v>
      </c>
    </row>
    <row r="79" spans="1:91">
      <c r="A79" s="45">
        <v>0</v>
      </c>
      <c r="B79" s="50">
        <f t="shared" si="41"/>
        <v>75</v>
      </c>
      <c r="C79" s="51"/>
      <c r="D79" s="45"/>
      <c r="E79" s="45"/>
      <c r="F79" s="45"/>
      <c r="G79" s="45"/>
      <c r="H79" s="45"/>
      <c r="I79" s="52"/>
      <c r="J79" s="45" t="s">
        <v>3575</v>
      </c>
      <c r="K79" s="53"/>
      <c r="L79" s="54" t="e">
        <f>INDEX([1]Timeline!$E$10:$E$24,MATCH(A79,[1]Timeline!$C$10:$C$24,0))</f>
        <v>#N/A</v>
      </c>
      <c r="M79" s="55">
        <v>44561</v>
      </c>
      <c r="N79" s="56"/>
      <c r="O79" s="57">
        <v>0</v>
      </c>
      <c r="P79" s="56" t="e">
        <f t="shared" si="27"/>
        <v>#N/A</v>
      </c>
      <c r="Q79" s="56"/>
      <c r="R79" s="56"/>
      <c r="S79" s="56"/>
      <c r="T79" s="58">
        <f t="shared" si="25"/>
        <v>0</v>
      </c>
      <c r="U79" s="58" t="e">
        <f t="shared" si="42"/>
        <v>#N/A</v>
      </c>
      <c r="V79" s="58" t="e">
        <f t="shared" si="28"/>
        <v>#N/A</v>
      </c>
      <c r="W79" s="45">
        <v>1</v>
      </c>
      <c r="X79" s="59" t="e">
        <f t="shared" si="43"/>
        <v>#DIV/0!</v>
      </c>
      <c r="Y79" s="59" t="e">
        <f t="shared" si="44"/>
        <v>#DIV/0!</v>
      </c>
      <c r="Z79" s="60" t="e">
        <f t="shared" si="45"/>
        <v>#DIV/0!</v>
      </c>
      <c r="AA79" s="45"/>
      <c r="AB79" s="45"/>
      <c r="AC79" s="45"/>
      <c r="AD79" s="45"/>
      <c r="AE79" s="46">
        <f t="shared" si="29"/>
        <v>0</v>
      </c>
      <c r="AF79" s="45"/>
      <c r="AG79" s="45"/>
      <c r="AH79" s="45"/>
      <c r="AI79" s="45"/>
      <c r="AJ79" s="61">
        <f t="shared" si="30"/>
        <v>0</v>
      </c>
      <c r="AK79" s="62"/>
      <c r="AL79" s="45"/>
      <c r="AM79" s="45"/>
      <c r="AN79" s="45"/>
      <c r="AO79" s="63">
        <f t="shared" si="31"/>
        <v>0</v>
      </c>
      <c r="AP79" s="64"/>
      <c r="AQ79" s="45"/>
      <c r="AR79" s="45"/>
      <c r="AS79" s="45"/>
      <c r="AT79" s="46">
        <f t="shared" si="32"/>
        <v>0</v>
      </c>
      <c r="AU79" s="45"/>
      <c r="AV79" s="45"/>
      <c r="AW79" s="45"/>
      <c r="AX79" s="45"/>
      <c r="AY79" s="46">
        <f t="shared" si="33"/>
        <v>0</v>
      </c>
      <c r="AZ79" s="45"/>
      <c r="BA79" s="45"/>
      <c r="BB79" s="45"/>
      <c r="BC79" s="45"/>
      <c r="BD79" s="47">
        <f t="shared" si="34"/>
        <v>0</v>
      </c>
      <c r="BE79" s="45"/>
      <c r="BF79" s="45"/>
      <c r="BG79" s="45"/>
      <c r="BH79" s="45"/>
      <c r="BI79" s="45"/>
      <c r="BJ79" s="45"/>
      <c r="BK79" s="45"/>
      <c r="BL79" s="45"/>
      <c r="BM79" s="45"/>
      <c r="BN79" s="46">
        <f t="shared" si="35"/>
        <v>0</v>
      </c>
      <c r="BO79" s="45"/>
      <c r="BP79" s="45"/>
      <c r="BQ79" s="45"/>
      <c r="BR79" s="45"/>
      <c r="BS79" s="46">
        <f t="shared" si="36"/>
        <v>0</v>
      </c>
      <c r="BT79" s="45"/>
      <c r="BU79" s="45"/>
      <c r="BV79" s="45"/>
      <c r="BW79" s="45"/>
      <c r="BX79" s="46">
        <f t="shared" si="37"/>
        <v>0</v>
      </c>
      <c r="BY79" s="45"/>
      <c r="BZ79" s="45"/>
      <c r="CA79" s="45"/>
      <c r="CB79" s="45"/>
      <c r="CC79" s="46">
        <f t="shared" si="38"/>
        <v>0</v>
      </c>
      <c r="CD79" s="45"/>
      <c r="CE79" s="45"/>
      <c r="CF79" s="45"/>
      <c r="CG79" s="45"/>
      <c r="CH79" s="46">
        <f t="shared" si="39"/>
        <v>0</v>
      </c>
      <c r="CI79" s="45"/>
      <c r="CJ79" s="45"/>
      <c r="CK79" s="45"/>
      <c r="CL79" s="45"/>
      <c r="CM79" s="46">
        <f t="shared" si="40"/>
        <v>0</v>
      </c>
    </row>
    <row r="80" spans="1:91">
      <c r="A80" s="45">
        <v>0</v>
      </c>
      <c r="B80" s="50">
        <f t="shared" si="41"/>
        <v>76</v>
      </c>
      <c r="C80" s="51"/>
      <c r="D80" s="45"/>
      <c r="E80" s="45"/>
      <c r="F80" s="45"/>
      <c r="G80" s="45"/>
      <c r="H80" s="45"/>
      <c r="I80" s="52"/>
      <c r="J80" s="45" t="s">
        <v>3575</v>
      </c>
      <c r="K80" s="53"/>
      <c r="L80" s="54" t="e">
        <f>INDEX([1]Timeline!$E$10:$E$24,MATCH(A80,[1]Timeline!$C$10:$C$24,0))</f>
        <v>#N/A</v>
      </c>
      <c r="M80" s="55">
        <v>44561</v>
      </c>
      <c r="N80" s="56"/>
      <c r="O80" s="57">
        <v>0</v>
      </c>
      <c r="P80" s="56" t="e">
        <f t="shared" si="27"/>
        <v>#N/A</v>
      </c>
      <c r="Q80" s="56"/>
      <c r="R80" s="56"/>
      <c r="S80" s="56"/>
      <c r="T80" s="58">
        <f t="shared" si="25"/>
        <v>0</v>
      </c>
      <c r="U80" s="58" t="e">
        <f t="shared" si="42"/>
        <v>#N/A</v>
      </c>
      <c r="V80" s="58" t="e">
        <f t="shared" si="28"/>
        <v>#N/A</v>
      </c>
      <c r="W80" s="45">
        <v>1</v>
      </c>
      <c r="X80" s="59" t="e">
        <f t="shared" si="43"/>
        <v>#DIV/0!</v>
      </c>
      <c r="Y80" s="59" t="e">
        <f t="shared" si="44"/>
        <v>#DIV/0!</v>
      </c>
      <c r="Z80" s="60" t="e">
        <f t="shared" si="45"/>
        <v>#DIV/0!</v>
      </c>
      <c r="AA80" s="45"/>
      <c r="AB80" s="45"/>
      <c r="AC80" s="45"/>
      <c r="AD80" s="45"/>
      <c r="AE80" s="46">
        <f t="shared" si="29"/>
        <v>0</v>
      </c>
      <c r="AF80" s="45"/>
      <c r="AG80" s="45"/>
      <c r="AH80" s="45"/>
      <c r="AI80" s="45"/>
      <c r="AJ80" s="61">
        <f t="shared" si="30"/>
        <v>0</v>
      </c>
      <c r="AK80" s="62"/>
      <c r="AL80" s="45"/>
      <c r="AM80" s="45"/>
      <c r="AN80" s="45"/>
      <c r="AO80" s="63">
        <f t="shared" si="31"/>
        <v>0</v>
      </c>
      <c r="AP80" s="64"/>
      <c r="AQ80" s="45"/>
      <c r="AR80" s="45"/>
      <c r="AS80" s="45"/>
      <c r="AT80" s="46">
        <f t="shared" si="32"/>
        <v>0</v>
      </c>
      <c r="AU80" s="45"/>
      <c r="AV80" s="45"/>
      <c r="AW80" s="45"/>
      <c r="AX80" s="45"/>
      <c r="AY80" s="46">
        <f t="shared" si="33"/>
        <v>0</v>
      </c>
      <c r="AZ80" s="45"/>
      <c r="BA80" s="45"/>
      <c r="BB80" s="45"/>
      <c r="BC80" s="45"/>
      <c r="BD80" s="47">
        <f t="shared" si="34"/>
        <v>0</v>
      </c>
      <c r="BE80" s="45"/>
      <c r="BF80" s="45"/>
      <c r="BG80" s="45"/>
      <c r="BH80" s="45"/>
      <c r="BI80" s="45"/>
      <c r="BJ80" s="45"/>
      <c r="BK80" s="45"/>
      <c r="BL80" s="45"/>
      <c r="BM80" s="45"/>
      <c r="BN80" s="46">
        <f t="shared" si="35"/>
        <v>0</v>
      </c>
      <c r="BO80" s="45"/>
      <c r="BP80" s="45"/>
      <c r="BQ80" s="45"/>
      <c r="BR80" s="45"/>
      <c r="BS80" s="46">
        <f t="shared" si="36"/>
        <v>0</v>
      </c>
      <c r="BT80" s="45"/>
      <c r="BU80" s="45"/>
      <c r="BV80" s="45"/>
      <c r="BW80" s="45"/>
      <c r="BX80" s="46">
        <f t="shared" si="37"/>
        <v>0</v>
      </c>
      <c r="BY80" s="45"/>
      <c r="BZ80" s="45"/>
      <c r="CA80" s="45"/>
      <c r="CB80" s="45"/>
      <c r="CC80" s="46">
        <f t="shared" si="38"/>
        <v>0</v>
      </c>
      <c r="CD80" s="45"/>
      <c r="CE80" s="45"/>
      <c r="CF80" s="45"/>
      <c r="CG80" s="45"/>
      <c r="CH80" s="46">
        <f t="shared" si="39"/>
        <v>0</v>
      </c>
      <c r="CI80" s="45"/>
      <c r="CJ80" s="45"/>
      <c r="CK80" s="45"/>
      <c r="CL80" s="45"/>
      <c r="CM80" s="46">
        <f t="shared" si="40"/>
        <v>0</v>
      </c>
    </row>
    <row r="81" spans="1:91">
      <c r="A81" s="45">
        <v>0</v>
      </c>
      <c r="B81" s="50">
        <f t="shared" si="41"/>
        <v>77</v>
      </c>
      <c r="C81" s="51"/>
      <c r="D81" s="45"/>
      <c r="E81" s="45"/>
      <c r="F81" s="45"/>
      <c r="G81" s="45"/>
      <c r="H81" s="45"/>
      <c r="I81" s="52"/>
      <c r="J81" s="45" t="s">
        <v>3575</v>
      </c>
      <c r="K81" s="53"/>
      <c r="L81" s="54" t="e">
        <f>INDEX([1]Timeline!$E$10:$E$24,MATCH(A81,[1]Timeline!$C$10:$C$24,0))</f>
        <v>#N/A</v>
      </c>
      <c r="M81" s="55">
        <v>44561</v>
      </c>
      <c r="N81" s="56"/>
      <c r="O81" s="57">
        <v>0</v>
      </c>
      <c r="P81" s="56" t="e">
        <f t="shared" si="27"/>
        <v>#N/A</v>
      </c>
      <c r="Q81" s="56"/>
      <c r="R81" s="56"/>
      <c r="S81" s="56"/>
      <c r="T81" s="58">
        <f t="shared" si="25"/>
        <v>0</v>
      </c>
      <c r="U81" s="58" t="e">
        <f t="shared" si="42"/>
        <v>#N/A</v>
      </c>
      <c r="V81" s="58" t="e">
        <f t="shared" si="28"/>
        <v>#N/A</v>
      </c>
      <c r="W81" s="45">
        <v>1</v>
      </c>
      <c r="X81" s="59" t="e">
        <f t="shared" si="43"/>
        <v>#DIV/0!</v>
      </c>
      <c r="Y81" s="59" t="e">
        <f t="shared" si="44"/>
        <v>#DIV/0!</v>
      </c>
      <c r="Z81" s="60" t="e">
        <f t="shared" si="45"/>
        <v>#DIV/0!</v>
      </c>
      <c r="AA81" s="45"/>
      <c r="AB81" s="45"/>
      <c r="AC81" s="45"/>
      <c r="AD81" s="45"/>
      <c r="AE81" s="46">
        <f t="shared" si="29"/>
        <v>0</v>
      </c>
      <c r="AF81" s="45"/>
      <c r="AG81" s="45"/>
      <c r="AH81" s="45"/>
      <c r="AI81" s="45"/>
      <c r="AJ81" s="61">
        <f t="shared" si="30"/>
        <v>0</v>
      </c>
      <c r="AK81" s="62"/>
      <c r="AL81" s="45"/>
      <c r="AM81" s="45"/>
      <c r="AN81" s="45"/>
      <c r="AO81" s="63">
        <f t="shared" si="31"/>
        <v>0</v>
      </c>
      <c r="AP81" s="64"/>
      <c r="AQ81" s="45"/>
      <c r="AR81" s="45"/>
      <c r="AS81" s="45"/>
      <c r="AT81" s="46">
        <f t="shared" si="32"/>
        <v>0</v>
      </c>
      <c r="AU81" s="45"/>
      <c r="AV81" s="45"/>
      <c r="AW81" s="45"/>
      <c r="AX81" s="45"/>
      <c r="AY81" s="46">
        <f t="shared" si="33"/>
        <v>0</v>
      </c>
      <c r="AZ81" s="45"/>
      <c r="BA81" s="45"/>
      <c r="BB81" s="45"/>
      <c r="BC81" s="45"/>
      <c r="BD81" s="47">
        <f t="shared" si="34"/>
        <v>0</v>
      </c>
      <c r="BE81" s="45"/>
      <c r="BF81" s="45"/>
      <c r="BG81" s="45"/>
      <c r="BH81" s="45"/>
      <c r="BI81" s="45"/>
      <c r="BJ81" s="45"/>
      <c r="BK81" s="45"/>
      <c r="BL81" s="45"/>
      <c r="BM81" s="45"/>
      <c r="BN81" s="46">
        <f t="shared" si="35"/>
        <v>0</v>
      </c>
      <c r="BO81" s="45"/>
      <c r="BP81" s="45"/>
      <c r="BQ81" s="45"/>
      <c r="BR81" s="45"/>
      <c r="BS81" s="46">
        <f t="shared" si="36"/>
        <v>0</v>
      </c>
      <c r="BT81" s="45"/>
      <c r="BU81" s="45"/>
      <c r="BV81" s="45"/>
      <c r="BW81" s="45"/>
      <c r="BX81" s="46">
        <f t="shared" si="37"/>
        <v>0</v>
      </c>
      <c r="BY81" s="45"/>
      <c r="BZ81" s="45"/>
      <c r="CA81" s="45"/>
      <c r="CB81" s="45"/>
      <c r="CC81" s="46">
        <f t="shared" si="38"/>
        <v>0</v>
      </c>
      <c r="CD81" s="45"/>
      <c r="CE81" s="45"/>
      <c r="CF81" s="45"/>
      <c r="CG81" s="45"/>
      <c r="CH81" s="46">
        <f t="shared" si="39"/>
        <v>0</v>
      </c>
      <c r="CI81" s="45"/>
      <c r="CJ81" s="45"/>
      <c r="CK81" s="45"/>
      <c r="CL81" s="45"/>
      <c r="CM81" s="46">
        <f t="shared" si="40"/>
        <v>0</v>
      </c>
    </row>
    <row r="82" spans="1:91">
      <c r="A82" s="45">
        <v>0</v>
      </c>
      <c r="B82" s="50">
        <f t="shared" si="41"/>
        <v>78</v>
      </c>
      <c r="C82" s="51"/>
      <c r="D82" s="45"/>
      <c r="E82" s="45"/>
      <c r="F82" s="45"/>
      <c r="G82" s="45"/>
      <c r="H82" s="45"/>
      <c r="I82" s="52"/>
      <c r="J82" s="45" t="s">
        <v>3575</v>
      </c>
      <c r="K82" s="53"/>
      <c r="L82" s="54" t="e">
        <f>INDEX([1]Timeline!$E$10:$E$24,MATCH(A82,[1]Timeline!$C$10:$C$24,0))</f>
        <v>#N/A</v>
      </c>
      <c r="M82" s="55">
        <v>44561</v>
      </c>
      <c r="N82" s="56"/>
      <c r="O82" s="57">
        <v>0</v>
      </c>
      <c r="P82" s="56" t="e">
        <f t="shared" si="27"/>
        <v>#N/A</v>
      </c>
      <c r="Q82" s="56"/>
      <c r="R82" s="56"/>
      <c r="S82" s="56"/>
      <c r="T82" s="58">
        <f t="shared" si="25"/>
        <v>0</v>
      </c>
      <c r="U82" s="58" t="e">
        <f t="shared" si="42"/>
        <v>#N/A</v>
      </c>
      <c r="V82" s="58" t="e">
        <f t="shared" si="28"/>
        <v>#N/A</v>
      </c>
      <c r="W82" s="45">
        <v>1</v>
      </c>
      <c r="X82" s="59" t="e">
        <f t="shared" si="43"/>
        <v>#DIV/0!</v>
      </c>
      <c r="Y82" s="59" t="e">
        <f t="shared" si="44"/>
        <v>#DIV/0!</v>
      </c>
      <c r="Z82" s="60" t="e">
        <f t="shared" si="45"/>
        <v>#DIV/0!</v>
      </c>
      <c r="AA82" s="45"/>
      <c r="AB82" s="45"/>
      <c r="AC82" s="45"/>
      <c r="AD82" s="45"/>
      <c r="AE82" s="46">
        <f t="shared" si="29"/>
        <v>0</v>
      </c>
      <c r="AF82" s="45"/>
      <c r="AG82" s="45"/>
      <c r="AH82" s="45"/>
      <c r="AI82" s="45"/>
      <c r="AJ82" s="61">
        <f t="shared" si="30"/>
        <v>0</v>
      </c>
      <c r="AK82" s="62"/>
      <c r="AL82" s="45"/>
      <c r="AM82" s="45"/>
      <c r="AN82" s="45"/>
      <c r="AO82" s="63">
        <f t="shared" si="31"/>
        <v>0</v>
      </c>
      <c r="AP82" s="64"/>
      <c r="AQ82" s="45"/>
      <c r="AR82" s="45"/>
      <c r="AS82" s="45"/>
      <c r="AT82" s="46">
        <f t="shared" si="32"/>
        <v>0</v>
      </c>
      <c r="AU82" s="45"/>
      <c r="AV82" s="45"/>
      <c r="AW82" s="45"/>
      <c r="AX82" s="45"/>
      <c r="AY82" s="46">
        <f t="shared" si="33"/>
        <v>0</v>
      </c>
      <c r="AZ82" s="45"/>
      <c r="BA82" s="45"/>
      <c r="BB82" s="45"/>
      <c r="BC82" s="45"/>
      <c r="BD82" s="47">
        <f t="shared" si="34"/>
        <v>0</v>
      </c>
      <c r="BE82" s="45"/>
      <c r="BF82" s="45"/>
      <c r="BG82" s="45"/>
      <c r="BH82" s="45"/>
      <c r="BI82" s="45"/>
      <c r="BJ82" s="45"/>
      <c r="BK82" s="45"/>
      <c r="BL82" s="45"/>
      <c r="BM82" s="45"/>
      <c r="BN82" s="46">
        <f t="shared" si="35"/>
        <v>0</v>
      </c>
      <c r="BO82" s="45"/>
      <c r="BP82" s="45"/>
      <c r="BQ82" s="45"/>
      <c r="BR82" s="45"/>
      <c r="BS82" s="46">
        <f t="shared" si="36"/>
        <v>0</v>
      </c>
      <c r="BT82" s="45"/>
      <c r="BU82" s="45"/>
      <c r="BV82" s="45"/>
      <c r="BW82" s="45"/>
      <c r="BX82" s="46">
        <f t="shared" si="37"/>
        <v>0</v>
      </c>
      <c r="BY82" s="45"/>
      <c r="BZ82" s="45"/>
      <c r="CA82" s="45"/>
      <c r="CB82" s="45"/>
      <c r="CC82" s="46">
        <f t="shared" si="38"/>
        <v>0</v>
      </c>
      <c r="CD82" s="45"/>
      <c r="CE82" s="45"/>
      <c r="CF82" s="45"/>
      <c r="CG82" s="45"/>
      <c r="CH82" s="46">
        <f t="shared" si="39"/>
        <v>0</v>
      </c>
      <c r="CI82" s="45"/>
      <c r="CJ82" s="45"/>
      <c r="CK82" s="45"/>
      <c r="CL82" s="45"/>
      <c r="CM82" s="46">
        <f t="shared" si="40"/>
        <v>0</v>
      </c>
    </row>
    <row r="83" spans="1:91">
      <c r="A83" s="45">
        <v>0</v>
      </c>
      <c r="B83" s="50">
        <f t="shared" si="41"/>
        <v>79</v>
      </c>
      <c r="C83" s="51"/>
      <c r="D83" s="45"/>
      <c r="E83" s="45"/>
      <c r="F83" s="45"/>
      <c r="G83" s="45"/>
      <c r="H83" s="45"/>
      <c r="I83" s="52"/>
      <c r="J83" s="45" t="s">
        <v>3575</v>
      </c>
      <c r="K83" s="53"/>
      <c r="L83" s="54" t="e">
        <f>INDEX([1]Timeline!$E$10:$E$24,MATCH(A83,[1]Timeline!$C$10:$C$24,0))</f>
        <v>#N/A</v>
      </c>
      <c r="M83" s="55">
        <v>44561</v>
      </c>
      <c r="N83" s="56"/>
      <c r="O83" s="57">
        <v>0</v>
      </c>
      <c r="P83" s="56" t="e">
        <f t="shared" si="27"/>
        <v>#N/A</v>
      </c>
      <c r="Q83" s="56"/>
      <c r="R83" s="56"/>
      <c r="S83" s="56"/>
      <c r="T83" s="58">
        <f t="shared" si="25"/>
        <v>0</v>
      </c>
      <c r="U83" s="58" t="e">
        <f t="shared" si="42"/>
        <v>#N/A</v>
      </c>
      <c r="V83" s="58" t="e">
        <f t="shared" si="28"/>
        <v>#N/A</v>
      </c>
      <c r="W83" s="45">
        <v>1</v>
      </c>
      <c r="X83" s="59" t="e">
        <f t="shared" si="43"/>
        <v>#DIV/0!</v>
      </c>
      <c r="Y83" s="59" t="e">
        <f t="shared" si="44"/>
        <v>#DIV/0!</v>
      </c>
      <c r="Z83" s="60" t="e">
        <f t="shared" si="45"/>
        <v>#DIV/0!</v>
      </c>
      <c r="AA83" s="45"/>
      <c r="AB83" s="45"/>
      <c r="AC83" s="45"/>
      <c r="AD83" s="45"/>
      <c r="AE83" s="46">
        <f t="shared" si="29"/>
        <v>0</v>
      </c>
      <c r="AF83" s="45"/>
      <c r="AG83" s="45"/>
      <c r="AH83" s="45"/>
      <c r="AI83" s="45"/>
      <c r="AJ83" s="61">
        <f t="shared" si="30"/>
        <v>0</v>
      </c>
      <c r="AK83" s="62"/>
      <c r="AL83" s="45"/>
      <c r="AM83" s="45"/>
      <c r="AN83" s="45"/>
      <c r="AO83" s="63">
        <f t="shared" si="31"/>
        <v>0</v>
      </c>
      <c r="AP83" s="64"/>
      <c r="AQ83" s="45"/>
      <c r="AR83" s="45"/>
      <c r="AS83" s="45"/>
      <c r="AT83" s="46">
        <f t="shared" si="32"/>
        <v>0</v>
      </c>
      <c r="AU83" s="45"/>
      <c r="AV83" s="45"/>
      <c r="AW83" s="45"/>
      <c r="AX83" s="45"/>
      <c r="AY83" s="46">
        <f t="shared" si="33"/>
        <v>0</v>
      </c>
      <c r="AZ83" s="45"/>
      <c r="BA83" s="45"/>
      <c r="BB83" s="45"/>
      <c r="BC83" s="45"/>
      <c r="BD83" s="47">
        <f t="shared" si="34"/>
        <v>0</v>
      </c>
      <c r="BE83" s="45"/>
      <c r="BF83" s="45"/>
      <c r="BG83" s="45"/>
      <c r="BH83" s="45"/>
      <c r="BI83" s="45"/>
      <c r="BJ83" s="45"/>
      <c r="BK83" s="45"/>
      <c r="BL83" s="45"/>
      <c r="BM83" s="45"/>
      <c r="BN83" s="46">
        <f t="shared" si="35"/>
        <v>0</v>
      </c>
      <c r="BO83" s="45"/>
      <c r="BP83" s="45"/>
      <c r="BQ83" s="45"/>
      <c r="BR83" s="45"/>
      <c r="BS83" s="46">
        <f t="shared" si="36"/>
        <v>0</v>
      </c>
      <c r="BT83" s="45"/>
      <c r="BU83" s="45"/>
      <c r="BV83" s="45"/>
      <c r="BW83" s="45"/>
      <c r="BX83" s="46">
        <f t="shared" si="37"/>
        <v>0</v>
      </c>
      <c r="BY83" s="45"/>
      <c r="BZ83" s="45"/>
      <c r="CA83" s="45"/>
      <c r="CB83" s="45"/>
      <c r="CC83" s="46">
        <f t="shared" si="38"/>
        <v>0</v>
      </c>
      <c r="CD83" s="45"/>
      <c r="CE83" s="45"/>
      <c r="CF83" s="45"/>
      <c r="CG83" s="45"/>
      <c r="CH83" s="46">
        <f t="shared" si="39"/>
        <v>0</v>
      </c>
      <c r="CI83" s="45"/>
      <c r="CJ83" s="45"/>
      <c r="CK83" s="45"/>
      <c r="CL83" s="45"/>
      <c r="CM83" s="46">
        <f t="shared" si="40"/>
        <v>0</v>
      </c>
    </row>
    <row r="84" spans="1:91">
      <c r="A84" s="45">
        <v>0</v>
      </c>
      <c r="B84" s="50">
        <f t="shared" si="41"/>
        <v>80</v>
      </c>
      <c r="C84" s="51"/>
      <c r="D84" s="45"/>
      <c r="E84" s="45"/>
      <c r="F84" s="45"/>
      <c r="G84" s="45"/>
      <c r="H84" s="45"/>
      <c r="I84" s="52"/>
      <c r="J84" s="45" t="s">
        <v>3575</v>
      </c>
      <c r="K84" s="53"/>
      <c r="L84" s="54" t="e">
        <f>INDEX([1]Timeline!$E$10:$E$24,MATCH(A84,[1]Timeline!$C$10:$C$24,0))</f>
        <v>#N/A</v>
      </c>
      <c r="M84" s="55">
        <v>44561</v>
      </c>
      <c r="N84" s="56"/>
      <c r="O84" s="57">
        <v>0</v>
      </c>
      <c r="P84" s="56" t="e">
        <f t="shared" si="27"/>
        <v>#N/A</v>
      </c>
      <c r="Q84" s="56"/>
      <c r="R84" s="56"/>
      <c r="S84" s="56"/>
      <c r="T84" s="58">
        <f t="shared" si="25"/>
        <v>0</v>
      </c>
      <c r="U84" s="58" t="e">
        <f t="shared" si="42"/>
        <v>#N/A</v>
      </c>
      <c r="V84" s="58" t="e">
        <f t="shared" si="28"/>
        <v>#N/A</v>
      </c>
      <c r="W84" s="45">
        <v>1</v>
      </c>
      <c r="X84" s="59" t="e">
        <f t="shared" si="43"/>
        <v>#DIV/0!</v>
      </c>
      <c r="Y84" s="59" t="e">
        <f t="shared" si="44"/>
        <v>#DIV/0!</v>
      </c>
      <c r="Z84" s="60" t="e">
        <f t="shared" si="45"/>
        <v>#DIV/0!</v>
      </c>
      <c r="AA84" s="45"/>
      <c r="AB84" s="45"/>
      <c r="AC84" s="45"/>
      <c r="AD84" s="45"/>
      <c r="AE84" s="46">
        <f t="shared" si="29"/>
        <v>0</v>
      </c>
      <c r="AF84" s="45"/>
      <c r="AG84" s="45"/>
      <c r="AH84" s="45"/>
      <c r="AI84" s="45"/>
      <c r="AJ84" s="61">
        <f t="shared" si="30"/>
        <v>0</v>
      </c>
      <c r="AK84" s="62"/>
      <c r="AL84" s="45"/>
      <c r="AM84" s="45"/>
      <c r="AN84" s="45"/>
      <c r="AO84" s="63">
        <f t="shared" si="31"/>
        <v>0</v>
      </c>
      <c r="AP84" s="64"/>
      <c r="AQ84" s="45"/>
      <c r="AR84" s="45"/>
      <c r="AS84" s="45"/>
      <c r="AT84" s="46">
        <f t="shared" si="32"/>
        <v>0</v>
      </c>
      <c r="AU84" s="45"/>
      <c r="AV84" s="45"/>
      <c r="AW84" s="45"/>
      <c r="AX84" s="45"/>
      <c r="AY84" s="46">
        <f t="shared" si="33"/>
        <v>0</v>
      </c>
      <c r="AZ84" s="45"/>
      <c r="BA84" s="45"/>
      <c r="BB84" s="45"/>
      <c r="BC84" s="45"/>
      <c r="BD84" s="47">
        <f t="shared" si="34"/>
        <v>0</v>
      </c>
      <c r="BE84" s="45"/>
      <c r="BF84" s="45"/>
      <c r="BG84" s="45"/>
      <c r="BH84" s="45"/>
      <c r="BI84" s="45"/>
      <c r="BJ84" s="45"/>
      <c r="BK84" s="45"/>
      <c r="BL84" s="45"/>
      <c r="BM84" s="45"/>
      <c r="BN84" s="46">
        <f t="shared" si="35"/>
        <v>0</v>
      </c>
      <c r="BO84" s="45"/>
      <c r="BP84" s="45"/>
      <c r="BQ84" s="45"/>
      <c r="BR84" s="45"/>
      <c r="BS84" s="46">
        <f t="shared" si="36"/>
        <v>0</v>
      </c>
      <c r="BT84" s="45"/>
      <c r="BU84" s="45"/>
      <c r="BV84" s="45"/>
      <c r="BW84" s="45"/>
      <c r="BX84" s="46">
        <f t="shared" si="37"/>
        <v>0</v>
      </c>
      <c r="BY84" s="45"/>
      <c r="BZ84" s="45"/>
      <c r="CA84" s="45"/>
      <c r="CB84" s="45"/>
      <c r="CC84" s="46">
        <f t="shared" si="38"/>
        <v>0</v>
      </c>
      <c r="CD84" s="45"/>
      <c r="CE84" s="45"/>
      <c r="CF84" s="45"/>
      <c r="CG84" s="45"/>
      <c r="CH84" s="46">
        <f t="shared" si="39"/>
        <v>0</v>
      </c>
      <c r="CI84" s="45"/>
      <c r="CJ84" s="45"/>
      <c r="CK84" s="45"/>
      <c r="CL84" s="45"/>
      <c r="CM84" s="46">
        <f t="shared" si="40"/>
        <v>0</v>
      </c>
    </row>
    <row r="85" spans="1:91">
      <c r="A85" s="45">
        <v>0</v>
      </c>
      <c r="B85" s="50">
        <f t="shared" si="41"/>
        <v>81</v>
      </c>
      <c r="C85" s="51"/>
      <c r="D85" s="45"/>
      <c r="E85" s="45"/>
      <c r="F85" s="45"/>
      <c r="G85" s="45"/>
      <c r="H85" s="45"/>
      <c r="I85" s="52"/>
      <c r="J85" s="45" t="s">
        <v>3575</v>
      </c>
      <c r="K85" s="53"/>
      <c r="L85" s="54" t="e">
        <f>INDEX([1]Timeline!$E$10:$E$24,MATCH(A85,[1]Timeline!$C$10:$C$24,0))</f>
        <v>#N/A</v>
      </c>
      <c r="M85" s="55">
        <v>44561</v>
      </c>
      <c r="N85" s="56"/>
      <c r="O85" s="57">
        <v>0</v>
      </c>
      <c r="P85" s="56" t="e">
        <f t="shared" si="27"/>
        <v>#N/A</v>
      </c>
      <c r="Q85" s="56"/>
      <c r="R85" s="56"/>
      <c r="S85" s="56"/>
      <c r="T85" s="58">
        <f t="shared" si="25"/>
        <v>0</v>
      </c>
      <c r="U85" s="58" t="e">
        <f t="shared" si="42"/>
        <v>#N/A</v>
      </c>
      <c r="V85" s="58" t="e">
        <f t="shared" si="28"/>
        <v>#N/A</v>
      </c>
      <c r="W85" s="45">
        <v>1</v>
      </c>
      <c r="X85" s="59" t="e">
        <f t="shared" si="43"/>
        <v>#DIV/0!</v>
      </c>
      <c r="Y85" s="59" t="e">
        <f t="shared" si="44"/>
        <v>#DIV/0!</v>
      </c>
      <c r="Z85" s="60" t="e">
        <f t="shared" si="45"/>
        <v>#DIV/0!</v>
      </c>
      <c r="AA85" s="45"/>
      <c r="AB85" s="45"/>
      <c r="AC85" s="45"/>
      <c r="AD85" s="45"/>
      <c r="AE85" s="46">
        <f t="shared" si="29"/>
        <v>0</v>
      </c>
      <c r="AF85" s="45"/>
      <c r="AG85" s="45"/>
      <c r="AH85" s="45"/>
      <c r="AI85" s="45"/>
      <c r="AJ85" s="61">
        <f t="shared" si="30"/>
        <v>0</v>
      </c>
      <c r="AK85" s="62"/>
      <c r="AL85" s="45"/>
      <c r="AM85" s="45"/>
      <c r="AN85" s="45"/>
      <c r="AO85" s="63">
        <f t="shared" si="31"/>
        <v>0</v>
      </c>
      <c r="AP85" s="64"/>
      <c r="AQ85" s="45"/>
      <c r="AR85" s="45"/>
      <c r="AS85" s="45"/>
      <c r="AT85" s="46">
        <f t="shared" si="32"/>
        <v>0</v>
      </c>
      <c r="AU85" s="45"/>
      <c r="AV85" s="45"/>
      <c r="AW85" s="45"/>
      <c r="AX85" s="45"/>
      <c r="AY85" s="46">
        <f t="shared" si="33"/>
        <v>0</v>
      </c>
      <c r="AZ85" s="45"/>
      <c r="BA85" s="45"/>
      <c r="BB85" s="45"/>
      <c r="BC85" s="45"/>
      <c r="BD85" s="47">
        <f t="shared" si="34"/>
        <v>0</v>
      </c>
      <c r="BE85" s="45"/>
      <c r="BF85" s="45"/>
      <c r="BG85" s="45"/>
      <c r="BH85" s="45"/>
      <c r="BI85" s="45"/>
      <c r="BJ85" s="45"/>
      <c r="BK85" s="45"/>
      <c r="BL85" s="45"/>
      <c r="BM85" s="45"/>
      <c r="BN85" s="46">
        <f t="shared" si="35"/>
        <v>0</v>
      </c>
      <c r="BO85" s="45"/>
      <c r="BP85" s="45"/>
      <c r="BQ85" s="45"/>
      <c r="BR85" s="45"/>
      <c r="BS85" s="46">
        <f t="shared" si="36"/>
        <v>0</v>
      </c>
      <c r="BT85" s="45"/>
      <c r="BU85" s="45"/>
      <c r="BV85" s="45"/>
      <c r="BW85" s="45"/>
      <c r="BX85" s="46">
        <f t="shared" si="37"/>
        <v>0</v>
      </c>
      <c r="BY85" s="45"/>
      <c r="BZ85" s="45"/>
      <c r="CA85" s="45"/>
      <c r="CB85" s="45"/>
      <c r="CC85" s="46">
        <f t="shared" si="38"/>
        <v>0</v>
      </c>
      <c r="CD85" s="45"/>
      <c r="CE85" s="45"/>
      <c r="CF85" s="45"/>
      <c r="CG85" s="45"/>
      <c r="CH85" s="46">
        <f t="shared" si="39"/>
        <v>0</v>
      </c>
      <c r="CI85" s="45"/>
      <c r="CJ85" s="45"/>
      <c r="CK85" s="45"/>
      <c r="CL85" s="45"/>
      <c r="CM85" s="46">
        <f t="shared" si="40"/>
        <v>0</v>
      </c>
    </row>
    <row r="86" spans="1:91">
      <c r="A86" s="45">
        <v>0</v>
      </c>
      <c r="B86" s="50">
        <f t="shared" si="41"/>
        <v>82</v>
      </c>
      <c r="C86" s="51"/>
      <c r="D86" s="45"/>
      <c r="E86" s="45"/>
      <c r="F86" s="45"/>
      <c r="G86" s="45"/>
      <c r="H86" s="45"/>
      <c r="I86" s="52"/>
      <c r="J86" s="45" t="s">
        <v>3575</v>
      </c>
      <c r="K86" s="53"/>
      <c r="L86" s="54" t="e">
        <f>INDEX([1]Timeline!$E$10:$E$24,MATCH(A86,[1]Timeline!$C$10:$C$24,0))</f>
        <v>#N/A</v>
      </c>
      <c r="M86" s="55">
        <v>44561</v>
      </c>
      <c r="N86" s="56"/>
      <c r="O86" s="57">
        <v>0</v>
      </c>
      <c r="P86" s="56" t="e">
        <f t="shared" si="27"/>
        <v>#N/A</v>
      </c>
      <c r="Q86" s="56"/>
      <c r="R86" s="56"/>
      <c r="S86" s="56"/>
      <c r="T86" s="58">
        <f t="shared" si="25"/>
        <v>0</v>
      </c>
      <c r="U86" s="58" t="e">
        <f t="shared" si="42"/>
        <v>#N/A</v>
      </c>
      <c r="V86" s="58" t="e">
        <f t="shared" si="28"/>
        <v>#N/A</v>
      </c>
      <c r="W86" s="45">
        <v>1</v>
      </c>
      <c r="X86" s="59" t="e">
        <f t="shared" si="43"/>
        <v>#DIV/0!</v>
      </c>
      <c r="Y86" s="59" t="e">
        <f t="shared" si="44"/>
        <v>#DIV/0!</v>
      </c>
      <c r="Z86" s="60" t="e">
        <f t="shared" si="45"/>
        <v>#DIV/0!</v>
      </c>
      <c r="AA86" s="45"/>
      <c r="AB86" s="45"/>
      <c r="AC86" s="45"/>
      <c r="AD86" s="45"/>
      <c r="AE86" s="46">
        <f t="shared" si="29"/>
        <v>0</v>
      </c>
      <c r="AF86" s="45"/>
      <c r="AG86" s="45"/>
      <c r="AH86" s="45"/>
      <c r="AI86" s="45"/>
      <c r="AJ86" s="61">
        <f t="shared" si="30"/>
        <v>0</v>
      </c>
      <c r="AK86" s="62"/>
      <c r="AL86" s="45"/>
      <c r="AM86" s="45"/>
      <c r="AN86" s="45"/>
      <c r="AO86" s="63">
        <f t="shared" si="31"/>
        <v>0</v>
      </c>
      <c r="AP86" s="64"/>
      <c r="AQ86" s="45"/>
      <c r="AR86" s="45"/>
      <c r="AS86" s="45"/>
      <c r="AT86" s="46">
        <f t="shared" si="32"/>
        <v>0</v>
      </c>
      <c r="AU86" s="45"/>
      <c r="AV86" s="45"/>
      <c r="AW86" s="45"/>
      <c r="AX86" s="45"/>
      <c r="AY86" s="46">
        <f t="shared" si="33"/>
        <v>0</v>
      </c>
      <c r="AZ86" s="45"/>
      <c r="BA86" s="45"/>
      <c r="BB86" s="45"/>
      <c r="BC86" s="45"/>
      <c r="BD86" s="47">
        <f t="shared" si="34"/>
        <v>0</v>
      </c>
      <c r="BE86" s="45"/>
      <c r="BF86" s="45"/>
      <c r="BG86" s="45"/>
      <c r="BH86" s="45"/>
      <c r="BI86" s="45"/>
      <c r="BJ86" s="45"/>
      <c r="BK86" s="45"/>
      <c r="BL86" s="45"/>
      <c r="BM86" s="45"/>
      <c r="BN86" s="46">
        <f t="shared" si="35"/>
        <v>0</v>
      </c>
      <c r="BO86" s="45"/>
      <c r="BP86" s="45"/>
      <c r="BQ86" s="45"/>
      <c r="BR86" s="45"/>
      <c r="BS86" s="46">
        <f t="shared" si="36"/>
        <v>0</v>
      </c>
      <c r="BT86" s="45"/>
      <c r="BU86" s="45"/>
      <c r="BV86" s="45"/>
      <c r="BW86" s="45"/>
      <c r="BX86" s="46">
        <f t="shared" si="37"/>
        <v>0</v>
      </c>
      <c r="BY86" s="45"/>
      <c r="BZ86" s="45"/>
      <c r="CA86" s="45"/>
      <c r="CB86" s="45"/>
      <c r="CC86" s="46">
        <f t="shared" si="38"/>
        <v>0</v>
      </c>
      <c r="CD86" s="45"/>
      <c r="CE86" s="45"/>
      <c r="CF86" s="45"/>
      <c r="CG86" s="45"/>
      <c r="CH86" s="46">
        <f t="shared" si="39"/>
        <v>0</v>
      </c>
      <c r="CI86" s="45"/>
      <c r="CJ86" s="45"/>
      <c r="CK86" s="45"/>
      <c r="CL86" s="45"/>
      <c r="CM86" s="46">
        <f t="shared" si="40"/>
        <v>0</v>
      </c>
    </row>
    <row r="87" spans="1:91">
      <c r="A87" s="45">
        <v>0</v>
      </c>
      <c r="B87" s="50">
        <f t="shared" si="41"/>
        <v>83</v>
      </c>
      <c r="C87" s="51"/>
      <c r="D87" s="45"/>
      <c r="E87" s="45"/>
      <c r="F87" s="45"/>
      <c r="G87" s="45"/>
      <c r="H87" s="45"/>
      <c r="I87" s="52"/>
      <c r="J87" s="45" t="s">
        <v>3575</v>
      </c>
      <c r="K87" s="53"/>
      <c r="L87" s="54" t="e">
        <f>INDEX([1]Timeline!$E$10:$E$24,MATCH(A87,[1]Timeline!$C$10:$C$24,0))</f>
        <v>#N/A</v>
      </c>
      <c r="M87" s="55">
        <v>44561</v>
      </c>
      <c r="N87" s="56"/>
      <c r="O87" s="57">
        <v>0</v>
      </c>
      <c r="P87" s="56" t="e">
        <f t="shared" si="27"/>
        <v>#N/A</v>
      </c>
      <c r="Q87" s="56"/>
      <c r="R87" s="56"/>
      <c r="S87" s="56"/>
      <c r="T87" s="58">
        <f t="shared" si="25"/>
        <v>0</v>
      </c>
      <c r="U87" s="58" t="e">
        <f t="shared" si="42"/>
        <v>#N/A</v>
      </c>
      <c r="V87" s="58" t="e">
        <f t="shared" si="28"/>
        <v>#N/A</v>
      </c>
      <c r="W87" s="45">
        <v>1</v>
      </c>
      <c r="X87" s="59" t="e">
        <f t="shared" si="43"/>
        <v>#DIV/0!</v>
      </c>
      <c r="Y87" s="59" t="e">
        <f t="shared" si="44"/>
        <v>#DIV/0!</v>
      </c>
      <c r="Z87" s="60" t="e">
        <f t="shared" si="45"/>
        <v>#DIV/0!</v>
      </c>
      <c r="AA87" s="45"/>
      <c r="AB87" s="45"/>
      <c r="AC87" s="45"/>
      <c r="AD87" s="45"/>
      <c r="AE87" s="46">
        <f t="shared" si="29"/>
        <v>0</v>
      </c>
      <c r="AF87" s="45"/>
      <c r="AG87" s="45"/>
      <c r="AH87" s="45"/>
      <c r="AI87" s="45"/>
      <c r="AJ87" s="61">
        <f t="shared" si="30"/>
        <v>0</v>
      </c>
      <c r="AK87" s="62"/>
      <c r="AL87" s="45"/>
      <c r="AM87" s="45"/>
      <c r="AN87" s="45"/>
      <c r="AO87" s="63">
        <f t="shared" si="31"/>
        <v>0</v>
      </c>
      <c r="AP87" s="64"/>
      <c r="AQ87" s="45"/>
      <c r="AR87" s="45"/>
      <c r="AS87" s="45"/>
      <c r="AT87" s="46">
        <f t="shared" si="32"/>
        <v>0</v>
      </c>
      <c r="AU87" s="45"/>
      <c r="AV87" s="45"/>
      <c r="AW87" s="45"/>
      <c r="AX87" s="45"/>
      <c r="AY87" s="46">
        <f t="shared" si="33"/>
        <v>0</v>
      </c>
      <c r="AZ87" s="45"/>
      <c r="BA87" s="45"/>
      <c r="BB87" s="45"/>
      <c r="BC87" s="45"/>
      <c r="BD87" s="47">
        <f t="shared" si="34"/>
        <v>0</v>
      </c>
      <c r="BE87" s="45"/>
      <c r="BF87" s="45"/>
      <c r="BG87" s="45"/>
      <c r="BH87" s="45"/>
      <c r="BI87" s="45"/>
      <c r="BJ87" s="45"/>
      <c r="BK87" s="45"/>
      <c r="BL87" s="45"/>
      <c r="BM87" s="45"/>
      <c r="BN87" s="46">
        <f t="shared" si="35"/>
        <v>0</v>
      </c>
      <c r="BO87" s="45"/>
      <c r="BP87" s="45"/>
      <c r="BQ87" s="45"/>
      <c r="BR87" s="45"/>
      <c r="BS87" s="46">
        <f t="shared" si="36"/>
        <v>0</v>
      </c>
      <c r="BT87" s="45"/>
      <c r="BU87" s="45"/>
      <c r="BV87" s="45"/>
      <c r="BW87" s="45"/>
      <c r="BX87" s="46">
        <f t="shared" si="37"/>
        <v>0</v>
      </c>
      <c r="BY87" s="45"/>
      <c r="BZ87" s="45"/>
      <c r="CA87" s="45"/>
      <c r="CB87" s="45"/>
      <c r="CC87" s="46">
        <f t="shared" si="38"/>
        <v>0</v>
      </c>
      <c r="CD87" s="45"/>
      <c r="CE87" s="45"/>
      <c r="CF87" s="45"/>
      <c r="CG87" s="45"/>
      <c r="CH87" s="46">
        <f t="shared" si="39"/>
        <v>0</v>
      </c>
      <c r="CI87" s="45"/>
      <c r="CJ87" s="45"/>
      <c r="CK87" s="45"/>
      <c r="CL87" s="45"/>
      <c r="CM87" s="46">
        <f t="shared" si="40"/>
        <v>0</v>
      </c>
    </row>
    <row r="88" spans="1:91">
      <c r="A88" s="45">
        <v>0</v>
      </c>
      <c r="B88" s="50">
        <f t="shared" si="41"/>
        <v>84</v>
      </c>
      <c r="C88" s="51"/>
      <c r="D88" s="45"/>
      <c r="E88" s="45"/>
      <c r="F88" s="45"/>
      <c r="G88" s="45"/>
      <c r="H88" s="45"/>
      <c r="I88" s="52"/>
      <c r="J88" s="45" t="s">
        <v>3575</v>
      </c>
      <c r="K88" s="53"/>
      <c r="L88" s="54" t="e">
        <f>INDEX([1]Timeline!$E$10:$E$24,MATCH(A88,[1]Timeline!$C$10:$C$24,0))</f>
        <v>#N/A</v>
      </c>
      <c r="M88" s="55">
        <v>44561</v>
      </c>
      <c r="N88" s="56"/>
      <c r="O88" s="57">
        <v>0</v>
      </c>
      <c r="P88" s="56" t="e">
        <f t="shared" si="27"/>
        <v>#N/A</v>
      </c>
      <c r="Q88" s="56"/>
      <c r="R88" s="56"/>
      <c r="S88" s="56"/>
      <c r="T88" s="58">
        <f t="shared" si="25"/>
        <v>0</v>
      </c>
      <c r="U88" s="58" t="e">
        <f t="shared" si="42"/>
        <v>#N/A</v>
      </c>
      <c r="V88" s="58" t="e">
        <f t="shared" si="28"/>
        <v>#N/A</v>
      </c>
      <c r="W88" s="45">
        <v>1</v>
      </c>
      <c r="X88" s="59" t="e">
        <f t="shared" si="43"/>
        <v>#DIV/0!</v>
      </c>
      <c r="Y88" s="59" t="e">
        <f t="shared" si="44"/>
        <v>#DIV/0!</v>
      </c>
      <c r="Z88" s="60" t="e">
        <f t="shared" si="45"/>
        <v>#DIV/0!</v>
      </c>
      <c r="AA88" s="45"/>
      <c r="AB88" s="45"/>
      <c r="AC88" s="45"/>
      <c r="AD88" s="45"/>
      <c r="AE88" s="46">
        <f t="shared" si="29"/>
        <v>0</v>
      </c>
      <c r="AF88" s="45"/>
      <c r="AG88" s="45"/>
      <c r="AH88" s="45"/>
      <c r="AI88" s="45"/>
      <c r="AJ88" s="61">
        <f t="shared" si="30"/>
        <v>0</v>
      </c>
      <c r="AK88" s="62"/>
      <c r="AL88" s="45"/>
      <c r="AM88" s="45"/>
      <c r="AN88" s="45"/>
      <c r="AO88" s="63">
        <f t="shared" si="31"/>
        <v>0</v>
      </c>
      <c r="AP88" s="64"/>
      <c r="AQ88" s="45"/>
      <c r="AR88" s="45"/>
      <c r="AS88" s="45"/>
      <c r="AT88" s="46">
        <f t="shared" si="32"/>
        <v>0</v>
      </c>
      <c r="AU88" s="45"/>
      <c r="AV88" s="45"/>
      <c r="AW88" s="45"/>
      <c r="AX88" s="45"/>
      <c r="AY88" s="46">
        <f t="shared" si="33"/>
        <v>0</v>
      </c>
      <c r="AZ88" s="45"/>
      <c r="BA88" s="45"/>
      <c r="BB88" s="45"/>
      <c r="BC88" s="45"/>
      <c r="BD88" s="47">
        <f t="shared" si="34"/>
        <v>0</v>
      </c>
      <c r="BE88" s="45"/>
      <c r="BF88" s="45"/>
      <c r="BG88" s="45"/>
      <c r="BH88" s="45"/>
      <c r="BI88" s="45"/>
      <c r="BJ88" s="45"/>
      <c r="BK88" s="45"/>
      <c r="BL88" s="45"/>
      <c r="BM88" s="45"/>
      <c r="BN88" s="46">
        <f t="shared" si="35"/>
        <v>0</v>
      </c>
      <c r="BO88" s="45"/>
      <c r="BP88" s="45"/>
      <c r="BQ88" s="45"/>
      <c r="BR88" s="45"/>
      <c r="BS88" s="46">
        <f t="shared" si="36"/>
        <v>0</v>
      </c>
      <c r="BT88" s="45"/>
      <c r="BU88" s="45"/>
      <c r="BV88" s="45"/>
      <c r="BW88" s="45"/>
      <c r="BX88" s="46">
        <f t="shared" si="37"/>
        <v>0</v>
      </c>
      <c r="BY88" s="45"/>
      <c r="BZ88" s="45"/>
      <c r="CA88" s="45"/>
      <c r="CB88" s="45"/>
      <c r="CC88" s="46">
        <f t="shared" si="38"/>
        <v>0</v>
      </c>
      <c r="CD88" s="45"/>
      <c r="CE88" s="45"/>
      <c r="CF88" s="45"/>
      <c r="CG88" s="45"/>
      <c r="CH88" s="46">
        <f t="shared" si="39"/>
        <v>0</v>
      </c>
      <c r="CI88" s="45"/>
      <c r="CJ88" s="45"/>
      <c r="CK88" s="45"/>
      <c r="CL88" s="45"/>
      <c r="CM88" s="46">
        <f t="shared" si="40"/>
        <v>0</v>
      </c>
    </row>
    <row r="89" spans="1:91">
      <c r="A89" s="45">
        <v>0</v>
      </c>
      <c r="B89" s="50">
        <f t="shared" si="41"/>
        <v>85</v>
      </c>
      <c r="C89" s="51"/>
      <c r="D89" s="45"/>
      <c r="E89" s="45"/>
      <c r="F89" s="45"/>
      <c r="G89" s="45"/>
      <c r="H89" s="45"/>
      <c r="I89" s="52"/>
      <c r="J89" s="45" t="s">
        <v>3575</v>
      </c>
      <c r="K89" s="53"/>
      <c r="L89" s="54" t="e">
        <f>INDEX([1]Timeline!$E$10:$E$24,MATCH(A89,[1]Timeline!$C$10:$C$24,0))</f>
        <v>#N/A</v>
      </c>
      <c r="M89" s="55">
        <v>44561</v>
      </c>
      <c r="N89" s="56"/>
      <c r="O89" s="57">
        <v>0</v>
      </c>
      <c r="P89" s="56" t="e">
        <f t="shared" si="27"/>
        <v>#N/A</v>
      </c>
      <c r="Q89" s="56"/>
      <c r="R89" s="56"/>
      <c r="S89" s="56"/>
      <c r="T89" s="58">
        <f t="shared" si="25"/>
        <v>0</v>
      </c>
      <c r="U89" s="58" t="e">
        <f t="shared" si="42"/>
        <v>#N/A</v>
      </c>
      <c r="V89" s="58" t="e">
        <f t="shared" si="28"/>
        <v>#N/A</v>
      </c>
      <c r="W89" s="45">
        <v>1</v>
      </c>
      <c r="X89" s="59" t="e">
        <f t="shared" si="43"/>
        <v>#DIV/0!</v>
      </c>
      <c r="Y89" s="59" t="e">
        <f t="shared" si="44"/>
        <v>#DIV/0!</v>
      </c>
      <c r="Z89" s="60" t="e">
        <f t="shared" si="45"/>
        <v>#DIV/0!</v>
      </c>
      <c r="AA89" s="45"/>
      <c r="AB89" s="45"/>
      <c r="AC89" s="45"/>
      <c r="AD89" s="45"/>
      <c r="AE89" s="46">
        <f t="shared" si="29"/>
        <v>0</v>
      </c>
      <c r="AF89" s="45"/>
      <c r="AG89" s="45"/>
      <c r="AH89" s="45"/>
      <c r="AI89" s="45"/>
      <c r="AJ89" s="61">
        <f t="shared" si="30"/>
        <v>0</v>
      </c>
      <c r="AK89" s="62"/>
      <c r="AL89" s="45"/>
      <c r="AM89" s="45"/>
      <c r="AN89" s="45"/>
      <c r="AO89" s="63">
        <f t="shared" si="31"/>
        <v>0</v>
      </c>
      <c r="AP89" s="64"/>
      <c r="AQ89" s="45"/>
      <c r="AR89" s="45"/>
      <c r="AS89" s="45"/>
      <c r="AT89" s="46">
        <f t="shared" si="32"/>
        <v>0</v>
      </c>
      <c r="AU89" s="45"/>
      <c r="AV89" s="45"/>
      <c r="AW89" s="45"/>
      <c r="AX89" s="45"/>
      <c r="AY89" s="46">
        <f t="shared" si="33"/>
        <v>0</v>
      </c>
      <c r="AZ89" s="45"/>
      <c r="BA89" s="45"/>
      <c r="BB89" s="45"/>
      <c r="BC89" s="45"/>
      <c r="BD89" s="47">
        <f t="shared" si="34"/>
        <v>0</v>
      </c>
      <c r="BE89" s="45"/>
      <c r="BF89" s="45"/>
      <c r="BG89" s="45"/>
      <c r="BH89" s="45"/>
      <c r="BI89" s="45"/>
      <c r="BJ89" s="45"/>
      <c r="BK89" s="45"/>
      <c r="BL89" s="45"/>
      <c r="BM89" s="45"/>
      <c r="BN89" s="46">
        <f t="shared" si="35"/>
        <v>0</v>
      </c>
      <c r="BO89" s="45"/>
      <c r="BP89" s="45"/>
      <c r="BQ89" s="45"/>
      <c r="BR89" s="45"/>
      <c r="BS89" s="46">
        <f t="shared" si="36"/>
        <v>0</v>
      </c>
      <c r="BT89" s="45"/>
      <c r="BU89" s="45"/>
      <c r="BV89" s="45"/>
      <c r="BW89" s="45"/>
      <c r="BX89" s="46">
        <f t="shared" si="37"/>
        <v>0</v>
      </c>
      <c r="BY89" s="45"/>
      <c r="BZ89" s="45"/>
      <c r="CA89" s="45"/>
      <c r="CB89" s="45"/>
      <c r="CC89" s="46">
        <f t="shared" si="38"/>
        <v>0</v>
      </c>
      <c r="CD89" s="45"/>
      <c r="CE89" s="45"/>
      <c r="CF89" s="45"/>
      <c r="CG89" s="45"/>
      <c r="CH89" s="46">
        <f t="shared" si="39"/>
        <v>0</v>
      </c>
      <c r="CI89" s="45"/>
      <c r="CJ89" s="45"/>
      <c r="CK89" s="45"/>
      <c r="CL89" s="45"/>
      <c r="CM89" s="46">
        <f t="shared" si="40"/>
        <v>0</v>
      </c>
    </row>
    <row r="90" spans="1:91">
      <c r="A90" s="45">
        <v>0</v>
      </c>
      <c r="B90" s="50">
        <f t="shared" si="41"/>
        <v>86</v>
      </c>
      <c r="C90" s="51"/>
      <c r="D90" s="45"/>
      <c r="E90" s="45"/>
      <c r="F90" s="45"/>
      <c r="G90" s="45"/>
      <c r="H90" s="45"/>
      <c r="I90" s="52"/>
      <c r="J90" s="45" t="s">
        <v>3575</v>
      </c>
      <c r="K90" s="53"/>
      <c r="L90" s="54" t="e">
        <f>INDEX([1]Timeline!$E$10:$E$24,MATCH(A90,[1]Timeline!$C$10:$C$24,0))</f>
        <v>#N/A</v>
      </c>
      <c r="M90" s="55">
        <v>44561</v>
      </c>
      <c r="N90" s="56"/>
      <c r="O90" s="57">
        <v>0</v>
      </c>
      <c r="P90" s="56" t="e">
        <f t="shared" si="27"/>
        <v>#N/A</v>
      </c>
      <c r="Q90" s="56"/>
      <c r="R90" s="56"/>
      <c r="S90" s="56"/>
      <c r="T90" s="58">
        <f t="shared" si="25"/>
        <v>0</v>
      </c>
      <c r="U90" s="58" t="e">
        <f t="shared" si="42"/>
        <v>#N/A</v>
      </c>
      <c r="V90" s="58" t="e">
        <f t="shared" si="28"/>
        <v>#N/A</v>
      </c>
      <c r="W90" s="45">
        <v>1</v>
      </c>
      <c r="X90" s="59" t="e">
        <f t="shared" si="43"/>
        <v>#DIV/0!</v>
      </c>
      <c r="Y90" s="59" t="e">
        <f t="shared" si="44"/>
        <v>#DIV/0!</v>
      </c>
      <c r="Z90" s="60" t="e">
        <f t="shared" si="45"/>
        <v>#DIV/0!</v>
      </c>
      <c r="AA90" s="45"/>
      <c r="AB90" s="45"/>
      <c r="AC90" s="45"/>
      <c r="AD90" s="45"/>
      <c r="AE90" s="46">
        <f t="shared" si="29"/>
        <v>0</v>
      </c>
      <c r="AF90" s="45"/>
      <c r="AG90" s="45"/>
      <c r="AH90" s="45"/>
      <c r="AI90" s="45"/>
      <c r="AJ90" s="61">
        <f t="shared" si="30"/>
        <v>0</v>
      </c>
      <c r="AK90" s="62"/>
      <c r="AL90" s="45"/>
      <c r="AM90" s="45"/>
      <c r="AN90" s="45"/>
      <c r="AO90" s="63">
        <f t="shared" si="31"/>
        <v>0</v>
      </c>
      <c r="AP90" s="64"/>
      <c r="AQ90" s="45"/>
      <c r="AR90" s="45"/>
      <c r="AS90" s="45"/>
      <c r="AT90" s="46">
        <f t="shared" si="32"/>
        <v>0</v>
      </c>
      <c r="AU90" s="45"/>
      <c r="AV90" s="45"/>
      <c r="AW90" s="45"/>
      <c r="AX90" s="45"/>
      <c r="AY90" s="46">
        <f t="shared" si="33"/>
        <v>0</v>
      </c>
      <c r="AZ90" s="45"/>
      <c r="BA90" s="45"/>
      <c r="BB90" s="45"/>
      <c r="BC90" s="45"/>
      <c r="BD90" s="47">
        <f t="shared" si="34"/>
        <v>0</v>
      </c>
      <c r="BE90" s="45"/>
      <c r="BF90" s="45"/>
      <c r="BG90" s="45"/>
      <c r="BH90" s="45"/>
      <c r="BI90" s="45"/>
      <c r="BJ90" s="45"/>
      <c r="BK90" s="45"/>
      <c r="BL90" s="45"/>
      <c r="BM90" s="45"/>
      <c r="BN90" s="46">
        <f t="shared" si="35"/>
        <v>0</v>
      </c>
      <c r="BO90" s="45"/>
      <c r="BP90" s="45"/>
      <c r="BQ90" s="45"/>
      <c r="BR90" s="45"/>
      <c r="BS90" s="46">
        <f t="shared" si="36"/>
        <v>0</v>
      </c>
      <c r="BT90" s="45"/>
      <c r="BU90" s="45"/>
      <c r="BV90" s="45"/>
      <c r="BW90" s="45"/>
      <c r="BX90" s="46">
        <f t="shared" si="37"/>
        <v>0</v>
      </c>
      <c r="BY90" s="45"/>
      <c r="BZ90" s="45"/>
      <c r="CA90" s="45"/>
      <c r="CB90" s="45"/>
      <c r="CC90" s="46">
        <f t="shared" si="38"/>
        <v>0</v>
      </c>
      <c r="CD90" s="45"/>
      <c r="CE90" s="45"/>
      <c r="CF90" s="45"/>
      <c r="CG90" s="45"/>
      <c r="CH90" s="46">
        <f t="shared" si="39"/>
        <v>0</v>
      </c>
      <c r="CI90" s="45"/>
      <c r="CJ90" s="45"/>
      <c r="CK90" s="45"/>
      <c r="CL90" s="45"/>
      <c r="CM90" s="46">
        <f t="shared" si="40"/>
        <v>0</v>
      </c>
    </row>
    <row r="91" spans="1:91">
      <c r="A91" s="45">
        <v>0</v>
      </c>
      <c r="B91" s="50">
        <f t="shared" si="41"/>
        <v>87</v>
      </c>
      <c r="C91" s="51"/>
      <c r="D91" s="45"/>
      <c r="E91" s="45"/>
      <c r="F91" s="45"/>
      <c r="G91" s="45"/>
      <c r="H91" s="45"/>
      <c r="I91" s="52"/>
      <c r="J91" s="45" t="s">
        <v>3575</v>
      </c>
      <c r="K91" s="53"/>
      <c r="L91" s="54" t="e">
        <f>INDEX([1]Timeline!$E$10:$E$24,MATCH(A91,[1]Timeline!$C$10:$C$24,0))</f>
        <v>#N/A</v>
      </c>
      <c r="M91" s="55">
        <v>44561</v>
      </c>
      <c r="N91" s="56"/>
      <c r="O91" s="57">
        <v>0</v>
      </c>
      <c r="P91" s="56" t="e">
        <f t="shared" si="27"/>
        <v>#N/A</v>
      </c>
      <c r="Q91" s="56"/>
      <c r="R91" s="56"/>
      <c r="S91" s="56"/>
      <c r="T91" s="58">
        <f t="shared" si="25"/>
        <v>0</v>
      </c>
      <c r="U91" s="58" t="e">
        <f t="shared" si="42"/>
        <v>#N/A</v>
      </c>
      <c r="V91" s="58" t="e">
        <f t="shared" si="28"/>
        <v>#N/A</v>
      </c>
      <c r="W91" s="45">
        <v>1</v>
      </c>
      <c r="X91" s="59" t="e">
        <f t="shared" si="43"/>
        <v>#DIV/0!</v>
      </c>
      <c r="Y91" s="59" t="e">
        <f t="shared" si="44"/>
        <v>#DIV/0!</v>
      </c>
      <c r="Z91" s="60" t="e">
        <f t="shared" si="45"/>
        <v>#DIV/0!</v>
      </c>
      <c r="AA91" s="45"/>
      <c r="AB91" s="45"/>
      <c r="AC91" s="45"/>
      <c r="AD91" s="45"/>
      <c r="AE91" s="46">
        <f t="shared" si="29"/>
        <v>0</v>
      </c>
      <c r="AF91" s="45"/>
      <c r="AG91" s="45"/>
      <c r="AH91" s="45"/>
      <c r="AI91" s="45"/>
      <c r="AJ91" s="61">
        <f t="shared" si="30"/>
        <v>0</v>
      </c>
      <c r="AK91" s="62"/>
      <c r="AL91" s="45"/>
      <c r="AM91" s="45"/>
      <c r="AN91" s="45"/>
      <c r="AO91" s="63">
        <f t="shared" si="31"/>
        <v>0</v>
      </c>
      <c r="AP91" s="64"/>
      <c r="AQ91" s="45"/>
      <c r="AR91" s="45"/>
      <c r="AS91" s="45"/>
      <c r="AT91" s="46">
        <f t="shared" si="32"/>
        <v>0</v>
      </c>
      <c r="AU91" s="45"/>
      <c r="AV91" s="45"/>
      <c r="AW91" s="45"/>
      <c r="AX91" s="45"/>
      <c r="AY91" s="46">
        <f t="shared" si="33"/>
        <v>0</v>
      </c>
      <c r="AZ91" s="45"/>
      <c r="BA91" s="45"/>
      <c r="BB91" s="45"/>
      <c r="BC91" s="45"/>
      <c r="BD91" s="47">
        <f t="shared" si="34"/>
        <v>0</v>
      </c>
      <c r="BE91" s="45"/>
      <c r="BF91" s="45"/>
      <c r="BG91" s="45"/>
      <c r="BH91" s="45"/>
      <c r="BI91" s="45"/>
      <c r="BJ91" s="45"/>
      <c r="BK91" s="45"/>
      <c r="BL91" s="45"/>
      <c r="BM91" s="45"/>
      <c r="BN91" s="46">
        <f t="shared" si="35"/>
        <v>0</v>
      </c>
      <c r="BO91" s="45"/>
      <c r="BP91" s="45"/>
      <c r="BQ91" s="45"/>
      <c r="BR91" s="45"/>
      <c r="BS91" s="46">
        <f t="shared" si="36"/>
        <v>0</v>
      </c>
      <c r="BT91" s="45"/>
      <c r="BU91" s="45"/>
      <c r="BV91" s="45"/>
      <c r="BW91" s="45"/>
      <c r="BX91" s="46">
        <f t="shared" si="37"/>
        <v>0</v>
      </c>
      <c r="BY91" s="45"/>
      <c r="BZ91" s="45"/>
      <c r="CA91" s="45"/>
      <c r="CB91" s="45"/>
      <c r="CC91" s="46">
        <f t="shared" si="38"/>
        <v>0</v>
      </c>
      <c r="CD91" s="45"/>
      <c r="CE91" s="45"/>
      <c r="CF91" s="45"/>
      <c r="CG91" s="45"/>
      <c r="CH91" s="46">
        <f t="shared" si="39"/>
        <v>0</v>
      </c>
      <c r="CI91" s="45"/>
      <c r="CJ91" s="45"/>
      <c r="CK91" s="45"/>
      <c r="CL91" s="45"/>
      <c r="CM91" s="46">
        <f t="shared" si="40"/>
        <v>0</v>
      </c>
    </row>
    <row r="92" spans="1:91">
      <c r="A92" s="45">
        <v>0</v>
      </c>
      <c r="B92" s="50">
        <f t="shared" si="41"/>
        <v>88</v>
      </c>
      <c r="C92" s="51"/>
      <c r="D92" s="45"/>
      <c r="E92" s="45"/>
      <c r="F92" s="45"/>
      <c r="G92" s="45"/>
      <c r="H92" s="45"/>
      <c r="I92" s="52"/>
      <c r="J92" s="45" t="s">
        <v>3575</v>
      </c>
      <c r="K92" s="53"/>
      <c r="L92" s="54" t="e">
        <f>INDEX([1]Timeline!$E$10:$E$24,MATCH(A92,[1]Timeline!$C$10:$C$24,0))</f>
        <v>#N/A</v>
      </c>
      <c r="M92" s="55">
        <v>44561</v>
      </c>
      <c r="N92" s="56"/>
      <c r="O92" s="57">
        <v>0</v>
      </c>
      <c r="P92" s="56" t="e">
        <f t="shared" si="27"/>
        <v>#N/A</v>
      </c>
      <c r="Q92" s="56"/>
      <c r="R92" s="56"/>
      <c r="S92" s="56"/>
      <c r="T92" s="58">
        <f t="shared" si="25"/>
        <v>0</v>
      </c>
      <c r="U92" s="58" t="e">
        <f t="shared" si="42"/>
        <v>#N/A</v>
      </c>
      <c r="V92" s="58" t="e">
        <f t="shared" si="28"/>
        <v>#N/A</v>
      </c>
      <c r="W92" s="45">
        <v>1</v>
      </c>
      <c r="X92" s="59" t="e">
        <f t="shared" si="43"/>
        <v>#DIV/0!</v>
      </c>
      <c r="Y92" s="59" t="e">
        <f t="shared" si="44"/>
        <v>#DIV/0!</v>
      </c>
      <c r="Z92" s="60" t="e">
        <f t="shared" si="45"/>
        <v>#DIV/0!</v>
      </c>
      <c r="AA92" s="45"/>
      <c r="AB92" s="45"/>
      <c r="AC92" s="45"/>
      <c r="AD92" s="45"/>
      <c r="AE92" s="46">
        <f t="shared" si="29"/>
        <v>0</v>
      </c>
      <c r="AF92" s="45"/>
      <c r="AG92" s="45"/>
      <c r="AH92" s="45"/>
      <c r="AI92" s="45"/>
      <c r="AJ92" s="61">
        <f t="shared" si="30"/>
        <v>0</v>
      </c>
      <c r="AK92" s="62"/>
      <c r="AL92" s="45"/>
      <c r="AM92" s="45"/>
      <c r="AN92" s="45"/>
      <c r="AO92" s="63">
        <f t="shared" si="31"/>
        <v>0</v>
      </c>
      <c r="AP92" s="64"/>
      <c r="AQ92" s="45"/>
      <c r="AR92" s="45"/>
      <c r="AS92" s="45"/>
      <c r="AT92" s="46">
        <f t="shared" si="32"/>
        <v>0</v>
      </c>
      <c r="AU92" s="45"/>
      <c r="AV92" s="45"/>
      <c r="AW92" s="45"/>
      <c r="AX92" s="45"/>
      <c r="AY92" s="46">
        <f t="shared" si="33"/>
        <v>0</v>
      </c>
      <c r="AZ92" s="45"/>
      <c r="BA92" s="45"/>
      <c r="BB92" s="45"/>
      <c r="BC92" s="45"/>
      <c r="BD92" s="47">
        <f t="shared" si="34"/>
        <v>0</v>
      </c>
      <c r="BE92" s="45"/>
      <c r="BF92" s="45"/>
      <c r="BG92" s="45"/>
      <c r="BH92" s="45"/>
      <c r="BI92" s="45"/>
      <c r="BJ92" s="45"/>
      <c r="BK92" s="45"/>
      <c r="BL92" s="45"/>
      <c r="BM92" s="45"/>
      <c r="BN92" s="46">
        <f t="shared" si="35"/>
        <v>0</v>
      </c>
      <c r="BO92" s="45"/>
      <c r="BP92" s="45"/>
      <c r="BQ92" s="45"/>
      <c r="BR92" s="45"/>
      <c r="BS92" s="46">
        <f t="shared" si="36"/>
        <v>0</v>
      </c>
      <c r="BT92" s="45"/>
      <c r="BU92" s="45"/>
      <c r="BV92" s="45"/>
      <c r="BW92" s="45"/>
      <c r="BX92" s="46">
        <f t="shared" si="37"/>
        <v>0</v>
      </c>
      <c r="BY92" s="45"/>
      <c r="BZ92" s="45"/>
      <c r="CA92" s="45"/>
      <c r="CB92" s="45"/>
      <c r="CC92" s="46">
        <f t="shared" si="38"/>
        <v>0</v>
      </c>
      <c r="CD92" s="45"/>
      <c r="CE92" s="45"/>
      <c r="CF92" s="45"/>
      <c r="CG92" s="45"/>
      <c r="CH92" s="46">
        <f t="shared" si="39"/>
        <v>0</v>
      </c>
      <c r="CI92" s="45"/>
      <c r="CJ92" s="45"/>
      <c r="CK92" s="45"/>
      <c r="CL92" s="45"/>
      <c r="CM92" s="46">
        <f t="shared" si="40"/>
        <v>0</v>
      </c>
    </row>
    <row r="93" spans="1:91">
      <c r="A93" s="45">
        <v>0</v>
      </c>
      <c r="B93" s="50">
        <f t="shared" si="41"/>
        <v>89</v>
      </c>
      <c r="C93" s="51"/>
      <c r="D93" s="45"/>
      <c r="E93" s="45"/>
      <c r="F93" s="45"/>
      <c r="G93" s="45"/>
      <c r="H93" s="45"/>
      <c r="I93" s="52"/>
      <c r="J93" s="45" t="s">
        <v>3575</v>
      </c>
      <c r="K93" s="53"/>
      <c r="L93" s="54" t="e">
        <f>INDEX([1]Timeline!$E$10:$E$24,MATCH(A93,[1]Timeline!$C$10:$C$24,0))</f>
        <v>#N/A</v>
      </c>
      <c r="M93" s="55">
        <v>44561</v>
      </c>
      <c r="N93" s="56"/>
      <c r="O93" s="57">
        <v>0</v>
      </c>
      <c r="P93" s="56" t="e">
        <f t="shared" si="27"/>
        <v>#N/A</v>
      </c>
      <c r="Q93" s="56"/>
      <c r="R93" s="56"/>
      <c r="S93" s="56"/>
      <c r="T93" s="58">
        <f t="shared" si="25"/>
        <v>0</v>
      </c>
      <c r="U93" s="58" t="e">
        <f t="shared" si="42"/>
        <v>#N/A</v>
      </c>
      <c r="V93" s="58" t="e">
        <f t="shared" si="28"/>
        <v>#N/A</v>
      </c>
      <c r="W93" s="45">
        <v>1</v>
      </c>
      <c r="X93" s="59" t="e">
        <f t="shared" si="43"/>
        <v>#DIV/0!</v>
      </c>
      <c r="Y93" s="59" t="e">
        <f t="shared" si="44"/>
        <v>#DIV/0!</v>
      </c>
      <c r="Z93" s="60" t="e">
        <f t="shared" si="45"/>
        <v>#DIV/0!</v>
      </c>
      <c r="AA93" s="45"/>
      <c r="AB93" s="45"/>
      <c r="AC93" s="45"/>
      <c r="AD93" s="45"/>
      <c r="AE93" s="46">
        <f t="shared" si="29"/>
        <v>0</v>
      </c>
      <c r="AF93" s="45"/>
      <c r="AG93" s="45"/>
      <c r="AH93" s="45"/>
      <c r="AI93" s="45"/>
      <c r="AJ93" s="61">
        <f t="shared" si="30"/>
        <v>0</v>
      </c>
      <c r="AK93" s="62"/>
      <c r="AL93" s="45"/>
      <c r="AM93" s="45"/>
      <c r="AN93" s="45"/>
      <c r="AO93" s="63">
        <f t="shared" si="31"/>
        <v>0</v>
      </c>
      <c r="AP93" s="64"/>
      <c r="AQ93" s="45"/>
      <c r="AR93" s="45"/>
      <c r="AS93" s="45"/>
      <c r="AT93" s="46">
        <f t="shared" si="32"/>
        <v>0</v>
      </c>
      <c r="AU93" s="45"/>
      <c r="AV93" s="45"/>
      <c r="AW93" s="45"/>
      <c r="AX93" s="45"/>
      <c r="AY93" s="46">
        <f t="shared" si="33"/>
        <v>0</v>
      </c>
      <c r="AZ93" s="45"/>
      <c r="BA93" s="45"/>
      <c r="BB93" s="45"/>
      <c r="BC93" s="45"/>
      <c r="BD93" s="47">
        <f t="shared" si="34"/>
        <v>0</v>
      </c>
      <c r="BE93" s="45"/>
      <c r="BF93" s="45"/>
      <c r="BG93" s="45"/>
      <c r="BH93" s="45"/>
      <c r="BI93" s="45"/>
      <c r="BJ93" s="45"/>
      <c r="BK93" s="45"/>
      <c r="BL93" s="45"/>
      <c r="BM93" s="45"/>
      <c r="BN93" s="46">
        <f t="shared" si="35"/>
        <v>0</v>
      </c>
      <c r="BO93" s="45"/>
      <c r="BP93" s="45"/>
      <c r="BQ93" s="45"/>
      <c r="BR93" s="45"/>
      <c r="BS93" s="46">
        <f t="shared" si="36"/>
        <v>0</v>
      </c>
      <c r="BT93" s="45"/>
      <c r="BU93" s="45"/>
      <c r="BV93" s="45"/>
      <c r="BW93" s="45"/>
      <c r="BX93" s="46">
        <f t="shared" si="37"/>
        <v>0</v>
      </c>
      <c r="BY93" s="45"/>
      <c r="BZ93" s="45"/>
      <c r="CA93" s="45"/>
      <c r="CB93" s="45"/>
      <c r="CC93" s="46">
        <f t="shared" si="38"/>
        <v>0</v>
      </c>
      <c r="CD93" s="45"/>
      <c r="CE93" s="45"/>
      <c r="CF93" s="45"/>
      <c r="CG93" s="45"/>
      <c r="CH93" s="46">
        <f t="shared" si="39"/>
        <v>0</v>
      </c>
      <c r="CI93" s="45"/>
      <c r="CJ93" s="45"/>
      <c r="CK93" s="45"/>
      <c r="CL93" s="45"/>
      <c r="CM93" s="46">
        <f t="shared" si="40"/>
        <v>0</v>
      </c>
    </row>
    <row r="94" spans="1:91">
      <c r="A94" s="45">
        <v>0</v>
      </c>
      <c r="B94" s="50">
        <f t="shared" si="41"/>
        <v>90</v>
      </c>
      <c r="C94" s="51"/>
      <c r="D94" s="45"/>
      <c r="E94" s="45"/>
      <c r="F94" s="45"/>
      <c r="G94" s="45"/>
      <c r="H94" s="45"/>
      <c r="I94" s="52"/>
      <c r="J94" s="45" t="s">
        <v>3575</v>
      </c>
      <c r="K94" s="53"/>
      <c r="L94" s="54" t="e">
        <f>INDEX([1]Timeline!$E$10:$E$24,MATCH(A94,[1]Timeline!$C$10:$C$24,0))</f>
        <v>#N/A</v>
      </c>
      <c r="M94" s="55">
        <v>44561</v>
      </c>
      <c r="N94" s="56"/>
      <c r="O94" s="57">
        <v>0</v>
      </c>
      <c r="P94" s="56" t="e">
        <f t="shared" si="27"/>
        <v>#N/A</v>
      </c>
      <c r="Q94" s="56"/>
      <c r="R94" s="56"/>
      <c r="S94" s="56"/>
      <c r="T94" s="58">
        <f t="shared" si="25"/>
        <v>0</v>
      </c>
      <c r="U94" s="58" t="e">
        <f t="shared" si="42"/>
        <v>#N/A</v>
      </c>
      <c r="V94" s="58" t="e">
        <f t="shared" si="28"/>
        <v>#N/A</v>
      </c>
      <c r="W94" s="45">
        <v>1</v>
      </c>
      <c r="X94" s="59" t="e">
        <f t="shared" si="43"/>
        <v>#DIV/0!</v>
      </c>
      <c r="Y94" s="59" t="e">
        <f t="shared" si="44"/>
        <v>#DIV/0!</v>
      </c>
      <c r="Z94" s="60" t="e">
        <f t="shared" si="45"/>
        <v>#DIV/0!</v>
      </c>
      <c r="AA94" s="45"/>
      <c r="AB94" s="45"/>
      <c r="AC94" s="45"/>
      <c r="AD94" s="45"/>
      <c r="AE94" s="46">
        <f t="shared" si="29"/>
        <v>0</v>
      </c>
      <c r="AF94" s="45"/>
      <c r="AG94" s="45"/>
      <c r="AH94" s="45"/>
      <c r="AI94" s="45"/>
      <c r="AJ94" s="61">
        <f t="shared" si="30"/>
        <v>0</v>
      </c>
      <c r="AK94" s="62"/>
      <c r="AL94" s="45"/>
      <c r="AM94" s="45"/>
      <c r="AN94" s="45"/>
      <c r="AO94" s="63">
        <f t="shared" si="31"/>
        <v>0</v>
      </c>
      <c r="AP94" s="64"/>
      <c r="AQ94" s="45"/>
      <c r="AR94" s="45"/>
      <c r="AS94" s="45"/>
      <c r="AT94" s="46">
        <f t="shared" si="32"/>
        <v>0</v>
      </c>
      <c r="AU94" s="45"/>
      <c r="AV94" s="45"/>
      <c r="AW94" s="45"/>
      <c r="AX94" s="45"/>
      <c r="AY94" s="46">
        <f t="shared" si="33"/>
        <v>0</v>
      </c>
      <c r="AZ94" s="45"/>
      <c r="BA94" s="45"/>
      <c r="BB94" s="45"/>
      <c r="BC94" s="45"/>
      <c r="BD94" s="47">
        <f t="shared" si="34"/>
        <v>0</v>
      </c>
      <c r="BE94" s="45"/>
      <c r="BF94" s="45"/>
      <c r="BG94" s="45"/>
      <c r="BH94" s="45"/>
      <c r="BI94" s="45"/>
      <c r="BJ94" s="45"/>
      <c r="BK94" s="45"/>
      <c r="BL94" s="45"/>
      <c r="BM94" s="45"/>
      <c r="BN94" s="46">
        <f t="shared" si="35"/>
        <v>0</v>
      </c>
      <c r="BO94" s="45"/>
      <c r="BP94" s="45"/>
      <c r="BQ94" s="45"/>
      <c r="BR94" s="45"/>
      <c r="BS94" s="46">
        <f t="shared" si="36"/>
        <v>0</v>
      </c>
      <c r="BT94" s="45"/>
      <c r="BU94" s="45"/>
      <c r="BV94" s="45"/>
      <c r="BW94" s="45"/>
      <c r="BX94" s="46">
        <f t="shared" si="37"/>
        <v>0</v>
      </c>
      <c r="BY94" s="45"/>
      <c r="BZ94" s="45"/>
      <c r="CA94" s="45"/>
      <c r="CB94" s="45"/>
      <c r="CC94" s="46">
        <f t="shared" si="38"/>
        <v>0</v>
      </c>
      <c r="CD94" s="45"/>
      <c r="CE94" s="45"/>
      <c r="CF94" s="45"/>
      <c r="CG94" s="45"/>
      <c r="CH94" s="46">
        <f t="shared" si="39"/>
        <v>0</v>
      </c>
      <c r="CI94" s="45"/>
      <c r="CJ94" s="45"/>
      <c r="CK94" s="45"/>
      <c r="CL94" s="45"/>
      <c r="CM94" s="46">
        <f t="shared" si="40"/>
        <v>0</v>
      </c>
    </row>
    <row r="95" spans="1:91">
      <c r="A95" s="45">
        <v>0</v>
      </c>
      <c r="B95" s="50">
        <f t="shared" si="41"/>
        <v>91</v>
      </c>
      <c r="C95" s="51"/>
      <c r="D95" s="45"/>
      <c r="E95" s="45"/>
      <c r="F95" s="45"/>
      <c r="G95" s="45"/>
      <c r="H95" s="45"/>
      <c r="I95" s="52"/>
      <c r="J95" s="45" t="s">
        <v>3575</v>
      </c>
      <c r="K95" s="53"/>
      <c r="L95" s="54" t="e">
        <f>INDEX([1]Timeline!$E$10:$E$24,MATCH(A95,[1]Timeline!$C$10:$C$24,0))</f>
        <v>#N/A</v>
      </c>
      <c r="M95" s="55">
        <v>44561</v>
      </c>
      <c r="N95" s="56"/>
      <c r="O95" s="57">
        <v>0</v>
      </c>
      <c r="P95" s="56" t="e">
        <f t="shared" si="27"/>
        <v>#N/A</v>
      </c>
      <c r="Q95" s="56"/>
      <c r="R95" s="56"/>
      <c r="S95" s="56"/>
      <c r="T95" s="58">
        <f t="shared" si="25"/>
        <v>0</v>
      </c>
      <c r="U95" s="58" t="e">
        <f t="shared" si="42"/>
        <v>#N/A</v>
      </c>
      <c r="V95" s="58" t="e">
        <f t="shared" si="28"/>
        <v>#N/A</v>
      </c>
      <c r="W95" s="45">
        <v>1</v>
      </c>
      <c r="X95" s="59" t="e">
        <f t="shared" si="43"/>
        <v>#DIV/0!</v>
      </c>
      <c r="Y95" s="59" t="e">
        <f t="shared" si="44"/>
        <v>#DIV/0!</v>
      </c>
      <c r="Z95" s="60" t="e">
        <f t="shared" si="45"/>
        <v>#DIV/0!</v>
      </c>
      <c r="AA95" s="45"/>
      <c r="AB95" s="45"/>
      <c r="AC95" s="45"/>
      <c r="AD95" s="45"/>
      <c r="AE95" s="46">
        <f t="shared" si="29"/>
        <v>0</v>
      </c>
      <c r="AF95" s="45"/>
      <c r="AG95" s="45"/>
      <c r="AH95" s="45"/>
      <c r="AI95" s="45"/>
      <c r="AJ95" s="61">
        <f t="shared" si="30"/>
        <v>0</v>
      </c>
      <c r="AK95" s="62"/>
      <c r="AL95" s="45"/>
      <c r="AM95" s="45"/>
      <c r="AN95" s="45"/>
      <c r="AO95" s="63">
        <f t="shared" si="31"/>
        <v>0</v>
      </c>
      <c r="AP95" s="64"/>
      <c r="AQ95" s="45"/>
      <c r="AR95" s="45"/>
      <c r="AS95" s="45"/>
      <c r="AT95" s="46">
        <f t="shared" si="32"/>
        <v>0</v>
      </c>
      <c r="AU95" s="45"/>
      <c r="AV95" s="45"/>
      <c r="AW95" s="45"/>
      <c r="AX95" s="45"/>
      <c r="AY95" s="46">
        <f t="shared" si="33"/>
        <v>0</v>
      </c>
      <c r="AZ95" s="45"/>
      <c r="BA95" s="45"/>
      <c r="BB95" s="45"/>
      <c r="BC95" s="45"/>
      <c r="BD95" s="47">
        <f t="shared" si="34"/>
        <v>0</v>
      </c>
      <c r="BE95" s="45"/>
      <c r="BF95" s="45"/>
      <c r="BG95" s="45"/>
      <c r="BH95" s="45"/>
      <c r="BI95" s="45"/>
      <c r="BJ95" s="45"/>
      <c r="BK95" s="45"/>
      <c r="BL95" s="45"/>
      <c r="BM95" s="45"/>
      <c r="BN95" s="46">
        <f t="shared" si="35"/>
        <v>0</v>
      </c>
      <c r="BO95" s="45"/>
      <c r="BP95" s="45"/>
      <c r="BQ95" s="45"/>
      <c r="BR95" s="45"/>
      <c r="BS95" s="46">
        <f t="shared" si="36"/>
        <v>0</v>
      </c>
      <c r="BT95" s="45"/>
      <c r="BU95" s="45"/>
      <c r="BV95" s="45"/>
      <c r="BW95" s="45"/>
      <c r="BX95" s="46">
        <f t="shared" si="37"/>
        <v>0</v>
      </c>
      <c r="BY95" s="45"/>
      <c r="BZ95" s="45"/>
      <c r="CA95" s="45"/>
      <c r="CB95" s="45"/>
      <c r="CC95" s="46">
        <f t="shared" si="38"/>
        <v>0</v>
      </c>
      <c r="CD95" s="45"/>
      <c r="CE95" s="45"/>
      <c r="CF95" s="45"/>
      <c r="CG95" s="45"/>
      <c r="CH95" s="46">
        <f t="shared" si="39"/>
        <v>0</v>
      </c>
      <c r="CI95" s="45"/>
      <c r="CJ95" s="45"/>
      <c r="CK95" s="45"/>
      <c r="CL95" s="45"/>
      <c r="CM95" s="46">
        <f t="shared" si="40"/>
        <v>0</v>
      </c>
    </row>
    <row r="96" spans="1:91">
      <c r="A96" s="45">
        <v>0</v>
      </c>
      <c r="B96" s="50">
        <f t="shared" si="41"/>
        <v>92</v>
      </c>
      <c r="C96" s="51"/>
      <c r="D96" s="45"/>
      <c r="E96" s="45"/>
      <c r="F96" s="45"/>
      <c r="G96" s="45"/>
      <c r="H96" s="45"/>
      <c r="I96" s="52"/>
      <c r="J96" s="45" t="s">
        <v>3575</v>
      </c>
      <c r="K96" s="53"/>
      <c r="L96" s="54" t="e">
        <f>INDEX([1]Timeline!$E$10:$E$24,MATCH(A96,[1]Timeline!$C$10:$C$24,0))</f>
        <v>#N/A</v>
      </c>
      <c r="M96" s="55">
        <v>44561</v>
      </c>
      <c r="N96" s="56"/>
      <c r="O96" s="57">
        <v>0</v>
      </c>
      <c r="P96" s="56" t="e">
        <f t="shared" si="27"/>
        <v>#N/A</v>
      </c>
      <c r="Q96" s="56"/>
      <c r="R96" s="56"/>
      <c r="S96" s="56"/>
      <c r="T96" s="58">
        <f t="shared" si="25"/>
        <v>0</v>
      </c>
      <c r="U96" s="58" t="e">
        <f t="shared" si="42"/>
        <v>#N/A</v>
      </c>
      <c r="V96" s="58" t="e">
        <f t="shared" si="28"/>
        <v>#N/A</v>
      </c>
      <c r="W96" s="45">
        <v>1</v>
      </c>
      <c r="X96" s="59" t="e">
        <f t="shared" si="43"/>
        <v>#DIV/0!</v>
      </c>
      <c r="Y96" s="59" t="e">
        <f t="shared" si="44"/>
        <v>#DIV/0!</v>
      </c>
      <c r="Z96" s="60" t="e">
        <f t="shared" si="45"/>
        <v>#DIV/0!</v>
      </c>
      <c r="AA96" s="45"/>
      <c r="AB96" s="45"/>
      <c r="AC96" s="45"/>
      <c r="AD96" s="45"/>
      <c r="AE96" s="46">
        <f t="shared" si="29"/>
        <v>0</v>
      </c>
      <c r="AF96" s="45"/>
      <c r="AG96" s="45"/>
      <c r="AH96" s="45"/>
      <c r="AI96" s="45"/>
      <c r="AJ96" s="61">
        <f t="shared" si="30"/>
        <v>0</v>
      </c>
      <c r="AK96" s="62"/>
      <c r="AL96" s="45"/>
      <c r="AM96" s="45"/>
      <c r="AN96" s="45"/>
      <c r="AO96" s="63">
        <f t="shared" si="31"/>
        <v>0</v>
      </c>
      <c r="AP96" s="64"/>
      <c r="AQ96" s="45"/>
      <c r="AR96" s="45"/>
      <c r="AS96" s="45"/>
      <c r="AT96" s="46">
        <f t="shared" si="32"/>
        <v>0</v>
      </c>
      <c r="AU96" s="45"/>
      <c r="AV96" s="45"/>
      <c r="AW96" s="45"/>
      <c r="AX96" s="45"/>
      <c r="AY96" s="46">
        <f t="shared" si="33"/>
        <v>0</v>
      </c>
      <c r="AZ96" s="45"/>
      <c r="BA96" s="45"/>
      <c r="BB96" s="45"/>
      <c r="BC96" s="45"/>
      <c r="BD96" s="47">
        <f t="shared" si="34"/>
        <v>0</v>
      </c>
      <c r="BE96" s="45"/>
      <c r="BF96" s="45"/>
      <c r="BG96" s="45"/>
      <c r="BH96" s="45"/>
      <c r="BI96" s="45"/>
      <c r="BJ96" s="45"/>
      <c r="BK96" s="45"/>
      <c r="BL96" s="45"/>
      <c r="BM96" s="45"/>
      <c r="BN96" s="46">
        <f t="shared" si="35"/>
        <v>0</v>
      </c>
      <c r="BO96" s="45"/>
      <c r="BP96" s="45"/>
      <c r="BQ96" s="45"/>
      <c r="BR96" s="45"/>
      <c r="BS96" s="46">
        <f t="shared" si="36"/>
        <v>0</v>
      </c>
      <c r="BT96" s="45"/>
      <c r="BU96" s="45"/>
      <c r="BV96" s="45"/>
      <c r="BW96" s="45"/>
      <c r="BX96" s="46">
        <f t="shared" si="37"/>
        <v>0</v>
      </c>
      <c r="BY96" s="45"/>
      <c r="BZ96" s="45"/>
      <c r="CA96" s="45"/>
      <c r="CB96" s="45"/>
      <c r="CC96" s="46">
        <f t="shared" si="38"/>
        <v>0</v>
      </c>
      <c r="CD96" s="45"/>
      <c r="CE96" s="45"/>
      <c r="CF96" s="45"/>
      <c r="CG96" s="45"/>
      <c r="CH96" s="46">
        <f t="shared" si="39"/>
        <v>0</v>
      </c>
      <c r="CI96" s="45"/>
      <c r="CJ96" s="45"/>
      <c r="CK96" s="45"/>
      <c r="CL96" s="45"/>
      <c r="CM96" s="46">
        <f t="shared" si="40"/>
        <v>0</v>
      </c>
    </row>
    <row r="97" spans="1:91">
      <c r="A97" s="45">
        <v>0</v>
      </c>
      <c r="B97" s="50">
        <f t="shared" si="41"/>
        <v>93</v>
      </c>
      <c r="C97" s="51"/>
      <c r="D97" s="45"/>
      <c r="E97" s="45"/>
      <c r="F97" s="45"/>
      <c r="G97" s="45"/>
      <c r="H97" s="45"/>
      <c r="I97" s="52"/>
      <c r="J97" s="45" t="s">
        <v>3575</v>
      </c>
      <c r="K97" s="53"/>
      <c r="L97" s="54" t="e">
        <f>INDEX([1]Timeline!$E$10:$E$24,MATCH(A97,[1]Timeline!$C$10:$C$24,0))</f>
        <v>#N/A</v>
      </c>
      <c r="M97" s="55">
        <v>44561</v>
      </c>
      <c r="N97" s="56"/>
      <c r="O97" s="57">
        <v>0</v>
      </c>
      <c r="P97" s="56" t="e">
        <f t="shared" si="27"/>
        <v>#N/A</v>
      </c>
      <c r="Q97" s="56"/>
      <c r="R97" s="56"/>
      <c r="S97" s="56"/>
      <c r="T97" s="58">
        <f t="shared" si="25"/>
        <v>0</v>
      </c>
      <c r="U97" s="58" t="e">
        <f t="shared" si="42"/>
        <v>#N/A</v>
      </c>
      <c r="V97" s="58" t="e">
        <f t="shared" si="28"/>
        <v>#N/A</v>
      </c>
      <c r="W97" s="45">
        <v>1</v>
      </c>
      <c r="X97" s="59" t="e">
        <f t="shared" si="43"/>
        <v>#DIV/0!</v>
      </c>
      <c r="Y97" s="59" t="e">
        <f t="shared" si="44"/>
        <v>#DIV/0!</v>
      </c>
      <c r="Z97" s="60" t="e">
        <f t="shared" si="45"/>
        <v>#DIV/0!</v>
      </c>
      <c r="AA97" s="45"/>
      <c r="AB97" s="45"/>
      <c r="AC97" s="45"/>
      <c r="AD97" s="45"/>
      <c r="AE97" s="46">
        <f t="shared" si="29"/>
        <v>0</v>
      </c>
      <c r="AF97" s="45"/>
      <c r="AG97" s="45"/>
      <c r="AH97" s="45"/>
      <c r="AI97" s="45"/>
      <c r="AJ97" s="61">
        <f t="shared" si="30"/>
        <v>0</v>
      </c>
      <c r="AK97" s="62"/>
      <c r="AL97" s="45"/>
      <c r="AM97" s="45"/>
      <c r="AN97" s="45"/>
      <c r="AO97" s="63">
        <f t="shared" si="31"/>
        <v>0</v>
      </c>
      <c r="AP97" s="64"/>
      <c r="AQ97" s="45"/>
      <c r="AR97" s="45"/>
      <c r="AS97" s="45"/>
      <c r="AT97" s="46">
        <f t="shared" si="32"/>
        <v>0</v>
      </c>
      <c r="AU97" s="45"/>
      <c r="AV97" s="45"/>
      <c r="AW97" s="45"/>
      <c r="AX97" s="45"/>
      <c r="AY97" s="46">
        <f t="shared" si="33"/>
        <v>0</v>
      </c>
      <c r="AZ97" s="45"/>
      <c r="BA97" s="45"/>
      <c r="BB97" s="45"/>
      <c r="BC97" s="45"/>
      <c r="BD97" s="47">
        <f t="shared" si="34"/>
        <v>0</v>
      </c>
      <c r="BE97" s="45"/>
      <c r="BF97" s="45"/>
      <c r="BG97" s="45"/>
      <c r="BH97" s="45"/>
      <c r="BI97" s="45"/>
      <c r="BJ97" s="45"/>
      <c r="BK97" s="45"/>
      <c r="BL97" s="45"/>
      <c r="BM97" s="45"/>
      <c r="BN97" s="46">
        <f t="shared" si="35"/>
        <v>0</v>
      </c>
      <c r="BO97" s="45"/>
      <c r="BP97" s="45"/>
      <c r="BQ97" s="45"/>
      <c r="BR97" s="45"/>
      <c r="BS97" s="46">
        <f t="shared" si="36"/>
        <v>0</v>
      </c>
      <c r="BT97" s="45"/>
      <c r="BU97" s="45"/>
      <c r="BV97" s="45"/>
      <c r="BW97" s="45"/>
      <c r="BX97" s="46">
        <f t="shared" si="37"/>
        <v>0</v>
      </c>
      <c r="BY97" s="45"/>
      <c r="BZ97" s="45"/>
      <c r="CA97" s="45"/>
      <c r="CB97" s="45"/>
      <c r="CC97" s="46">
        <f t="shared" si="38"/>
        <v>0</v>
      </c>
      <c r="CD97" s="45"/>
      <c r="CE97" s="45"/>
      <c r="CF97" s="45"/>
      <c r="CG97" s="45"/>
      <c r="CH97" s="46">
        <f t="shared" si="39"/>
        <v>0</v>
      </c>
      <c r="CI97" s="45"/>
      <c r="CJ97" s="45"/>
      <c r="CK97" s="45"/>
      <c r="CL97" s="45"/>
      <c r="CM97" s="46">
        <f t="shared" si="40"/>
        <v>0</v>
      </c>
    </row>
    <row r="98" spans="1:91">
      <c r="A98" s="45">
        <v>0</v>
      </c>
      <c r="B98" s="50">
        <f t="shared" si="41"/>
        <v>94</v>
      </c>
      <c r="C98" s="51"/>
      <c r="D98" s="45"/>
      <c r="E98" s="45"/>
      <c r="F98" s="45"/>
      <c r="G98" s="45"/>
      <c r="H98" s="45"/>
      <c r="I98" s="52"/>
      <c r="J98" s="45" t="s">
        <v>3575</v>
      </c>
      <c r="K98" s="53"/>
      <c r="L98" s="54" t="e">
        <f>INDEX([1]Timeline!$E$10:$E$24,MATCH(A98,[1]Timeline!$C$10:$C$24,0))</f>
        <v>#N/A</v>
      </c>
      <c r="M98" s="55">
        <v>44561</v>
      </c>
      <c r="N98" s="56"/>
      <c r="O98" s="57">
        <v>0</v>
      </c>
      <c r="P98" s="56" t="e">
        <f t="shared" si="27"/>
        <v>#N/A</v>
      </c>
      <c r="Q98" s="56"/>
      <c r="R98" s="56"/>
      <c r="S98" s="56"/>
      <c r="T98" s="58">
        <f t="shared" si="25"/>
        <v>0</v>
      </c>
      <c r="U98" s="58" t="e">
        <f t="shared" si="42"/>
        <v>#N/A</v>
      </c>
      <c r="V98" s="58" t="e">
        <f t="shared" si="28"/>
        <v>#N/A</v>
      </c>
      <c r="W98" s="45">
        <v>1</v>
      </c>
      <c r="X98" s="59" t="e">
        <f t="shared" si="43"/>
        <v>#DIV/0!</v>
      </c>
      <c r="Y98" s="59" t="e">
        <f t="shared" si="44"/>
        <v>#DIV/0!</v>
      </c>
      <c r="Z98" s="60" t="e">
        <f t="shared" si="45"/>
        <v>#DIV/0!</v>
      </c>
      <c r="AA98" s="45"/>
      <c r="AB98" s="45"/>
      <c r="AC98" s="45"/>
      <c r="AD98" s="45"/>
      <c r="AE98" s="46">
        <f t="shared" si="29"/>
        <v>0</v>
      </c>
      <c r="AF98" s="45"/>
      <c r="AG98" s="45"/>
      <c r="AH98" s="45"/>
      <c r="AI98" s="45"/>
      <c r="AJ98" s="61">
        <f t="shared" si="30"/>
        <v>0</v>
      </c>
      <c r="AK98" s="62"/>
      <c r="AL98" s="45"/>
      <c r="AM98" s="45"/>
      <c r="AN98" s="45"/>
      <c r="AO98" s="63">
        <f t="shared" si="31"/>
        <v>0</v>
      </c>
      <c r="AP98" s="64"/>
      <c r="AQ98" s="45"/>
      <c r="AR98" s="45"/>
      <c r="AS98" s="45"/>
      <c r="AT98" s="46">
        <f t="shared" si="32"/>
        <v>0</v>
      </c>
      <c r="AU98" s="45"/>
      <c r="AV98" s="45"/>
      <c r="AW98" s="45"/>
      <c r="AX98" s="45"/>
      <c r="AY98" s="46">
        <f t="shared" si="33"/>
        <v>0</v>
      </c>
      <c r="AZ98" s="45"/>
      <c r="BA98" s="45"/>
      <c r="BB98" s="45"/>
      <c r="BC98" s="45"/>
      <c r="BD98" s="47">
        <f t="shared" si="34"/>
        <v>0</v>
      </c>
      <c r="BE98" s="45"/>
      <c r="BF98" s="45"/>
      <c r="BG98" s="45"/>
      <c r="BH98" s="45"/>
      <c r="BI98" s="45"/>
      <c r="BJ98" s="45"/>
      <c r="BK98" s="45"/>
      <c r="BL98" s="45"/>
      <c r="BM98" s="45"/>
      <c r="BN98" s="46">
        <f t="shared" si="35"/>
        <v>0</v>
      </c>
      <c r="BO98" s="45"/>
      <c r="BP98" s="45"/>
      <c r="BQ98" s="45"/>
      <c r="BR98" s="45"/>
      <c r="BS98" s="46">
        <f t="shared" si="36"/>
        <v>0</v>
      </c>
      <c r="BT98" s="45"/>
      <c r="BU98" s="45"/>
      <c r="BV98" s="45"/>
      <c r="BW98" s="45"/>
      <c r="BX98" s="46">
        <f t="shared" si="37"/>
        <v>0</v>
      </c>
      <c r="BY98" s="45"/>
      <c r="BZ98" s="45"/>
      <c r="CA98" s="45"/>
      <c r="CB98" s="45"/>
      <c r="CC98" s="46">
        <f t="shared" si="38"/>
        <v>0</v>
      </c>
      <c r="CD98" s="45"/>
      <c r="CE98" s="45"/>
      <c r="CF98" s="45"/>
      <c r="CG98" s="45"/>
      <c r="CH98" s="46">
        <f t="shared" si="39"/>
        <v>0</v>
      </c>
      <c r="CI98" s="45"/>
      <c r="CJ98" s="45"/>
      <c r="CK98" s="45"/>
      <c r="CL98" s="45"/>
      <c r="CM98" s="46">
        <f t="shared" si="40"/>
        <v>0</v>
      </c>
    </row>
    <row r="99" spans="1:91">
      <c r="A99" s="45">
        <v>0</v>
      </c>
      <c r="B99" s="50">
        <f t="shared" si="41"/>
        <v>95</v>
      </c>
      <c r="C99" s="51"/>
      <c r="D99" s="45"/>
      <c r="E99" s="45"/>
      <c r="F99" s="45"/>
      <c r="G99" s="45"/>
      <c r="H99" s="45"/>
      <c r="I99" s="52"/>
      <c r="J99" s="45" t="s">
        <v>3575</v>
      </c>
      <c r="K99" s="53"/>
      <c r="L99" s="54" t="e">
        <f>INDEX([1]Timeline!$E$10:$E$24,MATCH(A99,[1]Timeline!$C$10:$C$24,0))</f>
        <v>#N/A</v>
      </c>
      <c r="M99" s="55">
        <v>44561</v>
      </c>
      <c r="N99" s="56"/>
      <c r="O99" s="57">
        <v>0</v>
      </c>
      <c r="P99" s="56" t="e">
        <f t="shared" si="27"/>
        <v>#N/A</v>
      </c>
      <c r="Q99" s="56"/>
      <c r="R99" s="56"/>
      <c r="S99" s="56"/>
      <c r="T99" s="58">
        <f t="shared" si="25"/>
        <v>0</v>
      </c>
      <c r="U99" s="58" t="e">
        <f t="shared" si="42"/>
        <v>#N/A</v>
      </c>
      <c r="V99" s="58" t="e">
        <f t="shared" si="28"/>
        <v>#N/A</v>
      </c>
      <c r="W99" s="45">
        <v>1</v>
      </c>
      <c r="X99" s="59" t="e">
        <f t="shared" si="43"/>
        <v>#DIV/0!</v>
      </c>
      <c r="Y99" s="59" t="e">
        <f t="shared" si="44"/>
        <v>#DIV/0!</v>
      </c>
      <c r="Z99" s="60" t="e">
        <f t="shared" si="45"/>
        <v>#DIV/0!</v>
      </c>
      <c r="AA99" s="45"/>
      <c r="AB99" s="45"/>
      <c r="AC99" s="45"/>
      <c r="AD99" s="45"/>
      <c r="AE99" s="46">
        <f t="shared" si="29"/>
        <v>0</v>
      </c>
      <c r="AF99" s="45"/>
      <c r="AG99" s="45"/>
      <c r="AH99" s="45"/>
      <c r="AI99" s="45"/>
      <c r="AJ99" s="61">
        <f t="shared" si="30"/>
        <v>0</v>
      </c>
      <c r="AK99" s="62"/>
      <c r="AL99" s="45"/>
      <c r="AM99" s="45"/>
      <c r="AN99" s="45"/>
      <c r="AO99" s="63">
        <f t="shared" si="31"/>
        <v>0</v>
      </c>
      <c r="AP99" s="64"/>
      <c r="AQ99" s="45"/>
      <c r="AR99" s="45"/>
      <c r="AS99" s="45"/>
      <c r="AT99" s="46">
        <f t="shared" si="32"/>
        <v>0</v>
      </c>
      <c r="AU99" s="45"/>
      <c r="AV99" s="45"/>
      <c r="AW99" s="45"/>
      <c r="AX99" s="45"/>
      <c r="AY99" s="46">
        <f t="shared" si="33"/>
        <v>0</v>
      </c>
      <c r="AZ99" s="45"/>
      <c r="BA99" s="45"/>
      <c r="BB99" s="45"/>
      <c r="BC99" s="45"/>
      <c r="BD99" s="47">
        <f t="shared" si="34"/>
        <v>0</v>
      </c>
      <c r="BE99" s="45"/>
      <c r="BF99" s="45"/>
      <c r="BG99" s="45"/>
      <c r="BH99" s="45"/>
      <c r="BI99" s="45"/>
      <c r="BJ99" s="45"/>
      <c r="BK99" s="45"/>
      <c r="BL99" s="45"/>
      <c r="BM99" s="45"/>
      <c r="BN99" s="46">
        <f t="shared" si="35"/>
        <v>0</v>
      </c>
      <c r="BO99" s="45"/>
      <c r="BP99" s="45"/>
      <c r="BQ99" s="45"/>
      <c r="BR99" s="45"/>
      <c r="BS99" s="46">
        <f t="shared" si="36"/>
        <v>0</v>
      </c>
      <c r="BT99" s="45"/>
      <c r="BU99" s="45"/>
      <c r="BV99" s="45"/>
      <c r="BW99" s="45"/>
      <c r="BX99" s="46">
        <f t="shared" si="37"/>
        <v>0</v>
      </c>
      <c r="BY99" s="45"/>
      <c r="BZ99" s="45"/>
      <c r="CA99" s="45"/>
      <c r="CB99" s="45"/>
      <c r="CC99" s="46">
        <f t="shared" si="38"/>
        <v>0</v>
      </c>
      <c r="CD99" s="45"/>
      <c r="CE99" s="45"/>
      <c r="CF99" s="45"/>
      <c r="CG99" s="45"/>
      <c r="CH99" s="46">
        <f t="shared" si="39"/>
        <v>0</v>
      </c>
      <c r="CI99" s="45"/>
      <c r="CJ99" s="45"/>
      <c r="CK99" s="45"/>
      <c r="CL99" s="45"/>
      <c r="CM99" s="46">
        <f t="shared" si="40"/>
        <v>0</v>
      </c>
    </row>
    <row r="100" spans="1:91">
      <c r="A100" s="45">
        <v>0</v>
      </c>
      <c r="B100" s="50">
        <f t="shared" si="41"/>
        <v>96</v>
      </c>
      <c r="C100" s="51"/>
      <c r="D100" s="45"/>
      <c r="E100" s="45"/>
      <c r="F100" s="45"/>
      <c r="G100" s="45"/>
      <c r="H100" s="45"/>
      <c r="I100" s="52"/>
      <c r="J100" s="45" t="s">
        <v>3575</v>
      </c>
      <c r="K100" s="53"/>
      <c r="L100" s="54" t="e">
        <f>INDEX([1]Timeline!$E$10:$E$24,MATCH(A100,[1]Timeline!$C$10:$C$24,0))</f>
        <v>#N/A</v>
      </c>
      <c r="M100" s="55">
        <v>44561</v>
      </c>
      <c r="N100" s="56"/>
      <c r="O100" s="57">
        <v>0</v>
      </c>
      <c r="P100" s="56" t="e">
        <f t="shared" si="27"/>
        <v>#N/A</v>
      </c>
      <c r="Q100" s="56"/>
      <c r="R100" s="56"/>
      <c r="S100" s="56"/>
      <c r="T100" s="58">
        <f t="shared" si="25"/>
        <v>0</v>
      </c>
      <c r="U100" s="58" t="e">
        <f t="shared" si="42"/>
        <v>#N/A</v>
      </c>
      <c r="V100" s="58" t="e">
        <f t="shared" si="28"/>
        <v>#N/A</v>
      </c>
      <c r="W100" s="45">
        <v>1</v>
      </c>
      <c r="X100" s="59" t="e">
        <f t="shared" si="43"/>
        <v>#DIV/0!</v>
      </c>
      <c r="Y100" s="59" t="e">
        <f t="shared" si="44"/>
        <v>#DIV/0!</v>
      </c>
      <c r="Z100" s="60" t="e">
        <f t="shared" si="45"/>
        <v>#DIV/0!</v>
      </c>
      <c r="AA100" s="45"/>
      <c r="AB100" s="45"/>
      <c r="AC100" s="45"/>
      <c r="AD100" s="45"/>
      <c r="AE100" s="46">
        <f t="shared" si="29"/>
        <v>0</v>
      </c>
      <c r="AF100" s="45"/>
      <c r="AG100" s="45"/>
      <c r="AH100" s="45"/>
      <c r="AI100" s="45"/>
      <c r="AJ100" s="61">
        <f t="shared" si="30"/>
        <v>0</v>
      </c>
      <c r="AK100" s="62"/>
      <c r="AL100" s="45"/>
      <c r="AM100" s="45"/>
      <c r="AN100" s="45"/>
      <c r="AO100" s="63">
        <f t="shared" si="31"/>
        <v>0</v>
      </c>
      <c r="AP100" s="64"/>
      <c r="AQ100" s="45"/>
      <c r="AR100" s="45"/>
      <c r="AS100" s="45"/>
      <c r="AT100" s="46">
        <f t="shared" si="32"/>
        <v>0</v>
      </c>
      <c r="AU100" s="45"/>
      <c r="AV100" s="45"/>
      <c r="AW100" s="45"/>
      <c r="AX100" s="45"/>
      <c r="AY100" s="46">
        <f t="shared" si="33"/>
        <v>0</v>
      </c>
      <c r="AZ100" s="45"/>
      <c r="BA100" s="45"/>
      <c r="BB100" s="45"/>
      <c r="BC100" s="45"/>
      <c r="BD100" s="47">
        <f t="shared" si="34"/>
        <v>0</v>
      </c>
      <c r="BE100" s="45"/>
      <c r="BF100" s="45"/>
      <c r="BG100" s="45"/>
      <c r="BH100" s="45"/>
      <c r="BI100" s="45"/>
      <c r="BJ100" s="45"/>
      <c r="BK100" s="45"/>
      <c r="BL100" s="45"/>
      <c r="BM100" s="45"/>
      <c r="BN100" s="46">
        <f t="shared" si="35"/>
        <v>0</v>
      </c>
      <c r="BO100" s="45"/>
      <c r="BP100" s="45"/>
      <c r="BQ100" s="45"/>
      <c r="BR100" s="45"/>
      <c r="BS100" s="46">
        <f t="shared" si="36"/>
        <v>0</v>
      </c>
      <c r="BT100" s="45"/>
      <c r="BU100" s="45"/>
      <c r="BV100" s="45"/>
      <c r="BW100" s="45"/>
      <c r="BX100" s="46">
        <f t="shared" si="37"/>
        <v>0</v>
      </c>
      <c r="BY100" s="45"/>
      <c r="BZ100" s="45"/>
      <c r="CA100" s="45"/>
      <c r="CB100" s="45"/>
      <c r="CC100" s="46">
        <f t="shared" si="38"/>
        <v>0</v>
      </c>
      <c r="CD100" s="45"/>
      <c r="CE100" s="45"/>
      <c r="CF100" s="45"/>
      <c r="CG100" s="45"/>
      <c r="CH100" s="46">
        <f t="shared" si="39"/>
        <v>0</v>
      </c>
      <c r="CI100" s="45"/>
      <c r="CJ100" s="45"/>
      <c r="CK100" s="45"/>
      <c r="CL100" s="45"/>
      <c r="CM100" s="46">
        <f t="shared" si="40"/>
        <v>0</v>
      </c>
    </row>
    <row r="101" spans="1:91">
      <c r="A101" s="45">
        <v>0</v>
      </c>
      <c r="B101" s="50">
        <f t="shared" si="41"/>
        <v>97</v>
      </c>
      <c r="C101" s="51"/>
      <c r="D101" s="45"/>
      <c r="E101" s="45"/>
      <c r="F101" s="45"/>
      <c r="G101" s="45"/>
      <c r="H101" s="45"/>
      <c r="I101" s="52"/>
      <c r="J101" s="45" t="s">
        <v>3575</v>
      </c>
      <c r="K101" s="53"/>
      <c r="L101" s="54" t="e">
        <f>INDEX([1]Timeline!$E$10:$E$24,MATCH(A101,[1]Timeline!$C$10:$C$24,0))</f>
        <v>#N/A</v>
      </c>
      <c r="M101" s="55">
        <v>44561</v>
      </c>
      <c r="N101" s="56"/>
      <c r="O101" s="57">
        <v>0</v>
      </c>
      <c r="P101" s="56" t="e">
        <f t="shared" si="27"/>
        <v>#N/A</v>
      </c>
      <c r="Q101" s="56"/>
      <c r="R101" s="56"/>
      <c r="S101" s="56"/>
      <c r="T101" s="58">
        <f t="shared" si="25"/>
        <v>0</v>
      </c>
      <c r="U101" s="58" t="e">
        <f t="shared" si="42"/>
        <v>#N/A</v>
      </c>
      <c r="V101" s="58" t="e">
        <f t="shared" si="28"/>
        <v>#N/A</v>
      </c>
      <c r="W101" s="45">
        <v>1</v>
      </c>
      <c r="X101" s="59" t="e">
        <f t="shared" si="43"/>
        <v>#DIV/0!</v>
      </c>
      <c r="Y101" s="59" t="e">
        <f t="shared" si="44"/>
        <v>#DIV/0!</v>
      </c>
      <c r="Z101" s="60" t="e">
        <f t="shared" si="45"/>
        <v>#DIV/0!</v>
      </c>
      <c r="AA101" s="45"/>
      <c r="AB101" s="45"/>
      <c r="AC101" s="45"/>
      <c r="AD101" s="45"/>
      <c r="AE101" s="46">
        <f t="shared" si="29"/>
        <v>0</v>
      </c>
      <c r="AF101" s="45"/>
      <c r="AG101" s="45"/>
      <c r="AH101" s="45"/>
      <c r="AI101" s="45"/>
      <c r="AJ101" s="61">
        <f t="shared" si="30"/>
        <v>0</v>
      </c>
      <c r="AK101" s="62"/>
      <c r="AL101" s="45"/>
      <c r="AM101" s="45"/>
      <c r="AN101" s="45"/>
      <c r="AO101" s="63">
        <f t="shared" si="31"/>
        <v>0</v>
      </c>
      <c r="AP101" s="64"/>
      <c r="AQ101" s="45"/>
      <c r="AR101" s="45"/>
      <c r="AS101" s="45"/>
      <c r="AT101" s="46">
        <f t="shared" si="32"/>
        <v>0</v>
      </c>
      <c r="AU101" s="45"/>
      <c r="AV101" s="45"/>
      <c r="AW101" s="45"/>
      <c r="AX101" s="45"/>
      <c r="AY101" s="46">
        <f t="shared" si="33"/>
        <v>0</v>
      </c>
      <c r="AZ101" s="45"/>
      <c r="BA101" s="45"/>
      <c r="BB101" s="45"/>
      <c r="BC101" s="45"/>
      <c r="BD101" s="47">
        <f t="shared" si="34"/>
        <v>0</v>
      </c>
      <c r="BE101" s="45"/>
      <c r="BF101" s="45"/>
      <c r="BG101" s="45"/>
      <c r="BH101" s="45"/>
      <c r="BI101" s="45"/>
      <c r="BJ101" s="45"/>
      <c r="BK101" s="45"/>
      <c r="BL101" s="45"/>
      <c r="BM101" s="45"/>
      <c r="BN101" s="46">
        <f t="shared" si="35"/>
        <v>0</v>
      </c>
      <c r="BO101" s="45"/>
      <c r="BP101" s="45"/>
      <c r="BQ101" s="45"/>
      <c r="BR101" s="45"/>
      <c r="BS101" s="46">
        <f t="shared" si="36"/>
        <v>0</v>
      </c>
      <c r="BT101" s="45"/>
      <c r="BU101" s="45"/>
      <c r="BV101" s="45"/>
      <c r="BW101" s="45"/>
      <c r="BX101" s="46">
        <f t="shared" si="37"/>
        <v>0</v>
      </c>
      <c r="BY101" s="45"/>
      <c r="BZ101" s="45"/>
      <c r="CA101" s="45"/>
      <c r="CB101" s="45"/>
      <c r="CC101" s="46">
        <f t="shared" si="38"/>
        <v>0</v>
      </c>
      <c r="CD101" s="45"/>
      <c r="CE101" s="45"/>
      <c r="CF101" s="45"/>
      <c r="CG101" s="45"/>
      <c r="CH101" s="46">
        <f t="shared" si="39"/>
        <v>0</v>
      </c>
      <c r="CI101" s="45"/>
      <c r="CJ101" s="45"/>
      <c r="CK101" s="45"/>
      <c r="CL101" s="45"/>
      <c r="CM101" s="46">
        <f t="shared" si="40"/>
        <v>0</v>
      </c>
    </row>
    <row r="102" spans="1:91">
      <c r="A102" s="45">
        <v>0</v>
      </c>
      <c r="B102" s="50">
        <f t="shared" si="41"/>
        <v>98</v>
      </c>
      <c r="C102" s="51"/>
      <c r="D102" s="45"/>
      <c r="E102" s="45"/>
      <c r="F102" s="45"/>
      <c r="G102" s="45"/>
      <c r="H102" s="45"/>
      <c r="I102" s="52"/>
      <c r="J102" s="45" t="s">
        <v>3575</v>
      </c>
      <c r="K102" s="53"/>
      <c r="L102" s="54" t="e">
        <f>INDEX([1]Timeline!$E$10:$E$24,MATCH(A102,[1]Timeline!$C$10:$C$24,0))</f>
        <v>#N/A</v>
      </c>
      <c r="M102" s="55">
        <v>44561</v>
      </c>
      <c r="N102" s="56"/>
      <c r="O102" s="57">
        <v>0</v>
      </c>
      <c r="P102" s="56" t="e">
        <f t="shared" si="27"/>
        <v>#N/A</v>
      </c>
      <c r="Q102" s="56"/>
      <c r="R102" s="56"/>
      <c r="S102" s="56"/>
      <c r="T102" s="58">
        <f t="shared" si="25"/>
        <v>0</v>
      </c>
      <c r="U102" s="58" t="e">
        <f t="shared" si="42"/>
        <v>#N/A</v>
      </c>
      <c r="V102" s="58" t="e">
        <f t="shared" si="28"/>
        <v>#N/A</v>
      </c>
      <c r="W102" s="45">
        <v>1</v>
      </c>
      <c r="X102" s="59" t="e">
        <f t="shared" si="43"/>
        <v>#DIV/0!</v>
      </c>
      <c r="Y102" s="59" t="e">
        <f t="shared" si="44"/>
        <v>#DIV/0!</v>
      </c>
      <c r="Z102" s="60" t="e">
        <f t="shared" si="45"/>
        <v>#DIV/0!</v>
      </c>
      <c r="AA102" s="45"/>
      <c r="AB102" s="45"/>
      <c r="AC102" s="45"/>
      <c r="AD102" s="45"/>
      <c r="AE102" s="46">
        <f t="shared" si="29"/>
        <v>0</v>
      </c>
      <c r="AF102" s="45"/>
      <c r="AG102" s="45"/>
      <c r="AH102" s="45"/>
      <c r="AI102" s="45"/>
      <c r="AJ102" s="61">
        <f t="shared" si="30"/>
        <v>0</v>
      </c>
      <c r="AK102" s="62"/>
      <c r="AL102" s="45"/>
      <c r="AM102" s="45"/>
      <c r="AN102" s="45"/>
      <c r="AO102" s="63">
        <f t="shared" si="31"/>
        <v>0</v>
      </c>
      <c r="AP102" s="64"/>
      <c r="AQ102" s="45"/>
      <c r="AR102" s="45"/>
      <c r="AS102" s="45"/>
      <c r="AT102" s="46">
        <f t="shared" si="32"/>
        <v>0</v>
      </c>
      <c r="AU102" s="45"/>
      <c r="AV102" s="45"/>
      <c r="AW102" s="45"/>
      <c r="AX102" s="45"/>
      <c r="AY102" s="46">
        <f t="shared" si="33"/>
        <v>0</v>
      </c>
      <c r="AZ102" s="45"/>
      <c r="BA102" s="45"/>
      <c r="BB102" s="45"/>
      <c r="BC102" s="45"/>
      <c r="BD102" s="47">
        <f t="shared" si="34"/>
        <v>0</v>
      </c>
      <c r="BE102" s="45"/>
      <c r="BF102" s="45"/>
      <c r="BG102" s="45"/>
      <c r="BH102" s="45"/>
      <c r="BI102" s="45"/>
      <c r="BJ102" s="45"/>
      <c r="BK102" s="45"/>
      <c r="BL102" s="45"/>
      <c r="BM102" s="45"/>
      <c r="BN102" s="46">
        <f t="shared" si="35"/>
        <v>0</v>
      </c>
      <c r="BO102" s="45"/>
      <c r="BP102" s="45"/>
      <c r="BQ102" s="45"/>
      <c r="BR102" s="45"/>
      <c r="BS102" s="46">
        <f t="shared" si="36"/>
        <v>0</v>
      </c>
      <c r="BT102" s="45"/>
      <c r="BU102" s="45"/>
      <c r="BV102" s="45"/>
      <c r="BW102" s="45"/>
      <c r="BX102" s="46">
        <f t="shared" si="37"/>
        <v>0</v>
      </c>
      <c r="BY102" s="45"/>
      <c r="BZ102" s="45"/>
      <c r="CA102" s="45"/>
      <c r="CB102" s="45"/>
      <c r="CC102" s="46">
        <f t="shared" si="38"/>
        <v>0</v>
      </c>
      <c r="CD102" s="45"/>
      <c r="CE102" s="45"/>
      <c r="CF102" s="45"/>
      <c r="CG102" s="45"/>
      <c r="CH102" s="46">
        <f t="shared" si="39"/>
        <v>0</v>
      </c>
      <c r="CI102" s="45"/>
      <c r="CJ102" s="45"/>
      <c r="CK102" s="45"/>
      <c r="CL102" s="45"/>
      <c r="CM102" s="46">
        <f t="shared" si="40"/>
        <v>0</v>
      </c>
    </row>
    <row r="103" spans="1:91">
      <c r="A103" s="45">
        <v>0</v>
      </c>
      <c r="B103" s="50">
        <f t="shared" si="41"/>
        <v>99</v>
      </c>
      <c r="C103" s="51"/>
      <c r="D103" s="45"/>
      <c r="E103" s="45"/>
      <c r="F103" s="45"/>
      <c r="G103" s="45"/>
      <c r="H103" s="45"/>
      <c r="I103" s="52"/>
      <c r="J103" s="45" t="s">
        <v>3575</v>
      </c>
      <c r="K103" s="53"/>
      <c r="L103" s="54" t="e">
        <f>INDEX([1]Timeline!$E$10:$E$24,MATCH(A103,[1]Timeline!$C$10:$C$24,0))</f>
        <v>#N/A</v>
      </c>
      <c r="M103" s="55">
        <v>44561</v>
      </c>
      <c r="N103" s="56"/>
      <c r="O103" s="57">
        <v>0</v>
      </c>
      <c r="P103" s="56" t="e">
        <f t="shared" si="27"/>
        <v>#N/A</v>
      </c>
      <c r="Q103" s="56"/>
      <c r="R103" s="56"/>
      <c r="S103" s="56"/>
      <c r="T103" s="58">
        <f t="shared" si="25"/>
        <v>0</v>
      </c>
      <c r="U103" s="58" t="e">
        <f t="shared" si="42"/>
        <v>#N/A</v>
      </c>
      <c r="V103" s="58" t="e">
        <f t="shared" si="28"/>
        <v>#N/A</v>
      </c>
      <c r="W103" s="45">
        <v>1</v>
      </c>
      <c r="X103" s="59" t="e">
        <f t="shared" si="43"/>
        <v>#DIV/0!</v>
      </c>
      <c r="Y103" s="59" t="e">
        <f t="shared" si="44"/>
        <v>#DIV/0!</v>
      </c>
      <c r="Z103" s="60" t="e">
        <f t="shared" si="45"/>
        <v>#DIV/0!</v>
      </c>
      <c r="AA103" s="45"/>
      <c r="AB103" s="45"/>
      <c r="AC103" s="45"/>
      <c r="AD103" s="45"/>
      <c r="AE103" s="46">
        <f t="shared" si="29"/>
        <v>0</v>
      </c>
      <c r="AF103" s="45"/>
      <c r="AG103" s="45"/>
      <c r="AH103" s="45"/>
      <c r="AI103" s="45"/>
      <c r="AJ103" s="61">
        <f t="shared" si="30"/>
        <v>0</v>
      </c>
      <c r="AK103" s="62"/>
      <c r="AL103" s="45"/>
      <c r="AM103" s="45"/>
      <c r="AN103" s="45"/>
      <c r="AO103" s="63">
        <f t="shared" si="31"/>
        <v>0</v>
      </c>
      <c r="AP103" s="64"/>
      <c r="AQ103" s="45"/>
      <c r="AR103" s="45"/>
      <c r="AS103" s="45"/>
      <c r="AT103" s="46">
        <f t="shared" si="32"/>
        <v>0</v>
      </c>
      <c r="AU103" s="45"/>
      <c r="AV103" s="45"/>
      <c r="AW103" s="45"/>
      <c r="AX103" s="45"/>
      <c r="AY103" s="46">
        <f t="shared" si="33"/>
        <v>0</v>
      </c>
      <c r="AZ103" s="45"/>
      <c r="BA103" s="45"/>
      <c r="BB103" s="45"/>
      <c r="BC103" s="45"/>
      <c r="BD103" s="47">
        <f t="shared" si="34"/>
        <v>0</v>
      </c>
      <c r="BE103" s="45"/>
      <c r="BF103" s="45"/>
      <c r="BG103" s="45"/>
      <c r="BH103" s="45"/>
      <c r="BI103" s="45"/>
      <c r="BJ103" s="45"/>
      <c r="BK103" s="45"/>
      <c r="BL103" s="45"/>
      <c r="BM103" s="45"/>
      <c r="BN103" s="46">
        <f t="shared" si="35"/>
        <v>0</v>
      </c>
      <c r="BO103" s="45"/>
      <c r="BP103" s="45"/>
      <c r="BQ103" s="45"/>
      <c r="BR103" s="45"/>
      <c r="BS103" s="46">
        <f t="shared" si="36"/>
        <v>0</v>
      </c>
      <c r="BT103" s="45"/>
      <c r="BU103" s="45"/>
      <c r="BV103" s="45"/>
      <c r="BW103" s="45"/>
      <c r="BX103" s="46">
        <f t="shared" si="37"/>
        <v>0</v>
      </c>
      <c r="BY103" s="45"/>
      <c r="BZ103" s="45"/>
      <c r="CA103" s="45"/>
      <c r="CB103" s="45"/>
      <c r="CC103" s="46">
        <f t="shared" si="38"/>
        <v>0</v>
      </c>
      <c r="CD103" s="45"/>
      <c r="CE103" s="45"/>
      <c r="CF103" s="45"/>
      <c r="CG103" s="45"/>
      <c r="CH103" s="46">
        <f t="shared" si="39"/>
        <v>0</v>
      </c>
      <c r="CI103" s="45"/>
      <c r="CJ103" s="45"/>
      <c r="CK103" s="45"/>
      <c r="CL103" s="45"/>
      <c r="CM103" s="46">
        <f t="shared" si="40"/>
        <v>0</v>
      </c>
    </row>
    <row r="104" spans="1:91">
      <c r="A104" s="45">
        <v>0</v>
      </c>
      <c r="B104" s="50">
        <f t="shared" si="41"/>
        <v>100</v>
      </c>
      <c r="C104" s="51"/>
      <c r="D104" s="45"/>
      <c r="E104" s="45"/>
      <c r="F104" s="45"/>
      <c r="G104" s="45"/>
      <c r="H104" s="45"/>
      <c r="I104" s="52"/>
      <c r="J104" s="45" t="s">
        <v>3575</v>
      </c>
      <c r="K104" s="53"/>
      <c r="L104" s="54" t="e">
        <f>INDEX([1]Timeline!$E$10:$E$24,MATCH(A104,[1]Timeline!$C$10:$C$24,0))</f>
        <v>#N/A</v>
      </c>
      <c r="M104" s="55">
        <v>44561</v>
      </c>
      <c r="N104" s="56"/>
      <c r="O104" s="57">
        <v>0</v>
      </c>
      <c r="P104" s="56" t="e">
        <f t="shared" si="27"/>
        <v>#N/A</v>
      </c>
      <c r="Q104" s="56"/>
      <c r="R104" s="56"/>
      <c r="S104" s="56"/>
      <c r="T104" s="58">
        <f t="shared" si="25"/>
        <v>0</v>
      </c>
      <c r="U104" s="58" t="e">
        <f t="shared" si="42"/>
        <v>#N/A</v>
      </c>
      <c r="V104" s="58" t="e">
        <f t="shared" si="28"/>
        <v>#N/A</v>
      </c>
      <c r="W104" s="45">
        <v>1</v>
      </c>
      <c r="X104" s="59" t="e">
        <f t="shared" si="43"/>
        <v>#DIV/0!</v>
      </c>
      <c r="Y104" s="59" t="e">
        <f t="shared" si="44"/>
        <v>#DIV/0!</v>
      </c>
      <c r="Z104" s="60" t="e">
        <f t="shared" si="45"/>
        <v>#DIV/0!</v>
      </c>
      <c r="AA104" s="45"/>
      <c r="AB104" s="45"/>
      <c r="AC104" s="45"/>
      <c r="AD104" s="45"/>
      <c r="AE104" s="46">
        <f t="shared" si="29"/>
        <v>0</v>
      </c>
      <c r="AF104" s="45"/>
      <c r="AG104" s="45"/>
      <c r="AH104" s="45"/>
      <c r="AI104" s="45"/>
      <c r="AJ104" s="61">
        <f t="shared" si="30"/>
        <v>0</v>
      </c>
      <c r="AK104" s="62"/>
      <c r="AL104" s="45"/>
      <c r="AM104" s="45"/>
      <c r="AN104" s="45"/>
      <c r="AO104" s="63">
        <f t="shared" si="31"/>
        <v>0</v>
      </c>
      <c r="AP104" s="64"/>
      <c r="AQ104" s="45"/>
      <c r="AR104" s="45"/>
      <c r="AS104" s="45"/>
      <c r="AT104" s="46">
        <f t="shared" si="32"/>
        <v>0</v>
      </c>
      <c r="AU104" s="45"/>
      <c r="AV104" s="45"/>
      <c r="AW104" s="45"/>
      <c r="AX104" s="45"/>
      <c r="AY104" s="46">
        <f t="shared" si="33"/>
        <v>0</v>
      </c>
      <c r="AZ104" s="45"/>
      <c r="BA104" s="45"/>
      <c r="BB104" s="45"/>
      <c r="BC104" s="45"/>
      <c r="BD104" s="47">
        <f t="shared" si="34"/>
        <v>0</v>
      </c>
      <c r="BE104" s="45"/>
      <c r="BF104" s="45"/>
      <c r="BG104" s="45"/>
      <c r="BH104" s="45"/>
      <c r="BI104" s="45"/>
      <c r="BJ104" s="45"/>
      <c r="BK104" s="45"/>
      <c r="BL104" s="45"/>
      <c r="BM104" s="45"/>
      <c r="BN104" s="46">
        <f t="shared" si="35"/>
        <v>0</v>
      </c>
      <c r="BO104" s="45"/>
      <c r="BP104" s="45"/>
      <c r="BQ104" s="45"/>
      <c r="BR104" s="45"/>
      <c r="BS104" s="46">
        <f t="shared" si="36"/>
        <v>0</v>
      </c>
      <c r="BT104" s="45"/>
      <c r="BU104" s="45"/>
      <c r="BV104" s="45"/>
      <c r="BW104" s="45"/>
      <c r="BX104" s="46">
        <f t="shared" si="37"/>
        <v>0</v>
      </c>
      <c r="BY104" s="45"/>
      <c r="BZ104" s="45"/>
      <c r="CA104" s="45"/>
      <c r="CB104" s="45"/>
      <c r="CC104" s="46">
        <f t="shared" si="38"/>
        <v>0</v>
      </c>
      <c r="CD104" s="45"/>
      <c r="CE104" s="45"/>
      <c r="CF104" s="45"/>
      <c r="CG104" s="45"/>
      <c r="CH104" s="46">
        <f t="shared" si="39"/>
        <v>0</v>
      </c>
      <c r="CI104" s="45"/>
      <c r="CJ104" s="45"/>
      <c r="CK104" s="45"/>
      <c r="CL104" s="45"/>
      <c r="CM104" s="46">
        <f t="shared" si="40"/>
        <v>0</v>
      </c>
    </row>
    <row r="105" spans="1:91">
      <c r="A105" s="45">
        <v>0</v>
      </c>
      <c r="B105" s="50">
        <f t="shared" si="41"/>
        <v>101</v>
      </c>
      <c r="C105" s="51"/>
      <c r="D105" s="45"/>
      <c r="E105" s="45"/>
      <c r="F105" s="45"/>
      <c r="G105" s="45"/>
      <c r="H105" s="45"/>
      <c r="I105" s="52"/>
      <c r="J105" s="45" t="s">
        <v>3575</v>
      </c>
      <c r="K105" s="53"/>
      <c r="L105" s="54" t="e">
        <f>INDEX([1]Timeline!$E$10:$E$24,MATCH(A105,[1]Timeline!$C$10:$C$24,0))</f>
        <v>#N/A</v>
      </c>
      <c r="M105" s="55">
        <v>44561</v>
      </c>
      <c r="N105" s="56"/>
      <c r="O105" s="57">
        <v>0</v>
      </c>
      <c r="P105" s="56" t="e">
        <f t="shared" si="27"/>
        <v>#N/A</v>
      </c>
      <c r="Q105" s="56"/>
      <c r="R105" s="56"/>
      <c r="S105" s="56"/>
      <c r="T105" s="58">
        <f t="shared" si="25"/>
        <v>0</v>
      </c>
      <c r="U105" s="58" t="e">
        <f t="shared" si="42"/>
        <v>#N/A</v>
      </c>
      <c r="V105" s="58" t="e">
        <f t="shared" si="28"/>
        <v>#N/A</v>
      </c>
      <c r="W105" s="45">
        <v>1</v>
      </c>
      <c r="X105" s="59" t="e">
        <f t="shared" si="43"/>
        <v>#DIV/0!</v>
      </c>
      <c r="Y105" s="59" t="e">
        <f t="shared" si="44"/>
        <v>#DIV/0!</v>
      </c>
      <c r="Z105" s="60" t="e">
        <f t="shared" si="45"/>
        <v>#DIV/0!</v>
      </c>
      <c r="AA105" s="45"/>
      <c r="AB105" s="45"/>
      <c r="AC105" s="45"/>
      <c r="AD105" s="45"/>
      <c r="AE105" s="46">
        <f t="shared" si="29"/>
        <v>0</v>
      </c>
      <c r="AF105" s="45"/>
      <c r="AG105" s="45"/>
      <c r="AH105" s="45"/>
      <c r="AI105" s="45"/>
      <c r="AJ105" s="61">
        <f t="shared" si="30"/>
        <v>0</v>
      </c>
      <c r="AK105" s="62"/>
      <c r="AL105" s="45"/>
      <c r="AM105" s="45"/>
      <c r="AN105" s="45"/>
      <c r="AO105" s="63">
        <f t="shared" si="31"/>
        <v>0</v>
      </c>
      <c r="AP105" s="64"/>
      <c r="AQ105" s="45"/>
      <c r="AR105" s="45"/>
      <c r="AS105" s="45"/>
      <c r="AT105" s="46">
        <f t="shared" si="32"/>
        <v>0</v>
      </c>
      <c r="AU105" s="45"/>
      <c r="AV105" s="45"/>
      <c r="AW105" s="45"/>
      <c r="AX105" s="45"/>
      <c r="AY105" s="46">
        <f t="shared" si="33"/>
        <v>0</v>
      </c>
      <c r="AZ105" s="45"/>
      <c r="BA105" s="45"/>
      <c r="BB105" s="45"/>
      <c r="BC105" s="45"/>
      <c r="BD105" s="47">
        <f t="shared" si="34"/>
        <v>0</v>
      </c>
      <c r="BE105" s="45"/>
      <c r="BF105" s="45"/>
      <c r="BG105" s="45"/>
      <c r="BH105" s="45"/>
      <c r="BI105" s="45"/>
      <c r="BJ105" s="45"/>
      <c r="BK105" s="45"/>
      <c r="BL105" s="45"/>
      <c r="BM105" s="45"/>
      <c r="BN105" s="46">
        <f t="shared" si="35"/>
        <v>0</v>
      </c>
      <c r="BO105" s="45"/>
      <c r="BP105" s="45"/>
      <c r="BQ105" s="45"/>
      <c r="BR105" s="45"/>
      <c r="BS105" s="46">
        <f t="shared" si="36"/>
        <v>0</v>
      </c>
      <c r="BT105" s="45"/>
      <c r="BU105" s="45"/>
      <c r="BV105" s="45"/>
      <c r="BW105" s="45"/>
      <c r="BX105" s="46">
        <f t="shared" si="37"/>
        <v>0</v>
      </c>
      <c r="BY105" s="45"/>
      <c r="BZ105" s="45"/>
      <c r="CA105" s="45"/>
      <c r="CB105" s="45"/>
      <c r="CC105" s="46">
        <f t="shared" si="38"/>
        <v>0</v>
      </c>
      <c r="CD105" s="45"/>
      <c r="CE105" s="45"/>
      <c r="CF105" s="45"/>
      <c r="CG105" s="45"/>
      <c r="CH105" s="46">
        <f t="shared" si="39"/>
        <v>0</v>
      </c>
      <c r="CI105" s="45"/>
      <c r="CJ105" s="45"/>
      <c r="CK105" s="45"/>
      <c r="CL105" s="45"/>
      <c r="CM105" s="46">
        <f t="shared" si="40"/>
        <v>0</v>
      </c>
    </row>
    <row r="106" spans="1:91">
      <c r="A106" s="45">
        <v>0</v>
      </c>
      <c r="B106" s="50">
        <f t="shared" si="41"/>
        <v>102</v>
      </c>
      <c r="C106" s="51"/>
      <c r="D106" s="45"/>
      <c r="E106" s="45"/>
      <c r="F106" s="45"/>
      <c r="G106" s="45"/>
      <c r="H106" s="45"/>
      <c r="I106" s="52"/>
      <c r="J106" s="45" t="s">
        <v>3575</v>
      </c>
      <c r="K106" s="53"/>
      <c r="L106" s="54" t="e">
        <f>INDEX([1]Timeline!$E$10:$E$24,MATCH(A106,[1]Timeline!$C$10:$C$24,0))</f>
        <v>#N/A</v>
      </c>
      <c r="M106" s="55">
        <v>44561</v>
      </c>
      <c r="N106" s="56"/>
      <c r="O106" s="57">
        <v>0</v>
      </c>
      <c r="P106" s="56" t="e">
        <f t="shared" si="27"/>
        <v>#N/A</v>
      </c>
      <c r="Q106" s="56"/>
      <c r="R106" s="56"/>
      <c r="S106" s="56"/>
      <c r="T106" s="58">
        <f t="shared" si="25"/>
        <v>0</v>
      </c>
      <c r="U106" s="58" t="e">
        <f t="shared" si="42"/>
        <v>#N/A</v>
      </c>
      <c r="V106" s="58" t="e">
        <f t="shared" si="28"/>
        <v>#N/A</v>
      </c>
      <c r="W106" s="45">
        <v>1</v>
      </c>
      <c r="X106" s="59" t="e">
        <f t="shared" si="43"/>
        <v>#DIV/0!</v>
      </c>
      <c r="Y106" s="59" t="e">
        <f t="shared" si="44"/>
        <v>#DIV/0!</v>
      </c>
      <c r="Z106" s="60" t="e">
        <f t="shared" si="45"/>
        <v>#DIV/0!</v>
      </c>
      <c r="AA106" s="45"/>
      <c r="AB106" s="45"/>
      <c r="AC106" s="45"/>
      <c r="AD106" s="45"/>
      <c r="AE106" s="46">
        <f t="shared" si="29"/>
        <v>0</v>
      </c>
      <c r="AF106" s="45"/>
      <c r="AG106" s="45"/>
      <c r="AH106" s="45"/>
      <c r="AI106" s="45"/>
      <c r="AJ106" s="61">
        <f t="shared" si="30"/>
        <v>0</v>
      </c>
      <c r="AK106" s="62"/>
      <c r="AL106" s="45"/>
      <c r="AM106" s="45"/>
      <c r="AN106" s="45"/>
      <c r="AO106" s="63">
        <f t="shared" si="31"/>
        <v>0</v>
      </c>
      <c r="AP106" s="64"/>
      <c r="AQ106" s="45"/>
      <c r="AR106" s="45"/>
      <c r="AS106" s="45"/>
      <c r="AT106" s="46">
        <f t="shared" si="32"/>
        <v>0</v>
      </c>
      <c r="AU106" s="45"/>
      <c r="AV106" s="45"/>
      <c r="AW106" s="45"/>
      <c r="AX106" s="45"/>
      <c r="AY106" s="46">
        <f t="shared" si="33"/>
        <v>0</v>
      </c>
      <c r="AZ106" s="45"/>
      <c r="BA106" s="45"/>
      <c r="BB106" s="45"/>
      <c r="BC106" s="45"/>
      <c r="BD106" s="47">
        <f t="shared" si="34"/>
        <v>0</v>
      </c>
      <c r="BE106" s="45"/>
      <c r="BF106" s="45"/>
      <c r="BG106" s="45"/>
      <c r="BH106" s="45"/>
      <c r="BI106" s="45"/>
      <c r="BJ106" s="45"/>
      <c r="BK106" s="45"/>
      <c r="BL106" s="45"/>
      <c r="BM106" s="45"/>
      <c r="BN106" s="46">
        <f t="shared" si="35"/>
        <v>0</v>
      </c>
      <c r="BO106" s="45"/>
      <c r="BP106" s="45"/>
      <c r="BQ106" s="45"/>
      <c r="BR106" s="45"/>
      <c r="BS106" s="46">
        <f t="shared" si="36"/>
        <v>0</v>
      </c>
      <c r="BT106" s="45"/>
      <c r="BU106" s="45"/>
      <c r="BV106" s="45"/>
      <c r="BW106" s="45"/>
      <c r="BX106" s="46">
        <f t="shared" si="37"/>
        <v>0</v>
      </c>
      <c r="BY106" s="45"/>
      <c r="BZ106" s="45"/>
      <c r="CA106" s="45"/>
      <c r="CB106" s="45"/>
      <c r="CC106" s="46">
        <f t="shared" si="38"/>
        <v>0</v>
      </c>
      <c r="CD106" s="45"/>
      <c r="CE106" s="45"/>
      <c r="CF106" s="45"/>
      <c r="CG106" s="45"/>
      <c r="CH106" s="46">
        <f t="shared" si="39"/>
        <v>0</v>
      </c>
      <c r="CI106" s="45"/>
      <c r="CJ106" s="45"/>
      <c r="CK106" s="45"/>
      <c r="CL106" s="45"/>
      <c r="CM106" s="46">
        <f t="shared" si="40"/>
        <v>0</v>
      </c>
    </row>
    <row r="107" spans="1:91">
      <c r="A107" s="45">
        <v>0</v>
      </c>
      <c r="B107" s="50">
        <f t="shared" si="41"/>
        <v>103</v>
      </c>
      <c r="C107" s="51"/>
      <c r="D107" s="45"/>
      <c r="E107" s="45"/>
      <c r="F107" s="45"/>
      <c r="G107" s="45"/>
      <c r="H107" s="45"/>
      <c r="I107" s="52"/>
      <c r="J107" s="45" t="s">
        <v>3575</v>
      </c>
      <c r="K107" s="53"/>
      <c r="L107" s="54" t="e">
        <f>INDEX([1]Timeline!$E$10:$E$24,MATCH(A107,[1]Timeline!$C$10:$C$24,0))</f>
        <v>#N/A</v>
      </c>
      <c r="M107" s="55">
        <v>44561</v>
      </c>
      <c r="N107" s="56"/>
      <c r="O107" s="57">
        <v>0</v>
      </c>
      <c r="P107" s="56" t="e">
        <f t="shared" si="27"/>
        <v>#N/A</v>
      </c>
      <c r="Q107" s="56"/>
      <c r="R107" s="56"/>
      <c r="S107" s="56"/>
      <c r="T107" s="58">
        <f t="shared" si="25"/>
        <v>0</v>
      </c>
      <c r="U107" s="58" t="e">
        <f t="shared" si="42"/>
        <v>#N/A</v>
      </c>
      <c r="V107" s="58" t="e">
        <f t="shared" si="28"/>
        <v>#N/A</v>
      </c>
      <c r="W107" s="45">
        <v>1</v>
      </c>
      <c r="X107" s="59" t="e">
        <f t="shared" si="43"/>
        <v>#DIV/0!</v>
      </c>
      <c r="Y107" s="59" t="e">
        <f t="shared" si="44"/>
        <v>#DIV/0!</v>
      </c>
      <c r="Z107" s="60" t="e">
        <f t="shared" si="45"/>
        <v>#DIV/0!</v>
      </c>
      <c r="AA107" s="45"/>
      <c r="AB107" s="45"/>
      <c r="AC107" s="45"/>
      <c r="AD107" s="45"/>
      <c r="AE107" s="46">
        <f t="shared" si="29"/>
        <v>0</v>
      </c>
      <c r="AF107" s="45"/>
      <c r="AG107" s="45"/>
      <c r="AH107" s="45"/>
      <c r="AI107" s="45"/>
      <c r="AJ107" s="61">
        <f t="shared" si="30"/>
        <v>0</v>
      </c>
      <c r="AK107" s="62"/>
      <c r="AL107" s="45"/>
      <c r="AM107" s="45"/>
      <c r="AN107" s="45"/>
      <c r="AO107" s="63">
        <f t="shared" si="31"/>
        <v>0</v>
      </c>
      <c r="AP107" s="64"/>
      <c r="AQ107" s="45"/>
      <c r="AR107" s="45"/>
      <c r="AS107" s="45"/>
      <c r="AT107" s="46">
        <f t="shared" si="32"/>
        <v>0</v>
      </c>
      <c r="AU107" s="45"/>
      <c r="AV107" s="45"/>
      <c r="AW107" s="45"/>
      <c r="AX107" s="45"/>
      <c r="AY107" s="46">
        <f t="shared" si="33"/>
        <v>0</v>
      </c>
      <c r="AZ107" s="45"/>
      <c r="BA107" s="45"/>
      <c r="BB107" s="45"/>
      <c r="BC107" s="45"/>
      <c r="BD107" s="47">
        <f t="shared" si="34"/>
        <v>0</v>
      </c>
      <c r="BE107" s="45"/>
      <c r="BF107" s="45"/>
      <c r="BG107" s="45"/>
      <c r="BH107" s="45"/>
      <c r="BI107" s="45"/>
      <c r="BJ107" s="45"/>
      <c r="BK107" s="45"/>
      <c r="BL107" s="45"/>
      <c r="BM107" s="45"/>
      <c r="BN107" s="46">
        <f t="shared" si="35"/>
        <v>0</v>
      </c>
      <c r="BO107" s="45"/>
      <c r="BP107" s="45"/>
      <c r="BQ107" s="45"/>
      <c r="BR107" s="45"/>
      <c r="BS107" s="46">
        <f t="shared" si="36"/>
        <v>0</v>
      </c>
      <c r="BT107" s="45"/>
      <c r="BU107" s="45"/>
      <c r="BV107" s="45"/>
      <c r="BW107" s="45"/>
      <c r="BX107" s="46">
        <f t="shared" si="37"/>
        <v>0</v>
      </c>
      <c r="BY107" s="45"/>
      <c r="BZ107" s="45"/>
      <c r="CA107" s="45"/>
      <c r="CB107" s="45"/>
      <c r="CC107" s="46">
        <f t="shared" si="38"/>
        <v>0</v>
      </c>
      <c r="CD107" s="45"/>
      <c r="CE107" s="45"/>
      <c r="CF107" s="45"/>
      <c r="CG107" s="45"/>
      <c r="CH107" s="46">
        <f t="shared" si="39"/>
        <v>0</v>
      </c>
      <c r="CI107" s="45"/>
      <c r="CJ107" s="45"/>
      <c r="CK107" s="45"/>
      <c r="CL107" s="45"/>
      <c r="CM107" s="46">
        <f t="shared" si="40"/>
        <v>0</v>
      </c>
    </row>
    <row r="108" spans="1:91">
      <c r="A108" s="45">
        <v>0</v>
      </c>
      <c r="B108" s="50">
        <f t="shared" si="41"/>
        <v>104</v>
      </c>
      <c r="C108" s="51"/>
      <c r="D108" s="45"/>
      <c r="E108" s="45"/>
      <c r="F108" s="45"/>
      <c r="G108" s="45"/>
      <c r="H108" s="45"/>
      <c r="I108" s="52"/>
      <c r="J108" s="45" t="s">
        <v>3575</v>
      </c>
      <c r="K108" s="53"/>
      <c r="L108" s="54" t="e">
        <f>INDEX([1]Timeline!$E$10:$E$24,MATCH(A108,[1]Timeline!$C$10:$C$24,0))</f>
        <v>#N/A</v>
      </c>
      <c r="M108" s="55">
        <v>44561</v>
      </c>
      <c r="N108" s="56"/>
      <c r="O108" s="57">
        <v>0</v>
      </c>
      <c r="P108" s="56" t="e">
        <f t="shared" si="27"/>
        <v>#N/A</v>
      </c>
      <c r="Q108" s="56"/>
      <c r="R108" s="56"/>
      <c r="S108" s="56"/>
      <c r="T108" s="58">
        <f t="shared" si="25"/>
        <v>0</v>
      </c>
      <c r="U108" s="58" t="e">
        <f t="shared" si="42"/>
        <v>#N/A</v>
      </c>
      <c r="V108" s="58" t="e">
        <f t="shared" si="28"/>
        <v>#N/A</v>
      </c>
      <c r="W108" s="45">
        <v>1</v>
      </c>
      <c r="X108" s="59" t="e">
        <f t="shared" si="43"/>
        <v>#DIV/0!</v>
      </c>
      <c r="Y108" s="59" t="e">
        <f t="shared" si="44"/>
        <v>#DIV/0!</v>
      </c>
      <c r="Z108" s="60" t="e">
        <f t="shared" si="45"/>
        <v>#DIV/0!</v>
      </c>
      <c r="AA108" s="45"/>
      <c r="AB108" s="45"/>
      <c r="AC108" s="45"/>
      <c r="AD108" s="45"/>
      <c r="AE108" s="46">
        <f t="shared" si="29"/>
        <v>0</v>
      </c>
      <c r="AF108" s="45"/>
      <c r="AG108" s="45"/>
      <c r="AH108" s="45"/>
      <c r="AI108" s="45"/>
      <c r="AJ108" s="61">
        <f t="shared" si="30"/>
        <v>0</v>
      </c>
      <c r="AK108" s="62"/>
      <c r="AL108" s="45"/>
      <c r="AM108" s="45"/>
      <c r="AN108" s="45"/>
      <c r="AO108" s="63">
        <f t="shared" si="31"/>
        <v>0</v>
      </c>
      <c r="AP108" s="64"/>
      <c r="AQ108" s="45"/>
      <c r="AR108" s="45"/>
      <c r="AS108" s="45"/>
      <c r="AT108" s="46">
        <f t="shared" si="32"/>
        <v>0</v>
      </c>
      <c r="AU108" s="45"/>
      <c r="AV108" s="45"/>
      <c r="AW108" s="45"/>
      <c r="AX108" s="45"/>
      <c r="AY108" s="46">
        <f t="shared" si="33"/>
        <v>0</v>
      </c>
      <c r="AZ108" s="45"/>
      <c r="BA108" s="45"/>
      <c r="BB108" s="45"/>
      <c r="BC108" s="45"/>
      <c r="BD108" s="47">
        <f t="shared" si="34"/>
        <v>0</v>
      </c>
      <c r="BE108" s="45"/>
      <c r="BF108" s="45"/>
      <c r="BG108" s="45"/>
      <c r="BH108" s="45"/>
      <c r="BI108" s="45"/>
      <c r="BJ108" s="45"/>
      <c r="BK108" s="45"/>
      <c r="BL108" s="45"/>
      <c r="BM108" s="45"/>
      <c r="BN108" s="46">
        <f t="shared" si="35"/>
        <v>0</v>
      </c>
      <c r="BO108" s="45"/>
      <c r="BP108" s="45"/>
      <c r="BQ108" s="45"/>
      <c r="BR108" s="45"/>
      <c r="BS108" s="46">
        <f t="shared" si="36"/>
        <v>0</v>
      </c>
      <c r="BT108" s="45"/>
      <c r="BU108" s="45"/>
      <c r="BV108" s="45"/>
      <c r="BW108" s="45"/>
      <c r="BX108" s="46">
        <f t="shared" si="37"/>
        <v>0</v>
      </c>
      <c r="BY108" s="45"/>
      <c r="BZ108" s="45"/>
      <c r="CA108" s="45"/>
      <c r="CB108" s="45"/>
      <c r="CC108" s="46">
        <f t="shared" si="38"/>
        <v>0</v>
      </c>
      <c r="CD108" s="45"/>
      <c r="CE108" s="45"/>
      <c r="CF108" s="45"/>
      <c r="CG108" s="45"/>
      <c r="CH108" s="46">
        <f t="shared" si="39"/>
        <v>0</v>
      </c>
      <c r="CI108" s="45"/>
      <c r="CJ108" s="45"/>
      <c r="CK108" s="45"/>
      <c r="CL108" s="45"/>
      <c r="CM108" s="46">
        <f t="shared" si="40"/>
        <v>0</v>
      </c>
    </row>
    <row r="109" spans="1:91">
      <c r="A109" s="45">
        <v>0</v>
      </c>
      <c r="B109" s="50">
        <f t="shared" si="41"/>
        <v>105</v>
      </c>
      <c r="C109" s="51"/>
      <c r="D109" s="45"/>
      <c r="E109" s="45"/>
      <c r="F109" s="45"/>
      <c r="G109" s="45"/>
      <c r="H109" s="45"/>
      <c r="I109" s="52"/>
      <c r="J109" s="45" t="s">
        <v>3575</v>
      </c>
      <c r="K109" s="53"/>
      <c r="L109" s="54" t="e">
        <f>INDEX([1]Timeline!$E$10:$E$24,MATCH(A109,[1]Timeline!$C$10:$C$24,0))</f>
        <v>#N/A</v>
      </c>
      <c r="M109" s="55">
        <v>44561</v>
      </c>
      <c r="N109" s="56"/>
      <c r="O109" s="57">
        <v>0</v>
      </c>
      <c r="P109" s="56" t="e">
        <f t="shared" si="27"/>
        <v>#N/A</v>
      </c>
      <c r="Q109" s="56"/>
      <c r="R109" s="56"/>
      <c r="S109" s="56"/>
      <c r="T109" s="58">
        <f t="shared" si="25"/>
        <v>0</v>
      </c>
      <c r="U109" s="58" t="e">
        <f t="shared" si="42"/>
        <v>#N/A</v>
      </c>
      <c r="V109" s="58" t="e">
        <f t="shared" si="28"/>
        <v>#N/A</v>
      </c>
      <c r="W109" s="45">
        <v>1</v>
      </c>
      <c r="X109" s="59" t="e">
        <f t="shared" si="43"/>
        <v>#DIV/0!</v>
      </c>
      <c r="Y109" s="59" t="e">
        <f t="shared" si="44"/>
        <v>#DIV/0!</v>
      </c>
      <c r="Z109" s="60" t="e">
        <f t="shared" si="45"/>
        <v>#DIV/0!</v>
      </c>
      <c r="AA109" s="45"/>
      <c r="AB109" s="45"/>
      <c r="AC109" s="45"/>
      <c r="AD109" s="45"/>
      <c r="AE109" s="46">
        <f t="shared" si="29"/>
        <v>0</v>
      </c>
      <c r="AF109" s="45"/>
      <c r="AG109" s="45"/>
      <c r="AH109" s="45"/>
      <c r="AI109" s="45"/>
      <c r="AJ109" s="61">
        <f t="shared" si="30"/>
        <v>0</v>
      </c>
      <c r="AK109" s="62"/>
      <c r="AL109" s="45"/>
      <c r="AM109" s="45"/>
      <c r="AN109" s="45"/>
      <c r="AO109" s="63">
        <f t="shared" si="31"/>
        <v>0</v>
      </c>
      <c r="AP109" s="64"/>
      <c r="AQ109" s="45"/>
      <c r="AR109" s="45"/>
      <c r="AS109" s="45"/>
      <c r="AT109" s="46">
        <f t="shared" si="32"/>
        <v>0</v>
      </c>
      <c r="AU109" s="45"/>
      <c r="AV109" s="45"/>
      <c r="AW109" s="45"/>
      <c r="AX109" s="45"/>
      <c r="AY109" s="46">
        <f t="shared" si="33"/>
        <v>0</v>
      </c>
      <c r="AZ109" s="45"/>
      <c r="BA109" s="45"/>
      <c r="BB109" s="45"/>
      <c r="BC109" s="45"/>
      <c r="BD109" s="47">
        <f t="shared" si="34"/>
        <v>0</v>
      </c>
      <c r="BE109" s="45"/>
      <c r="BF109" s="45"/>
      <c r="BG109" s="45"/>
      <c r="BH109" s="45"/>
      <c r="BI109" s="45"/>
      <c r="BJ109" s="45"/>
      <c r="BK109" s="45"/>
      <c r="BL109" s="45"/>
      <c r="BM109" s="45"/>
      <c r="BN109" s="46">
        <f t="shared" si="35"/>
        <v>0</v>
      </c>
      <c r="BO109" s="45"/>
      <c r="BP109" s="45"/>
      <c r="BQ109" s="45"/>
      <c r="BR109" s="45"/>
      <c r="BS109" s="46">
        <f t="shared" si="36"/>
        <v>0</v>
      </c>
      <c r="BT109" s="45"/>
      <c r="BU109" s="45"/>
      <c r="BV109" s="45"/>
      <c r="BW109" s="45"/>
      <c r="BX109" s="46">
        <f t="shared" si="37"/>
        <v>0</v>
      </c>
      <c r="BY109" s="45"/>
      <c r="BZ109" s="45"/>
      <c r="CA109" s="45"/>
      <c r="CB109" s="45"/>
      <c r="CC109" s="46">
        <f t="shared" si="38"/>
        <v>0</v>
      </c>
      <c r="CD109" s="45"/>
      <c r="CE109" s="45"/>
      <c r="CF109" s="45"/>
      <c r="CG109" s="45"/>
      <c r="CH109" s="46">
        <f t="shared" si="39"/>
        <v>0</v>
      </c>
      <c r="CI109" s="45"/>
      <c r="CJ109" s="45"/>
      <c r="CK109" s="45"/>
      <c r="CL109" s="45"/>
      <c r="CM109" s="46">
        <f t="shared" si="40"/>
        <v>0</v>
      </c>
    </row>
    <row r="110" spans="1:91">
      <c r="A110" s="45">
        <v>0</v>
      </c>
      <c r="B110" s="50">
        <f t="shared" si="41"/>
        <v>106</v>
      </c>
      <c r="C110" s="51"/>
      <c r="D110" s="45"/>
      <c r="E110" s="45"/>
      <c r="F110" s="45"/>
      <c r="G110" s="45"/>
      <c r="H110" s="45"/>
      <c r="I110" s="52"/>
      <c r="J110" s="45" t="s">
        <v>3575</v>
      </c>
      <c r="K110" s="53"/>
      <c r="L110" s="54" t="e">
        <f>INDEX([1]Timeline!$E$10:$E$24,MATCH(A110,[1]Timeline!$C$10:$C$24,0))</f>
        <v>#N/A</v>
      </c>
      <c r="M110" s="55">
        <v>44561</v>
      </c>
      <c r="N110" s="56"/>
      <c r="O110" s="57">
        <v>0</v>
      </c>
      <c r="P110" s="56" t="e">
        <f t="shared" si="27"/>
        <v>#N/A</v>
      </c>
      <c r="Q110" s="56"/>
      <c r="R110" s="56"/>
      <c r="S110" s="56"/>
      <c r="T110" s="58">
        <f t="shared" si="25"/>
        <v>0</v>
      </c>
      <c r="U110" s="58" t="e">
        <f t="shared" si="42"/>
        <v>#N/A</v>
      </c>
      <c r="V110" s="58" t="e">
        <f t="shared" si="28"/>
        <v>#N/A</v>
      </c>
      <c r="W110" s="45">
        <v>1</v>
      </c>
      <c r="X110" s="59" t="e">
        <f t="shared" si="43"/>
        <v>#DIV/0!</v>
      </c>
      <c r="Y110" s="59" t="e">
        <f t="shared" si="44"/>
        <v>#DIV/0!</v>
      </c>
      <c r="Z110" s="60" t="e">
        <f t="shared" si="45"/>
        <v>#DIV/0!</v>
      </c>
      <c r="AA110" s="45"/>
      <c r="AB110" s="45"/>
      <c r="AC110" s="45"/>
      <c r="AD110" s="45"/>
      <c r="AE110" s="46">
        <f t="shared" si="29"/>
        <v>0</v>
      </c>
      <c r="AF110" s="45"/>
      <c r="AG110" s="45"/>
      <c r="AH110" s="45"/>
      <c r="AI110" s="45"/>
      <c r="AJ110" s="61">
        <f t="shared" si="30"/>
        <v>0</v>
      </c>
      <c r="AK110" s="62"/>
      <c r="AL110" s="45"/>
      <c r="AM110" s="45"/>
      <c r="AN110" s="45"/>
      <c r="AO110" s="63">
        <f t="shared" si="31"/>
        <v>0</v>
      </c>
      <c r="AP110" s="64"/>
      <c r="AQ110" s="45"/>
      <c r="AR110" s="45"/>
      <c r="AS110" s="45"/>
      <c r="AT110" s="46">
        <f t="shared" si="32"/>
        <v>0</v>
      </c>
      <c r="AU110" s="45"/>
      <c r="AV110" s="45"/>
      <c r="AW110" s="45"/>
      <c r="AX110" s="45"/>
      <c r="AY110" s="46">
        <f t="shared" si="33"/>
        <v>0</v>
      </c>
      <c r="AZ110" s="45"/>
      <c r="BA110" s="45"/>
      <c r="BB110" s="45"/>
      <c r="BC110" s="45"/>
      <c r="BD110" s="47">
        <f t="shared" si="34"/>
        <v>0</v>
      </c>
      <c r="BE110" s="45"/>
      <c r="BF110" s="45"/>
      <c r="BG110" s="45"/>
      <c r="BH110" s="45"/>
      <c r="BI110" s="45"/>
      <c r="BJ110" s="45"/>
      <c r="BK110" s="45"/>
      <c r="BL110" s="45"/>
      <c r="BM110" s="45"/>
      <c r="BN110" s="46">
        <f t="shared" si="35"/>
        <v>0</v>
      </c>
      <c r="BO110" s="45"/>
      <c r="BP110" s="45"/>
      <c r="BQ110" s="45"/>
      <c r="BR110" s="45"/>
      <c r="BS110" s="46">
        <f t="shared" si="36"/>
        <v>0</v>
      </c>
      <c r="BT110" s="45"/>
      <c r="BU110" s="45"/>
      <c r="BV110" s="45"/>
      <c r="BW110" s="45"/>
      <c r="BX110" s="46">
        <f t="shared" si="37"/>
        <v>0</v>
      </c>
      <c r="BY110" s="45"/>
      <c r="BZ110" s="45"/>
      <c r="CA110" s="45"/>
      <c r="CB110" s="45"/>
      <c r="CC110" s="46">
        <f t="shared" si="38"/>
        <v>0</v>
      </c>
      <c r="CD110" s="45"/>
      <c r="CE110" s="45"/>
      <c r="CF110" s="45"/>
      <c r="CG110" s="45"/>
      <c r="CH110" s="46">
        <f t="shared" si="39"/>
        <v>0</v>
      </c>
      <c r="CI110" s="45"/>
      <c r="CJ110" s="45"/>
      <c r="CK110" s="45"/>
      <c r="CL110" s="45"/>
      <c r="CM110" s="46">
        <f t="shared" si="40"/>
        <v>0</v>
      </c>
    </row>
    <row r="111" spans="1:91">
      <c r="A111" s="45">
        <v>0</v>
      </c>
      <c r="B111" s="50">
        <f t="shared" si="41"/>
        <v>107</v>
      </c>
      <c r="C111" s="51"/>
      <c r="D111" s="45"/>
      <c r="E111" s="45"/>
      <c r="F111" s="45"/>
      <c r="G111" s="45"/>
      <c r="H111" s="45"/>
      <c r="I111" s="52"/>
      <c r="J111" s="45" t="s">
        <v>3575</v>
      </c>
      <c r="K111" s="53"/>
      <c r="L111" s="54" t="e">
        <f>INDEX([1]Timeline!$E$10:$E$24,MATCH(A111,[1]Timeline!$C$10:$C$24,0))</f>
        <v>#N/A</v>
      </c>
      <c r="M111" s="55">
        <v>44561</v>
      </c>
      <c r="N111" s="56"/>
      <c r="O111" s="57">
        <v>0</v>
      </c>
      <c r="P111" s="56" t="e">
        <f t="shared" si="27"/>
        <v>#N/A</v>
      </c>
      <c r="Q111" s="56"/>
      <c r="R111" s="56"/>
      <c r="S111" s="56"/>
      <c r="T111" s="58">
        <f t="shared" ref="T111:T130" si="46">N111/1</f>
        <v>0</v>
      </c>
      <c r="U111" s="58" t="e">
        <f t="shared" si="42"/>
        <v>#N/A</v>
      </c>
      <c r="V111" s="58" t="e">
        <f t="shared" si="28"/>
        <v>#N/A</v>
      </c>
      <c r="W111" s="45">
        <v>1</v>
      </c>
      <c r="X111" s="59" t="e">
        <f t="shared" si="43"/>
        <v>#DIV/0!</v>
      </c>
      <c r="Y111" s="59" t="e">
        <f t="shared" si="44"/>
        <v>#DIV/0!</v>
      </c>
      <c r="Z111" s="60" t="e">
        <f t="shared" si="45"/>
        <v>#DIV/0!</v>
      </c>
      <c r="AA111" s="45"/>
      <c r="AB111" s="45"/>
      <c r="AC111" s="45"/>
      <c r="AD111" s="45"/>
      <c r="AE111" s="46">
        <f t="shared" si="29"/>
        <v>0</v>
      </c>
      <c r="AF111" s="45"/>
      <c r="AG111" s="45"/>
      <c r="AH111" s="45"/>
      <c r="AI111" s="45"/>
      <c r="AJ111" s="61">
        <f t="shared" si="30"/>
        <v>0</v>
      </c>
      <c r="AK111" s="62"/>
      <c r="AL111" s="45"/>
      <c r="AM111" s="45"/>
      <c r="AN111" s="45"/>
      <c r="AO111" s="63">
        <f t="shared" si="31"/>
        <v>0</v>
      </c>
      <c r="AP111" s="64"/>
      <c r="AQ111" s="45"/>
      <c r="AR111" s="45"/>
      <c r="AS111" s="45"/>
      <c r="AT111" s="46">
        <f t="shared" si="32"/>
        <v>0</v>
      </c>
      <c r="AU111" s="45"/>
      <c r="AV111" s="45"/>
      <c r="AW111" s="45"/>
      <c r="AX111" s="45"/>
      <c r="AY111" s="46">
        <f t="shared" si="33"/>
        <v>0</v>
      </c>
      <c r="AZ111" s="45"/>
      <c r="BA111" s="45"/>
      <c r="BB111" s="45"/>
      <c r="BC111" s="45"/>
      <c r="BD111" s="47">
        <f t="shared" si="34"/>
        <v>0</v>
      </c>
      <c r="BE111" s="45"/>
      <c r="BF111" s="45"/>
      <c r="BG111" s="45"/>
      <c r="BH111" s="45"/>
      <c r="BI111" s="45"/>
      <c r="BJ111" s="45"/>
      <c r="BK111" s="45"/>
      <c r="BL111" s="45"/>
      <c r="BM111" s="45"/>
      <c r="BN111" s="46">
        <f t="shared" si="35"/>
        <v>0</v>
      </c>
      <c r="BO111" s="45"/>
      <c r="BP111" s="45"/>
      <c r="BQ111" s="45"/>
      <c r="BR111" s="45"/>
      <c r="BS111" s="46">
        <f t="shared" si="36"/>
        <v>0</v>
      </c>
      <c r="BT111" s="45"/>
      <c r="BU111" s="45"/>
      <c r="BV111" s="45"/>
      <c r="BW111" s="45"/>
      <c r="BX111" s="46">
        <f t="shared" si="37"/>
        <v>0</v>
      </c>
      <c r="BY111" s="45"/>
      <c r="BZ111" s="45"/>
      <c r="CA111" s="45"/>
      <c r="CB111" s="45"/>
      <c r="CC111" s="46">
        <f t="shared" si="38"/>
        <v>0</v>
      </c>
      <c r="CD111" s="45"/>
      <c r="CE111" s="45"/>
      <c r="CF111" s="45"/>
      <c r="CG111" s="45"/>
      <c r="CH111" s="46">
        <f t="shared" si="39"/>
        <v>0</v>
      </c>
      <c r="CI111" s="45"/>
      <c r="CJ111" s="45"/>
      <c r="CK111" s="45"/>
      <c r="CL111" s="45"/>
      <c r="CM111" s="46">
        <f t="shared" si="40"/>
        <v>0</v>
      </c>
    </row>
    <row r="112" spans="1:91">
      <c r="A112" s="45">
        <v>0</v>
      </c>
      <c r="B112" s="50">
        <f t="shared" si="41"/>
        <v>108</v>
      </c>
      <c r="C112" s="51"/>
      <c r="D112" s="45"/>
      <c r="E112" s="45"/>
      <c r="F112" s="45"/>
      <c r="G112" s="45"/>
      <c r="H112" s="45"/>
      <c r="I112" s="52"/>
      <c r="J112" s="45" t="s">
        <v>3575</v>
      </c>
      <c r="K112" s="53"/>
      <c r="L112" s="54" t="e">
        <f>INDEX([1]Timeline!$E$10:$E$24,MATCH(A112,[1]Timeline!$C$10:$C$24,0))</f>
        <v>#N/A</v>
      </c>
      <c r="M112" s="55">
        <v>44561</v>
      </c>
      <c r="N112" s="56"/>
      <c r="O112" s="57">
        <v>0</v>
      </c>
      <c r="P112" s="56" t="e">
        <f t="shared" si="27"/>
        <v>#N/A</v>
      </c>
      <c r="Q112" s="56"/>
      <c r="R112" s="56"/>
      <c r="S112" s="56"/>
      <c r="T112" s="58">
        <f t="shared" si="46"/>
        <v>0</v>
      </c>
      <c r="U112" s="58" t="e">
        <f t="shared" si="42"/>
        <v>#N/A</v>
      </c>
      <c r="V112" s="58" t="e">
        <f t="shared" si="28"/>
        <v>#N/A</v>
      </c>
      <c r="W112" s="45">
        <v>1</v>
      </c>
      <c r="X112" s="59" t="e">
        <f t="shared" si="43"/>
        <v>#DIV/0!</v>
      </c>
      <c r="Y112" s="59" t="e">
        <f t="shared" si="44"/>
        <v>#DIV/0!</v>
      </c>
      <c r="Z112" s="60" t="e">
        <f t="shared" si="45"/>
        <v>#DIV/0!</v>
      </c>
      <c r="AA112" s="45"/>
      <c r="AB112" s="45"/>
      <c r="AC112" s="45"/>
      <c r="AD112" s="45"/>
      <c r="AE112" s="46">
        <f t="shared" si="29"/>
        <v>0</v>
      </c>
      <c r="AF112" s="45"/>
      <c r="AG112" s="45"/>
      <c r="AH112" s="45"/>
      <c r="AI112" s="45"/>
      <c r="AJ112" s="61">
        <f t="shared" si="30"/>
        <v>0</v>
      </c>
      <c r="AK112" s="62"/>
      <c r="AL112" s="45"/>
      <c r="AM112" s="45"/>
      <c r="AN112" s="45"/>
      <c r="AO112" s="63">
        <f t="shared" si="31"/>
        <v>0</v>
      </c>
      <c r="AP112" s="64"/>
      <c r="AQ112" s="45"/>
      <c r="AR112" s="45"/>
      <c r="AS112" s="45"/>
      <c r="AT112" s="46">
        <f t="shared" si="32"/>
        <v>0</v>
      </c>
      <c r="AU112" s="45"/>
      <c r="AV112" s="45"/>
      <c r="AW112" s="45"/>
      <c r="AX112" s="45"/>
      <c r="AY112" s="46">
        <f t="shared" si="33"/>
        <v>0</v>
      </c>
      <c r="AZ112" s="45"/>
      <c r="BA112" s="45"/>
      <c r="BB112" s="45"/>
      <c r="BC112" s="45"/>
      <c r="BD112" s="47">
        <f t="shared" si="34"/>
        <v>0</v>
      </c>
      <c r="BE112" s="45"/>
      <c r="BF112" s="45"/>
      <c r="BG112" s="45"/>
      <c r="BH112" s="45"/>
      <c r="BI112" s="45"/>
      <c r="BJ112" s="45"/>
      <c r="BK112" s="45"/>
      <c r="BL112" s="45"/>
      <c r="BM112" s="45"/>
      <c r="BN112" s="46">
        <f t="shared" si="35"/>
        <v>0</v>
      </c>
      <c r="BO112" s="45"/>
      <c r="BP112" s="45"/>
      <c r="BQ112" s="45"/>
      <c r="BR112" s="45"/>
      <c r="BS112" s="46">
        <f t="shared" si="36"/>
        <v>0</v>
      </c>
      <c r="BT112" s="45"/>
      <c r="BU112" s="45"/>
      <c r="BV112" s="45"/>
      <c r="BW112" s="45"/>
      <c r="BX112" s="46">
        <f t="shared" si="37"/>
        <v>0</v>
      </c>
      <c r="BY112" s="45"/>
      <c r="BZ112" s="45"/>
      <c r="CA112" s="45"/>
      <c r="CB112" s="45"/>
      <c r="CC112" s="46">
        <f t="shared" si="38"/>
        <v>0</v>
      </c>
      <c r="CD112" s="45"/>
      <c r="CE112" s="45"/>
      <c r="CF112" s="45"/>
      <c r="CG112" s="45"/>
      <c r="CH112" s="46">
        <f t="shared" si="39"/>
        <v>0</v>
      </c>
      <c r="CI112" s="45"/>
      <c r="CJ112" s="45"/>
      <c r="CK112" s="45"/>
      <c r="CL112" s="45"/>
      <c r="CM112" s="46">
        <f t="shared" si="40"/>
        <v>0</v>
      </c>
    </row>
    <row r="113" spans="1:91">
      <c r="A113" s="45">
        <v>0</v>
      </c>
      <c r="B113" s="50">
        <f t="shared" si="41"/>
        <v>109</v>
      </c>
      <c r="C113" s="51"/>
      <c r="D113" s="45"/>
      <c r="E113" s="45"/>
      <c r="F113" s="45"/>
      <c r="G113" s="45"/>
      <c r="H113" s="45"/>
      <c r="I113" s="52"/>
      <c r="J113" s="45" t="s">
        <v>3575</v>
      </c>
      <c r="K113" s="53"/>
      <c r="L113" s="54" t="e">
        <f>INDEX([1]Timeline!$E$10:$E$24,MATCH(A113,[1]Timeline!$C$10:$C$24,0))</f>
        <v>#N/A</v>
      </c>
      <c r="M113" s="55">
        <v>44561</v>
      </c>
      <c r="N113" s="56"/>
      <c r="O113" s="57">
        <v>0</v>
      </c>
      <c r="P113" s="56" t="e">
        <f t="shared" si="27"/>
        <v>#N/A</v>
      </c>
      <c r="Q113" s="56"/>
      <c r="R113" s="56"/>
      <c r="S113" s="56"/>
      <c r="T113" s="58">
        <f t="shared" si="46"/>
        <v>0</v>
      </c>
      <c r="U113" s="58" t="e">
        <f t="shared" si="42"/>
        <v>#N/A</v>
      </c>
      <c r="V113" s="58" t="e">
        <f t="shared" si="28"/>
        <v>#N/A</v>
      </c>
      <c r="W113" s="45">
        <v>1</v>
      </c>
      <c r="X113" s="59" t="e">
        <f t="shared" si="43"/>
        <v>#DIV/0!</v>
      </c>
      <c r="Y113" s="59" t="e">
        <f t="shared" si="44"/>
        <v>#DIV/0!</v>
      </c>
      <c r="Z113" s="60" t="e">
        <f t="shared" si="45"/>
        <v>#DIV/0!</v>
      </c>
      <c r="AA113" s="45"/>
      <c r="AB113" s="45"/>
      <c r="AC113" s="45"/>
      <c r="AD113" s="45"/>
      <c r="AE113" s="46">
        <f t="shared" si="29"/>
        <v>0</v>
      </c>
      <c r="AF113" s="45"/>
      <c r="AG113" s="45"/>
      <c r="AH113" s="45"/>
      <c r="AI113" s="45"/>
      <c r="AJ113" s="61">
        <f t="shared" si="30"/>
        <v>0</v>
      </c>
      <c r="AK113" s="62"/>
      <c r="AL113" s="45"/>
      <c r="AM113" s="45"/>
      <c r="AN113" s="45"/>
      <c r="AO113" s="63">
        <f t="shared" si="31"/>
        <v>0</v>
      </c>
      <c r="AP113" s="64"/>
      <c r="AQ113" s="45"/>
      <c r="AR113" s="45"/>
      <c r="AS113" s="45"/>
      <c r="AT113" s="46">
        <f t="shared" si="32"/>
        <v>0</v>
      </c>
      <c r="AU113" s="45"/>
      <c r="AV113" s="45"/>
      <c r="AW113" s="45"/>
      <c r="AX113" s="45"/>
      <c r="AY113" s="46">
        <f t="shared" si="33"/>
        <v>0</v>
      </c>
      <c r="AZ113" s="45"/>
      <c r="BA113" s="45"/>
      <c r="BB113" s="45"/>
      <c r="BC113" s="45"/>
      <c r="BD113" s="47">
        <f t="shared" si="34"/>
        <v>0</v>
      </c>
      <c r="BE113" s="45"/>
      <c r="BF113" s="45"/>
      <c r="BG113" s="45"/>
      <c r="BH113" s="45"/>
      <c r="BI113" s="45"/>
      <c r="BJ113" s="45"/>
      <c r="BK113" s="45"/>
      <c r="BL113" s="45"/>
      <c r="BM113" s="45"/>
      <c r="BN113" s="46">
        <f t="shared" si="35"/>
        <v>0</v>
      </c>
      <c r="BO113" s="45"/>
      <c r="BP113" s="45"/>
      <c r="BQ113" s="45"/>
      <c r="BR113" s="45"/>
      <c r="BS113" s="46">
        <f t="shared" si="36"/>
        <v>0</v>
      </c>
      <c r="BT113" s="45"/>
      <c r="BU113" s="45"/>
      <c r="BV113" s="45"/>
      <c r="BW113" s="45"/>
      <c r="BX113" s="46">
        <f t="shared" si="37"/>
        <v>0</v>
      </c>
      <c r="BY113" s="45"/>
      <c r="BZ113" s="45"/>
      <c r="CA113" s="45"/>
      <c r="CB113" s="45"/>
      <c r="CC113" s="46">
        <f t="shared" si="38"/>
        <v>0</v>
      </c>
      <c r="CD113" s="45"/>
      <c r="CE113" s="45"/>
      <c r="CF113" s="45"/>
      <c r="CG113" s="45"/>
      <c r="CH113" s="46">
        <f t="shared" si="39"/>
        <v>0</v>
      </c>
      <c r="CI113" s="45"/>
      <c r="CJ113" s="45"/>
      <c r="CK113" s="45"/>
      <c r="CL113" s="45"/>
      <c r="CM113" s="46">
        <f t="shared" si="40"/>
        <v>0</v>
      </c>
    </row>
    <row r="114" spans="1:91">
      <c r="A114" s="45">
        <v>0</v>
      </c>
      <c r="B114" s="50">
        <f t="shared" si="41"/>
        <v>110</v>
      </c>
      <c r="C114" s="51"/>
      <c r="D114" s="45"/>
      <c r="E114" s="45"/>
      <c r="F114" s="45"/>
      <c r="G114" s="45"/>
      <c r="H114" s="45"/>
      <c r="I114" s="52"/>
      <c r="J114" s="45" t="s">
        <v>3575</v>
      </c>
      <c r="K114" s="53"/>
      <c r="L114" s="54" t="e">
        <f>INDEX([1]Timeline!$E$10:$E$24,MATCH(A114,[1]Timeline!$C$10:$C$24,0))</f>
        <v>#N/A</v>
      </c>
      <c r="M114" s="55">
        <v>44561</v>
      </c>
      <c r="N114" s="56"/>
      <c r="O114" s="57">
        <v>0</v>
      </c>
      <c r="P114" s="56" t="e">
        <f t="shared" si="27"/>
        <v>#N/A</v>
      </c>
      <c r="Q114" s="56"/>
      <c r="R114" s="56"/>
      <c r="S114" s="56"/>
      <c r="T114" s="58">
        <f t="shared" si="46"/>
        <v>0</v>
      </c>
      <c r="U114" s="58" t="e">
        <f t="shared" si="42"/>
        <v>#N/A</v>
      </c>
      <c r="V114" s="58" t="e">
        <f t="shared" si="28"/>
        <v>#N/A</v>
      </c>
      <c r="W114" s="45">
        <v>1</v>
      </c>
      <c r="X114" s="59" t="e">
        <f t="shared" si="43"/>
        <v>#DIV/0!</v>
      </c>
      <c r="Y114" s="59" t="e">
        <f t="shared" si="44"/>
        <v>#DIV/0!</v>
      </c>
      <c r="Z114" s="60" t="e">
        <f t="shared" si="45"/>
        <v>#DIV/0!</v>
      </c>
      <c r="AA114" s="45"/>
      <c r="AB114" s="45"/>
      <c r="AC114" s="45"/>
      <c r="AD114" s="45"/>
      <c r="AE114" s="46">
        <f t="shared" si="29"/>
        <v>0</v>
      </c>
      <c r="AF114" s="45"/>
      <c r="AG114" s="45"/>
      <c r="AH114" s="45"/>
      <c r="AI114" s="45"/>
      <c r="AJ114" s="61">
        <f t="shared" si="30"/>
        <v>0</v>
      </c>
      <c r="AK114" s="62"/>
      <c r="AL114" s="45"/>
      <c r="AM114" s="45"/>
      <c r="AN114" s="45"/>
      <c r="AO114" s="63">
        <f t="shared" si="31"/>
        <v>0</v>
      </c>
      <c r="AP114" s="64"/>
      <c r="AQ114" s="45"/>
      <c r="AR114" s="45"/>
      <c r="AS114" s="45"/>
      <c r="AT114" s="46">
        <f t="shared" si="32"/>
        <v>0</v>
      </c>
      <c r="AU114" s="45"/>
      <c r="AV114" s="45"/>
      <c r="AW114" s="45"/>
      <c r="AX114" s="45"/>
      <c r="AY114" s="46">
        <f t="shared" si="33"/>
        <v>0</v>
      </c>
      <c r="AZ114" s="45"/>
      <c r="BA114" s="45"/>
      <c r="BB114" s="45"/>
      <c r="BC114" s="45"/>
      <c r="BD114" s="47">
        <f t="shared" si="34"/>
        <v>0</v>
      </c>
      <c r="BE114" s="45"/>
      <c r="BF114" s="45"/>
      <c r="BG114" s="45"/>
      <c r="BH114" s="45"/>
      <c r="BI114" s="45"/>
      <c r="BJ114" s="45"/>
      <c r="BK114" s="45"/>
      <c r="BL114" s="45"/>
      <c r="BM114" s="45"/>
      <c r="BN114" s="46">
        <f t="shared" si="35"/>
        <v>0</v>
      </c>
      <c r="BO114" s="45"/>
      <c r="BP114" s="45"/>
      <c r="BQ114" s="45"/>
      <c r="BR114" s="45"/>
      <c r="BS114" s="46">
        <f t="shared" si="36"/>
        <v>0</v>
      </c>
      <c r="BT114" s="45"/>
      <c r="BU114" s="45"/>
      <c r="BV114" s="45"/>
      <c r="BW114" s="45"/>
      <c r="BX114" s="46">
        <f t="shared" si="37"/>
        <v>0</v>
      </c>
      <c r="BY114" s="45"/>
      <c r="BZ114" s="45"/>
      <c r="CA114" s="45"/>
      <c r="CB114" s="45"/>
      <c r="CC114" s="46">
        <f t="shared" si="38"/>
        <v>0</v>
      </c>
      <c r="CD114" s="45"/>
      <c r="CE114" s="45"/>
      <c r="CF114" s="45"/>
      <c r="CG114" s="45"/>
      <c r="CH114" s="46">
        <f t="shared" si="39"/>
        <v>0</v>
      </c>
      <c r="CI114" s="45"/>
      <c r="CJ114" s="45"/>
      <c r="CK114" s="45"/>
      <c r="CL114" s="45"/>
      <c r="CM114" s="46">
        <f t="shared" si="40"/>
        <v>0</v>
      </c>
    </row>
    <row r="115" spans="1:91">
      <c r="A115" s="45">
        <v>0</v>
      </c>
      <c r="B115" s="50">
        <f t="shared" si="41"/>
        <v>111</v>
      </c>
      <c r="C115" s="51"/>
      <c r="D115" s="45"/>
      <c r="E115" s="45"/>
      <c r="F115" s="45"/>
      <c r="G115" s="45"/>
      <c r="H115" s="45"/>
      <c r="I115" s="52"/>
      <c r="J115" s="45" t="s">
        <v>3575</v>
      </c>
      <c r="K115" s="53"/>
      <c r="L115" s="54" t="e">
        <f>INDEX([1]Timeline!$E$10:$E$24,MATCH(A115,[1]Timeline!$C$10:$C$24,0))</f>
        <v>#N/A</v>
      </c>
      <c r="M115" s="55">
        <v>44561</v>
      </c>
      <c r="N115" s="56"/>
      <c r="O115" s="57">
        <v>0</v>
      </c>
      <c r="P115" s="56" t="e">
        <f t="shared" si="27"/>
        <v>#N/A</v>
      </c>
      <c r="Q115" s="56"/>
      <c r="R115" s="56"/>
      <c r="S115" s="56"/>
      <c r="T115" s="58">
        <f t="shared" si="46"/>
        <v>0</v>
      </c>
      <c r="U115" s="58" t="e">
        <f t="shared" si="42"/>
        <v>#N/A</v>
      </c>
      <c r="V115" s="58" t="e">
        <f t="shared" si="28"/>
        <v>#N/A</v>
      </c>
      <c r="W115" s="45">
        <v>1</v>
      </c>
      <c r="X115" s="59" t="e">
        <f t="shared" si="43"/>
        <v>#DIV/0!</v>
      </c>
      <c r="Y115" s="59" t="e">
        <f t="shared" si="44"/>
        <v>#DIV/0!</v>
      </c>
      <c r="Z115" s="60" t="e">
        <f t="shared" si="45"/>
        <v>#DIV/0!</v>
      </c>
      <c r="AA115" s="45"/>
      <c r="AB115" s="45"/>
      <c r="AC115" s="45"/>
      <c r="AD115" s="45"/>
      <c r="AE115" s="46">
        <f t="shared" si="29"/>
        <v>0</v>
      </c>
      <c r="AF115" s="45"/>
      <c r="AG115" s="45"/>
      <c r="AH115" s="45"/>
      <c r="AI115" s="45"/>
      <c r="AJ115" s="61">
        <f t="shared" si="30"/>
        <v>0</v>
      </c>
      <c r="AK115" s="62"/>
      <c r="AL115" s="45"/>
      <c r="AM115" s="45"/>
      <c r="AN115" s="45"/>
      <c r="AO115" s="63">
        <f t="shared" si="31"/>
        <v>0</v>
      </c>
      <c r="AP115" s="64"/>
      <c r="AQ115" s="45"/>
      <c r="AR115" s="45"/>
      <c r="AS115" s="45"/>
      <c r="AT115" s="46">
        <f t="shared" si="32"/>
        <v>0</v>
      </c>
      <c r="AU115" s="45"/>
      <c r="AV115" s="45"/>
      <c r="AW115" s="45"/>
      <c r="AX115" s="45"/>
      <c r="AY115" s="46">
        <f t="shared" si="33"/>
        <v>0</v>
      </c>
      <c r="AZ115" s="45"/>
      <c r="BA115" s="45"/>
      <c r="BB115" s="45"/>
      <c r="BC115" s="45"/>
      <c r="BD115" s="47">
        <f t="shared" si="34"/>
        <v>0</v>
      </c>
      <c r="BE115" s="45"/>
      <c r="BF115" s="45"/>
      <c r="BG115" s="45"/>
      <c r="BH115" s="45"/>
      <c r="BI115" s="45"/>
      <c r="BJ115" s="45"/>
      <c r="BK115" s="45"/>
      <c r="BL115" s="45"/>
      <c r="BM115" s="45"/>
      <c r="BN115" s="46">
        <f t="shared" si="35"/>
        <v>0</v>
      </c>
      <c r="BO115" s="45"/>
      <c r="BP115" s="45"/>
      <c r="BQ115" s="45"/>
      <c r="BR115" s="45"/>
      <c r="BS115" s="46">
        <f t="shared" si="36"/>
        <v>0</v>
      </c>
      <c r="BT115" s="45"/>
      <c r="BU115" s="45"/>
      <c r="BV115" s="45"/>
      <c r="BW115" s="45"/>
      <c r="BX115" s="46">
        <f t="shared" si="37"/>
        <v>0</v>
      </c>
      <c r="BY115" s="45"/>
      <c r="BZ115" s="45"/>
      <c r="CA115" s="45"/>
      <c r="CB115" s="45"/>
      <c r="CC115" s="46">
        <f t="shared" si="38"/>
        <v>0</v>
      </c>
      <c r="CD115" s="45"/>
      <c r="CE115" s="45"/>
      <c r="CF115" s="45"/>
      <c r="CG115" s="45"/>
      <c r="CH115" s="46">
        <f t="shared" si="39"/>
        <v>0</v>
      </c>
      <c r="CI115" s="45"/>
      <c r="CJ115" s="45"/>
      <c r="CK115" s="45"/>
      <c r="CL115" s="45"/>
      <c r="CM115" s="46">
        <f t="shared" si="40"/>
        <v>0</v>
      </c>
    </row>
    <row r="116" spans="1:91">
      <c r="A116" s="45">
        <v>0</v>
      </c>
      <c r="B116" s="50">
        <f t="shared" si="41"/>
        <v>112</v>
      </c>
      <c r="C116" s="51"/>
      <c r="D116" s="45"/>
      <c r="E116" s="45"/>
      <c r="F116" s="45"/>
      <c r="G116" s="45"/>
      <c r="H116" s="45"/>
      <c r="I116" s="52"/>
      <c r="J116" s="45" t="s">
        <v>3575</v>
      </c>
      <c r="K116" s="53"/>
      <c r="L116" s="54" t="e">
        <f>INDEX([1]Timeline!$E$10:$E$24,MATCH(A116,[1]Timeline!$C$10:$C$24,0))</f>
        <v>#N/A</v>
      </c>
      <c r="M116" s="55">
        <v>44561</v>
      </c>
      <c r="N116" s="56"/>
      <c r="O116" s="57">
        <v>0</v>
      </c>
      <c r="P116" s="56" t="e">
        <f t="shared" si="27"/>
        <v>#N/A</v>
      </c>
      <c r="Q116" s="56"/>
      <c r="R116" s="56"/>
      <c r="S116" s="56"/>
      <c r="T116" s="58">
        <f t="shared" si="46"/>
        <v>0</v>
      </c>
      <c r="U116" s="58" t="e">
        <f t="shared" si="42"/>
        <v>#N/A</v>
      </c>
      <c r="V116" s="58" t="e">
        <f t="shared" si="28"/>
        <v>#N/A</v>
      </c>
      <c r="W116" s="45">
        <v>1</v>
      </c>
      <c r="X116" s="59" t="e">
        <f t="shared" si="43"/>
        <v>#DIV/0!</v>
      </c>
      <c r="Y116" s="59" t="e">
        <f t="shared" si="44"/>
        <v>#DIV/0!</v>
      </c>
      <c r="Z116" s="60" t="e">
        <f t="shared" si="45"/>
        <v>#DIV/0!</v>
      </c>
      <c r="AA116" s="45"/>
      <c r="AB116" s="45"/>
      <c r="AC116" s="45"/>
      <c r="AD116" s="45"/>
      <c r="AE116" s="46">
        <f t="shared" si="29"/>
        <v>0</v>
      </c>
      <c r="AF116" s="45"/>
      <c r="AG116" s="45"/>
      <c r="AH116" s="45"/>
      <c r="AI116" s="45"/>
      <c r="AJ116" s="61">
        <f t="shared" si="30"/>
        <v>0</v>
      </c>
      <c r="AK116" s="62"/>
      <c r="AL116" s="45"/>
      <c r="AM116" s="45"/>
      <c r="AN116" s="45"/>
      <c r="AO116" s="63">
        <f t="shared" si="31"/>
        <v>0</v>
      </c>
      <c r="AP116" s="64"/>
      <c r="AQ116" s="45"/>
      <c r="AR116" s="45"/>
      <c r="AS116" s="45"/>
      <c r="AT116" s="46">
        <f t="shared" si="32"/>
        <v>0</v>
      </c>
      <c r="AU116" s="45"/>
      <c r="AV116" s="45"/>
      <c r="AW116" s="45"/>
      <c r="AX116" s="45"/>
      <c r="AY116" s="46">
        <f t="shared" si="33"/>
        <v>0</v>
      </c>
      <c r="AZ116" s="45"/>
      <c r="BA116" s="45"/>
      <c r="BB116" s="45"/>
      <c r="BC116" s="45"/>
      <c r="BD116" s="47">
        <f t="shared" si="34"/>
        <v>0</v>
      </c>
      <c r="BE116" s="45"/>
      <c r="BF116" s="45"/>
      <c r="BG116" s="45"/>
      <c r="BH116" s="45"/>
      <c r="BI116" s="45"/>
      <c r="BJ116" s="45"/>
      <c r="BK116" s="45"/>
      <c r="BL116" s="45"/>
      <c r="BM116" s="45"/>
      <c r="BN116" s="46">
        <f t="shared" si="35"/>
        <v>0</v>
      </c>
      <c r="BO116" s="45"/>
      <c r="BP116" s="45"/>
      <c r="BQ116" s="45"/>
      <c r="BR116" s="45"/>
      <c r="BS116" s="46">
        <f t="shared" si="36"/>
        <v>0</v>
      </c>
      <c r="BT116" s="45"/>
      <c r="BU116" s="45"/>
      <c r="BV116" s="45"/>
      <c r="BW116" s="45"/>
      <c r="BX116" s="46">
        <f t="shared" si="37"/>
        <v>0</v>
      </c>
      <c r="BY116" s="45"/>
      <c r="BZ116" s="45"/>
      <c r="CA116" s="45"/>
      <c r="CB116" s="45"/>
      <c r="CC116" s="46">
        <f t="shared" si="38"/>
        <v>0</v>
      </c>
      <c r="CD116" s="45"/>
      <c r="CE116" s="45"/>
      <c r="CF116" s="45"/>
      <c r="CG116" s="45"/>
      <c r="CH116" s="46">
        <f t="shared" si="39"/>
        <v>0</v>
      </c>
      <c r="CI116" s="45"/>
      <c r="CJ116" s="45"/>
      <c r="CK116" s="45"/>
      <c r="CL116" s="45"/>
      <c r="CM116" s="46">
        <f t="shared" si="40"/>
        <v>0</v>
      </c>
    </row>
    <row r="117" spans="1:91">
      <c r="A117" s="45">
        <v>0</v>
      </c>
      <c r="B117" s="50">
        <f t="shared" si="41"/>
        <v>113</v>
      </c>
      <c r="C117" s="51"/>
      <c r="D117" s="45"/>
      <c r="E117" s="45"/>
      <c r="F117" s="45"/>
      <c r="G117" s="45"/>
      <c r="H117" s="45"/>
      <c r="I117" s="52"/>
      <c r="J117" s="45" t="s">
        <v>3575</v>
      </c>
      <c r="K117" s="53"/>
      <c r="L117" s="54" t="e">
        <f>INDEX([1]Timeline!$E$10:$E$24,MATCH(A117,[1]Timeline!$C$10:$C$24,0))</f>
        <v>#N/A</v>
      </c>
      <c r="M117" s="55">
        <v>44561</v>
      </c>
      <c r="N117" s="56"/>
      <c r="O117" s="57">
        <v>0</v>
      </c>
      <c r="P117" s="56" t="e">
        <f t="shared" si="27"/>
        <v>#N/A</v>
      </c>
      <c r="Q117" s="56"/>
      <c r="R117" s="56"/>
      <c r="S117" s="56"/>
      <c r="T117" s="58">
        <f t="shared" si="46"/>
        <v>0</v>
      </c>
      <c r="U117" s="58" t="e">
        <f t="shared" si="42"/>
        <v>#N/A</v>
      </c>
      <c r="V117" s="58" t="e">
        <f t="shared" si="28"/>
        <v>#N/A</v>
      </c>
      <c r="W117" s="45">
        <v>1</v>
      </c>
      <c r="X117" s="59" t="e">
        <f t="shared" si="43"/>
        <v>#DIV/0!</v>
      </c>
      <c r="Y117" s="59" t="e">
        <f t="shared" si="44"/>
        <v>#DIV/0!</v>
      </c>
      <c r="Z117" s="60" t="e">
        <f t="shared" si="45"/>
        <v>#DIV/0!</v>
      </c>
      <c r="AA117" s="45"/>
      <c r="AB117" s="45"/>
      <c r="AC117" s="45"/>
      <c r="AD117" s="45"/>
      <c r="AE117" s="46">
        <f t="shared" si="29"/>
        <v>0</v>
      </c>
      <c r="AF117" s="45"/>
      <c r="AG117" s="45"/>
      <c r="AH117" s="45"/>
      <c r="AI117" s="45"/>
      <c r="AJ117" s="61">
        <f t="shared" si="30"/>
        <v>0</v>
      </c>
      <c r="AK117" s="62"/>
      <c r="AL117" s="45"/>
      <c r="AM117" s="45"/>
      <c r="AN117" s="45"/>
      <c r="AO117" s="63">
        <f t="shared" si="31"/>
        <v>0</v>
      </c>
      <c r="AP117" s="64"/>
      <c r="AQ117" s="45"/>
      <c r="AR117" s="45"/>
      <c r="AS117" s="45"/>
      <c r="AT117" s="46">
        <f t="shared" si="32"/>
        <v>0</v>
      </c>
      <c r="AU117" s="45"/>
      <c r="AV117" s="45"/>
      <c r="AW117" s="45"/>
      <c r="AX117" s="45"/>
      <c r="AY117" s="46">
        <f t="shared" si="33"/>
        <v>0</v>
      </c>
      <c r="AZ117" s="45"/>
      <c r="BA117" s="45"/>
      <c r="BB117" s="45"/>
      <c r="BC117" s="45"/>
      <c r="BD117" s="47">
        <f t="shared" si="34"/>
        <v>0</v>
      </c>
      <c r="BE117" s="45"/>
      <c r="BF117" s="45"/>
      <c r="BG117" s="45"/>
      <c r="BH117" s="45"/>
      <c r="BI117" s="45"/>
      <c r="BJ117" s="45"/>
      <c r="BK117" s="45"/>
      <c r="BL117" s="45"/>
      <c r="BM117" s="45"/>
      <c r="BN117" s="46">
        <f t="shared" si="35"/>
        <v>0</v>
      </c>
      <c r="BO117" s="45"/>
      <c r="BP117" s="45"/>
      <c r="BQ117" s="45"/>
      <c r="BR117" s="45"/>
      <c r="BS117" s="46">
        <f t="shared" si="36"/>
        <v>0</v>
      </c>
      <c r="BT117" s="45"/>
      <c r="BU117" s="45"/>
      <c r="BV117" s="45"/>
      <c r="BW117" s="45"/>
      <c r="BX117" s="46">
        <f t="shared" si="37"/>
        <v>0</v>
      </c>
      <c r="BY117" s="45"/>
      <c r="BZ117" s="45"/>
      <c r="CA117" s="45"/>
      <c r="CB117" s="45"/>
      <c r="CC117" s="46">
        <f t="shared" si="38"/>
        <v>0</v>
      </c>
      <c r="CD117" s="45"/>
      <c r="CE117" s="45"/>
      <c r="CF117" s="45"/>
      <c r="CG117" s="45"/>
      <c r="CH117" s="46">
        <f t="shared" si="39"/>
        <v>0</v>
      </c>
      <c r="CI117" s="45"/>
      <c r="CJ117" s="45"/>
      <c r="CK117" s="45"/>
      <c r="CL117" s="45"/>
      <c r="CM117" s="46">
        <f t="shared" si="40"/>
        <v>0</v>
      </c>
    </row>
    <row r="118" spans="1:91">
      <c r="A118" s="45">
        <v>0</v>
      </c>
      <c r="B118" s="50">
        <f t="shared" si="41"/>
        <v>114</v>
      </c>
      <c r="C118" s="51"/>
      <c r="D118" s="45"/>
      <c r="E118" s="45"/>
      <c r="F118" s="45"/>
      <c r="G118" s="45"/>
      <c r="H118" s="45"/>
      <c r="I118" s="52"/>
      <c r="J118" s="45" t="s">
        <v>3575</v>
      </c>
      <c r="K118" s="53"/>
      <c r="L118" s="54" t="e">
        <f>INDEX([1]Timeline!$E$10:$E$24,MATCH(A118,[1]Timeline!$C$10:$C$24,0))</f>
        <v>#N/A</v>
      </c>
      <c r="M118" s="55">
        <v>44561</v>
      </c>
      <c r="N118" s="56"/>
      <c r="O118" s="57">
        <v>0</v>
      </c>
      <c r="P118" s="56" t="e">
        <f t="shared" si="27"/>
        <v>#N/A</v>
      </c>
      <c r="Q118" s="56"/>
      <c r="R118" s="56"/>
      <c r="S118" s="56"/>
      <c r="T118" s="58">
        <f t="shared" si="46"/>
        <v>0</v>
      </c>
      <c r="U118" s="58" t="e">
        <f t="shared" si="42"/>
        <v>#N/A</v>
      </c>
      <c r="V118" s="58" t="e">
        <f t="shared" si="28"/>
        <v>#N/A</v>
      </c>
      <c r="W118" s="45">
        <v>1</v>
      </c>
      <c r="X118" s="59" t="e">
        <f t="shared" si="43"/>
        <v>#DIV/0!</v>
      </c>
      <c r="Y118" s="59" t="e">
        <f t="shared" si="44"/>
        <v>#DIV/0!</v>
      </c>
      <c r="Z118" s="60" t="e">
        <f t="shared" si="45"/>
        <v>#DIV/0!</v>
      </c>
      <c r="AA118" s="45"/>
      <c r="AB118" s="45"/>
      <c r="AC118" s="45"/>
      <c r="AD118" s="45"/>
      <c r="AE118" s="46">
        <f t="shared" si="29"/>
        <v>0</v>
      </c>
      <c r="AF118" s="45"/>
      <c r="AG118" s="45"/>
      <c r="AH118" s="45"/>
      <c r="AI118" s="45"/>
      <c r="AJ118" s="61">
        <f t="shared" si="30"/>
        <v>0</v>
      </c>
      <c r="AK118" s="62"/>
      <c r="AL118" s="45"/>
      <c r="AM118" s="45"/>
      <c r="AN118" s="45"/>
      <c r="AO118" s="63">
        <f t="shared" si="31"/>
        <v>0</v>
      </c>
      <c r="AP118" s="64"/>
      <c r="AQ118" s="45"/>
      <c r="AR118" s="45"/>
      <c r="AS118" s="45"/>
      <c r="AT118" s="46">
        <f t="shared" si="32"/>
        <v>0</v>
      </c>
      <c r="AU118" s="45"/>
      <c r="AV118" s="45"/>
      <c r="AW118" s="45"/>
      <c r="AX118" s="45"/>
      <c r="AY118" s="46">
        <f t="shared" si="33"/>
        <v>0</v>
      </c>
      <c r="AZ118" s="45"/>
      <c r="BA118" s="45"/>
      <c r="BB118" s="45"/>
      <c r="BC118" s="45"/>
      <c r="BD118" s="47">
        <f t="shared" si="34"/>
        <v>0</v>
      </c>
      <c r="BE118" s="45"/>
      <c r="BF118" s="45"/>
      <c r="BG118" s="45"/>
      <c r="BH118" s="45"/>
      <c r="BI118" s="45"/>
      <c r="BJ118" s="45"/>
      <c r="BK118" s="45"/>
      <c r="BL118" s="45"/>
      <c r="BM118" s="45"/>
      <c r="BN118" s="46">
        <f t="shared" si="35"/>
        <v>0</v>
      </c>
      <c r="BO118" s="45"/>
      <c r="BP118" s="45"/>
      <c r="BQ118" s="45"/>
      <c r="BR118" s="45"/>
      <c r="BS118" s="46">
        <f t="shared" si="36"/>
        <v>0</v>
      </c>
      <c r="BT118" s="45"/>
      <c r="BU118" s="45"/>
      <c r="BV118" s="45"/>
      <c r="BW118" s="45"/>
      <c r="BX118" s="46">
        <f t="shared" si="37"/>
        <v>0</v>
      </c>
      <c r="BY118" s="45"/>
      <c r="BZ118" s="45"/>
      <c r="CA118" s="45"/>
      <c r="CB118" s="45"/>
      <c r="CC118" s="46">
        <f t="shared" si="38"/>
        <v>0</v>
      </c>
      <c r="CD118" s="45"/>
      <c r="CE118" s="45"/>
      <c r="CF118" s="45"/>
      <c r="CG118" s="45"/>
      <c r="CH118" s="46">
        <f t="shared" si="39"/>
        <v>0</v>
      </c>
      <c r="CI118" s="45"/>
      <c r="CJ118" s="45"/>
      <c r="CK118" s="45"/>
      <c r="CL118" s="45"/>
      <c r="CM118" s="46">
        <f t="shared" si="40"/>
        <v>0</v>
      </c>
    </row>
    <row r="119" spans="1:91">
      <c r="A119" s="45">
        <v>0</v>
      </c>
      <c r="B119" s="50">
        <f t="shared" si="41"/>
        <v>115</v>
      </c>
      <c r="C119" s="51"/>
      <c r="D119" s="45"/>
      <c r="E119" s="45"/>
      <c r="F119" s="45"/>
      <c r="G119" s="45"/>
      <c r="H119" s="45"/>
      <c r="I119" s="52"/>
      <c r="J119" s="45" t="s">
        <v>3575</v>
      </c>
      <c r="K119" s="53"/>
      <c r="L119" s="54" t="e">
        <f>INDEX([1]Timeline!$E$10:$E$24,MATCH(A119,[1]Timeline!$C$10:$C$24,0))</f>
        <v>#N/A</v>
      </c>
      <c r="M119" s="55">
        <v>44561</v>
      </c>
      <c r="N119" s="56"/>
      <c r="O119" s="57">
        <v>0</v>
      </c>
      <c r="P119" s="56" t="e">
        <f t="shared" si="27"/>
        <v>#N/A</v>
      </c>
      <c r="Q119" s="56"/>
      <c r="R119" s="56"/>
      <c r="S119" s="56"/>
      <c r="T119" s="58">
        <f t="shared" si="46"/>
        <v>0</v>
      </c>
      <c r="U119" s="58" t="e">
        <f t="shared" si="42"/>
        <v>#N/A</v>
      </c>
      <c r="V119" s="58" t="e">
        <f t="shared" si="28"/>
        <v>#N/A</v>
      </c>
      <c r="W119" s="45">
        <v>1</v>
      </c>
      <c r="X119" s="59" t="e">
        <f t="shared" si="43"/>
        <v>#DIV/0!</v>
      </c>
      <c r="Y119" s="59" t="e">
        <f t="shared" si="44"/>
        <v>#DIV/0!</v>
      </c>
      <c r="Z119" s="60" t="e">
        <f t="shared" si="45"/>
        <v>#DIV/0!</v>
      </c>
      <c r="AA119" s="45"/>
      <c r="AB119" s="45"/>
      <c r="AC119" s="45"/>
      <c r="AD119" s="45"/>
      <c r="AE119" s="46">
        <f t="shared" si="29"/>
        <v>0</v>
      </c>
      <c r="AF119" s="45"/>
      <c r="AG119" s="45"/>
      <c r="AH119" s="45"/>
      <c r="AI119" s="45"/>
      <c r="AJ119" s="61">
        <f t="shared" si="30"/>
        <v>0</v>
      </c>
      <c r="AK119" s="62"/>
      <c r="AL119" s="45"/>
      <c r="AM119" s="45"/>
      <c r="AN119" s="45"/>
      <c r="AO119" s="63">
        <f t="shared" si="31"/>
        <v>0</v>
      </c>
      <c r="AP119" s="64"/>
      <c r="AQ119" s="45"/>
      <c r="AR119" s="45"/>
      <c r="AS119" s="45"/>
      <c r="AT119" s="46">
        <f t="shared" si="32"/>
        <v>0</v>
      </c>
      <c r="AU119" s="45"/>
      <c r="AV119" s="45"/>
      <c r="AW119" s="45"/>
      <c r="AX119" s="45"/>
      <c r="AY119" s="46">
        <f t="shared" si="33"/>
        <v>0</v>
      </c>
      <c r="AZ119" s="45"/>
      <c r="BA119" s="45"/>
      <c r="BB119" s="45"/>
      <c r="BC119" s="45"/>
      <c r="BD119" s="47">
        <f t="shared" si="34"/>
        <v>0</v>
      </c>
      <c r="BE119" s="45"/>
      <c r="BF119" s="45"/>
      <c r="BG119" s="45"/>
      <c r="BH119" s="45"/>
      <c r="BI119" s="45"/>
      <c r="BJ119" s="45"/>
      <c r="BK119" s="45"/>
      <c r="BL119" s="45"/>
      <c r="BM119" s="45"/>
      <c r="BN119" s="46">
        <f t="shared" si="35"/>
        <v>0</v>
      </c>
      <c r="BO119" s="45"/>
      <c r="BP119" s="45"/>
      <c r="BQ119" s="45"/>
      <c r="BR119" s="45"/>
      <c r="BS119" s="46">
        <f t="shared" si="36"/>
        <v>0</v>
      </c>
      <c r="BT119" s="45"/>
      <c r="BU119" s="45"/>
      <c r="BV119" s="45"/>
      <c r="BW119" s="45"/>
      <c r="BX119" s="46">
        <f t="shared" si="37"/>
        <v>0</v>
      </c>
      <c r="BY119" s="45"/>
      <c r="BZ119" s="45"/>
      <c r="CA119" s="45"/>
      <c r="CB119" s="45"/>
      <c r="CC119" s="46">
        <f t="shared" si="38"/>
        <v>0</v>
      </c>
      <c r="CD119" s="45"/>
      <c r="CE119" s="45"/>
      <c r="CF119" s="45"/>
      <c r="CG119" s="45"/>
      <c r="CH119" s="46">
        <f t="shared" si="39"/>
        <v>0</v>
      </c>
      <c r="CI119" s="45"/>
      <c r="CJ119" s="45"/>
      <c r="CK119" s="45"/>
      <c r="CL119" s="45"/>
      <c r="CM119" s="46">
        <f t="shared" si="40"/>
        <v>0</v>
      </c>
    </row>
  </sheetData>
  <autoFilter ref="A3:BX119" xr:uid="{5D6D9EAE-8C33-4721-B188-3198A82C038F}"/>
  <mergeCells count="13">
    <mergeCell ref="CI1:CM1"/>
    <mergeCell ref="BE1:BI1"/>
    <mergeCell ref="BJ1:BN1"/>
    <mergeCell ref="BO1:BS1"/>
    <mergeCell ref="BT1:BX1"/>
    <mergeCell ref="BY1:CC1"/>
    <mergeCell ref="CD1:CH1"/>
    <mergeCell ref="AA1:AE1"/>
    <mergeCell ref="AF1:AJ1"/>
    <mergeCell ref="AK1:AO1"/>
    <mergeCell ref="AP1:AT1"/>
    <mergeCell ref="AU1:AY1"/>
    <mergeCell ref="AZ1:BD1"/>
  </mergeCells>
  <hyperlinks>
    <hyperlink ref="I7" r:id="rId1" xr:uid="{8CEF3FB8-7D07-4646-A16C-AD55D62F0D19}"/>
    <hyperlink ref="I8" r:id="rId2" xr:uid="{46954604-56A1-4F8D-9E95-FFA25766BB02}"/>
    <hyperlink ref="I5" r:id="rId3" xr:uid="{6CFEE36A-6FBD-4176-952D-C81C6F40E767}"/>
    <hyperlink ref="I6" r:id="rId4" xr:uid="{14309185-5485-4152-BA2A-86592255E5CD}"/>
    <hyperlink ref="I9" r:id="rId5" xr:uid="{7E93BE4F-BBE1-4A9A-87BC-7E06216DFA2F}"/>
    <hyperlink ref="I10" r:id="rId6" xr:uid="{599519EB-DB6E-44D9-BFFF-70FC0ADFC733}"/>
    <hyperlink ref="I11" r:id="rId7" xr:uid="{63FC26F9-E0C0-495D-B95B-CD2D93C66FB4}"/>
    <hyperlink ref="I12" r:id="rId8" xr:uid="{17F1FE90-6F59-4D62-BAF1-5F6B073E99F1}"/>
    <hyperlink ref="E14" r:id="rId9" xr:uid="{A3D5A0C2-DF9C-4CF8-85C7-1CBB4FF51FF5}"/>
    <hyperlink ref="I14" r:id="rId10" xr:uid="{4AC53042-B483-4E2B-957B-C9D93F2AEF2B}"/>
    <hyperlink ref="I13" r:id="rId11" xr:uid="{254549E4-21FB-4C5D-A883-790F69C81D63}"/>
    <hyperlink ref="I16" r:id="rId12" xr:uid="{90980681-13B0-497A-8DC6-125E8897BB5C}"/>
    <hyperlink ref="I17" r:id="rId13" xr:uid="{35F7E5A5-B7B7-498B-9414-384D6872FF01}"/>
    <hyperlink ref="E18" r:id="rId14" xr:uid="{29F85048-5185-4DF3-8820-16C21793F0BB}"/>
    <hyperlink ref="E19" r:id="rId15" xr:uid="{D426D575-AA0D-4695-9972-90D3F5D75696}"/>
    <hyperlink ref="E20" r:id="rId16" xr:uid="{0D0971E1-4DB3-413F-86E6-C07FECBD58FB}"/>
    <hyperlink ref="E21" r:id="rId17" xr:uid="{CC7BF2EF-545B-4856-A8FD-57E44F257529}"/>
    <hyperlink ref="I18" r:id="rId18" xr:uid="{10B89373-89C1-4BC9-B7B9-C8630199533C}"/>
    <hyperlink ref="I19" r:id="rId19" xr:uid="{CB301B85-2A8A-4128-8459-D401CCE55857}"/>
    <hyperlink ref="I21" r:id="rId20" xr:uid="{6A2EBECF-91F4-4F44-9D2F-B4B83973195A}"/>
    <hyperlink ref="I20" r:id="rId21" xr:uid="{F5F7E5C6-56EF-49C9-9B48-4C7327249671}"/>
    <hyperlink ref="I15" r:id="rId22" xr:uid="{F3F1CE8C-9A93-4CC6-A79A-5509AF58F88A}"/>
    <hyperlink ref="E22" r:id="rId23" xr:uid="{FDB8E79B-D252-44EB-885A-FDAB32538996}"/>
    <hyperlink ref="I22" r:id="rId24" xr:uid="{06DCE752-1DB5-42A0-AD55-E7088C58A944}"/>
    <hyperlink ref="I23" r:id="rId25" xr:uid="{87583130-5494-4627-910B-5A89AAE36339}"/>
    <hyperlink ref="I24" r:id="rId26" xr:uid="{7CB6A5E1-9707-4329-9BC7-07F36F37D9F0}"/>
    <hyperlink ref="I25" r:id="rId27" xr:uid="{05E96488-9B75-4E39-BC3C-490A5543E85F}"/>
    <hyperlink ref="I26" r:id="rId28" xr:uid="{E7D1780B-D535-489A-B0CE-1BD2C415EFB3}"/>
    <hyperlink ref="I27" r:id="rId29" xr:uid="{4030357E-F2A1-4CAF-83EE-6486C61B34C6}"/>
    <hyperlink ref="I28" r:id="rId30" xr:uid="{2BA69D29-92ED-4F4A-9EB5-C323B200B34A}"/>
    <hyperlink ref="I31" r:id="rId31" xr:uid="{5E8CE214-F032-45BD-AB05-E751BD4E16CE}"/>
    <hyperlink ref="I32" r:id="rId32" xr:uid="{10A0251F-138A-46FB-B044-C578156AAC49}"/>
    <hyperlink ref="I33" r:id="rId33" xr:uid="{675C49AD-C59F-4C8E-B721-D9A9BB3EBEFC}"/>
    <hyperlink ref="E34" r:id="rId34" xr:uid="{31B2A1BF-2E14-42C7-BE44-A92F1B7583A0}"/>
    <hyperlink ref="I34" r:id="rId35" xr:uid="{BD52F126-5145-4B46-9700-ECB840E3B5E3}"/>
    <hyperlink ref="E35" r:id="rId36" xr:uid="{C807C542-1270-4352-97A7-1E76DF4099E8}"/>
    <hyperlink ref="I35" r:id="rId37" xr:uid="{4BB39AAD-893B-4803-AC9E-CC740542C94A}"/>
    <hyperlink ref="E37" r:id="rId38" xr:uid="{C61423DB-0BBC-4F3B-95F6-D8A911AEA8C2}"/>
    <hyperlink ref="E38" r:id="rId39" xr:uid="{1FD90661-2E60-4B67-A015-87015A80AE98}"/>
    <hyperlink ref="E39" r:id="rId40" xr:uid="{40583310-860E-41AF-9DEC-5464DB38714E}"/>
    <hyperlink ref="E40" r:id="rId41" xr:uid="{6C1D6DA2-3C19-4BC7-90B3-285E0C4F15E9}"/>
    <hyperlink ref="I40" r:id="rId42" xr:uid="{8AFF7BA7-244A-4907-9CD6-A714ABCDF69A}"/>
    <hyperlink ref="I30" r:id="rId43" xr:uid="{86126C65-9EE4-4DB3-93EA-C78FCA2BCB2D}"/>
    <hyperlink ref="I38" r:id="rId44" xr:uid="{1A81C7EC-1DC5-413D-BF07-2EED1D9F7F65}"/>
    <hyperlink ref="I36" r:id="rId45" xr:uid="{20889CE4-02A4-4F4D-9D8F-5C7F8E79BA8B}"/>
    <hyperlink ref="I37" r:id="rId46" xr:uid="{C9C9D14E-7525-4032-8890-27061A782B55}"/>
    <hyperlink ref="I39" r:id="rId47" xr:uid="{AF7A64BD-9C7D-47A4-AD38-E28B8C99B6D1}"/>
    <hyperlink ref="E42" r:id="rId48" xr:uid="{D26C83C4-918E-4268-A760-9D077F613E2F}"/>
    <hyperlink ref="E44" r:id="rId49" xr:uid="{22A9179C-F196-426F-BB76-BBD666186D39}"/>
    <hyperlink ref="E45" r:id="rId50" xr:uid="{A10F5662-81F9-4FA4-B018-97C58C4FDE1A}"/>
    <hyperlink ref="I41" r:id="rId51" xr:uid="{E1094CAD-174B-4765-B4BD-27490B0BB7C5}"/>
    <hyperlink ref="I42" r:id="rId52" xr:uid="{B125CD8C-C93B-4A2E-B46A-6C3DF50AF372}"/>
    <hyperlink ref="I43" r:id="rId53" xr:uid="{BF76AD2E-83A6-4648-9F23-2F27C3CF33BF}"/>
    <hyperlink ref="I44" r:id="rId54" xr:uid="{026E0FD6-E04B-491D-8E99-F93E30895656}"/>
    <hyperlink ref="I45" r:id="rId55" xr:uid="{2196EACD-E1DB-4074-9BDE-9155AC709F1A}"/>
    <hyperlink ref="I46" r:id="rId56" xr:uid="{944FC3CE-8920-44B6-962B-E455CD1918AD}"/>
    <hyperlink ref="I47" r:id="rId57" xr:uid="{8B5D75AD-F9B0-40B7-B5D4-DD7984B87476}"/>
    <hyperlink ref="E49" r:id="rId58" xr:uid="{848AA405-5BBD-42BE-AC98-2A0635EB4D31}"/>
    <hyperlink ref="I48" r:id="rId59" xr:uid="{82298E09-F38F-4405-AF2D-FF0258961722}"/>
    <hyperlink ref="I49" r:id="rId60" xr:uid="{DE3B04F4-6EC2-4E95-AA79-AE602347F891}"/>
    <hyperlink ref="E50" r:id="rId61" xr:uid="{B773B011-9258-4AC4-815D-12F3EB7F7106}"/>
    <hyperlink ref="I50" r:id="rId62" xr:uid="{C29E4E1A-4DFF-43AE-90FC-362EFFE232E1}"/>
    <hyperlink ref="I51" r:id="rId63" xr:uid="{4F729DE2-7460-4707-B3ED-81B9AFEE40FF}"/>
    <hyperlink ref="I53" r:id="rId64" xr:uid="{04217187-369E-4A11-9270-EEB5C6B04166}"/>
    <hyperlink ref="E54" r:id="rId65" xr:uid="{9897031B-2246-4682-A77D-8793D74BF30A}"/>
    <hyperlink ref="I54" r:id="rId66" xr:uid="{7DF71686-CFFD-4EB7-8524-5459E273B47C}"/>
    <hyperlink ref="E55" r:id="rId67" xr:uid="{826534A6-B4A4-4475-A1D0-56F74C4F8AC6}"/>
    <hyperlink ref="E57" r:id="rId68" xr:uid="{5B72FA5E-2E29-4145-94E1-3BCD0E635C7D}"/>
    <hyperlink ref="I52" r:id="rId69" xr:uid="{09F24ED9-18AA-466E-91AF-26FDB2E71A92}"/>
    <hyperlink ref="I55" r:id="rId70" xr:uid="{432B62BF-BD3D-45AB-92F3-F6B95919180A}"/>
    <hyperlink ref="I56" r:id="rId71" xr:uid="{0BA5B372-71BC-4C6B-804F-29CD16861439}"/>
    <hyperlink ref="E59" r:id="rId72" xr:uid="{1C6652E4-ACB5-4D8B-833F-C41B5165C9A2}"/>
    <hyperlink ref="I58" r:id="rId73" xr:uid="{A2E532AB-93B4-4C79-8734-4E086277239A}"/>
    <hyperlink ref="I59" r:id="rId74" xr:uid="{41A79D16-543A-4874-9B77-107D18C016C8}"/>
    <hyperlink ref="I57" r:id="rId75" xr:uid="{9F1BD6F6-337D-4C01-8599-D446388EA41E}"/>
    <hyperlink ref="E60" r:id="rId76" xr:uid="{4AF644E2-4A9E-471F-9071-4119DA831DED}"/>
    <hyperlink ref="I60" r:id="rId77" xr:uid="{27E2094D-B2AD-477F-8F0C-7A4EDA1A4E0C}"/>
    <hyperlink ref="E61" r:id="rId78" xr:uid="{CB739311-8AF8-49B5-B26A-B247678D8F05}"/>
    <hyperlink ref="I61" r:id="rId79" xr:uid="{D1C089DE-FAD8-4897-9678-185259F43AB4}"/>
    <hyperlink ref="I62" r:id="rId80" xr:uid="{43CD4B73-3901-401D-AC16-ACA3499D9FE1}"/>
    <hyperlink ref="E63" r:id="rId81" xr:uid="{7A28AA6C-442B-4260-B543-A5A5AC0B796C}"/>
    <hyperlink ref="I63" r:id="rId82" xr:uid="{8B205045-9B1D-4103-801C-5800BF15DA74}"/>
    <hyperlink ref="I64" r:id="rId83" xr:uid="{6931A287-9EC5-44B7-AA05-F332423B44B4}"/>
    <hyperlink ref="I65" r:id="rId84" xr:uid="{89BFDBF1-2CB0-4D84-AA63-D623A24A31BF}"/>
    <hyperlink ref="E66" r:id="rId85" xr:uid="{6483F3AA-2B7C-4D1E-B0EE-EDC0D457314B}"/>
    <hyperlink ref="I66" r:id="rId86" xr:uid="{0005CA18-1BD7-4803-9021-222860BC800E}"/>
    <hyperlink ref="I68" r:id="rId87" xr:uid="{0C6380E1-D908-494C-8DF0-BC799DC56CCA}"/>
    <hyperlink ref="E69" r:id="rId88" xr:uid="{4C61CBED-2A39-4083-83C1-C8F110CD7A7A}"/>
    <hyperlink ref="I70" r:id="rId89" xr:uid="{8B5108C0-1B84-4EAC-8C61-83D39D400F4F}"/>
    <hyperlink ref="E71" r:id="rId90" xr:uid="{EA84973E-18E2-4784-9AE4-98ACD8BE5118}"/>
    <hyperlink ref="I71" r:id="rId91" xr:uid="{A9955D4F-99D1-4FD1-B008-E5A2203ACFE0}"/>
    <hyperlink ref="I72" r:id="rId92" xr:uid="{B6014AD0-06D8-4011-8B38-FFC08CDD8DEC}"/>
    <hyperlink ref="I67" r:id="rId93" xr:uid="{609AFBCE-22CF-4B39-B939-545835665E11}"/>
    <hyperlink ref="I4" r:id="rId94" xr:uid="{933F7D95-C3F7-4DE7-B734-428E10F67613}"/>
    <hyperlink ref="I69" r:id="rId95" xr:uid="{6B6D84CC-68EE-4795-8D3D-5F6142111343}"/>
  </hyperlinks>
  <pageMargins left="0.7" right="0.7" top="0.75" bottom="0.75" header="0.3" footer="0.3"/>
  <pageSetup orientation="portrait"/>
  <legacyDrawing r:id="rId9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1DBB-C01B-4CB0-8508-8525218C6842}">
  <dimension ref="A1:CK123"/>
  <sheetViews>
    <sheetView zoomScale="70" zoomScaleNormal="70" zoomScaleSheetLayoutView="40" workbookViewId="0">
      <pane xSplit="4" ySplit="3" topLeftCell="E4" activePane="bottomRight" state="frozen"/>
      <selection pane="bottomRight" activeCell="G5" sqref="G5"/>
      <selection pane="bottomLeft"/>
      <selection pane="topRight"/>
    </sheetView>
  </sheetViews>
  <sheetFormatPr defaultColWidth="8.5703125" defaultRowHeight="15" customHeight="1"/>
  <cols>
    <col min="1" max="1" width="10.42578125" style="14" bestFit="1" customWidth="1"/>
    <col min="2" max="2" width="7.42578125" style="14" customWidth="1"/>
    <col min="3" max="3" width="18.42578125" style="14" bestFit="1" customWidth="1"/>
    <col min="4" max="4" width="11.5703125" style="14" customWidth="1"/>
    <col min="5" max="5" width="21.42578125" style="14" customWidth="1"/>
    <col min="6" max="6" width="15.42578125" style="14" customWidth="1"/>
    <col min="7" max="7" width="42.85546875" style="14" customWidth="1"/>
    <col min="8" max="8" width="37.5703125" style="14" customWidth="1"/>
    <col min="9" max="9" width="30.5703125" style="14" customWidth="1"/>
    <col min="10" max="10" width="21.42578125" style="14" customWidth="1"/>
    <col min="11" max="11" width="30.5703125" style="14" customWidth="1"/>
    <col min="12" max="12" width="11.42578125" style="14" customWidth="1"/>
    <col min="13" max="13" width="11.5703125" style="14" customWidth="1"/>
    <col min="14" max="14" width="15.42578125" style="107" customWidth="1"/>
    <col min="15" max="16" width="15.42578125" style="14" customWidth="1"/>
    <col min="17" max="17" width="15.42578125" style="107" customWidth="1"/>
    <col min="18" max="18" width="15.42578125" style="14" customWidth="1"/>
    <col min="19" max="24" width="15.42578125" style="355" customWidth="1"/>
    <col min="25" max="27" width="15.42578125" style="14" customWidth="1"/>
    <col min="28" max="30" width="13.42578125" style="14" customWidth="1"/>
    <col min="31" max="31" width="13.5703125" style="14" customWidth="1"/>
    <col min="32" max="34" width="10.42578125" style="14" customWidth="1"/>
    <col min="35" max="35" width="14.42578125" style="14" customWidth="1"/>
    <col min="36" max="36" width="11.42578125" style="14" customWidth="1"/>
    <col min="37" max="38" width="8.5703125" style="14" customWidth="1"/>
    <col min="39" max="39" width="14.42578125" style="14" customWidth="1"/>
    <col min="40" max="41" width="11.42578125" style="14" customWidth="1"/>
    <col min="42" max="42" width="8.5703125" style="14" customWidth="1"/>
    <col min="43" max="43" width="14.42578125" style="14" customWidth="1"/>
    <col min="44" max="44" width="11.42578125" style="14" customWidth="1"/>
    <col min="45" max="45" width="8.5703125" style="14" customWidth="1"/>
    <col min="46" max="46" width="14.42578125" style="14" customWidth="1"/>
    <col min="47" max="47" width="11.42578125" style="14" customWidth="1"/>
    <col min="48" max="49" width="8.5703125" style="14" customWidth="1"/>
    <col min="50" max="50" width="14.42578125" style="14" customWidth="1"/>
    <col min="51" max="51" width="11.42578125" style="14" customWidth="1"/>
    <col min="52" max="55" width="8.5703125" style="14" customWidth="1"/>
    <col min="56" max="56" width="10.42578125" style="14" customWidth="1"/>
    <col min="57" max="60" width="8.5703125" style="14" customWidth="1"/>
    <col min="61" max="61" width="10.5703125" style="14" customWidth="1"/>
    <col min="62" max="65" width="8.5703125" style="14" customWidth="1"/>
    <col min="66" max="66" width="11.42578125" style="14" customWidth="1"/>
    <col min="67" max="70" width="8.5703125" style="14" customWidth="1"/>
    <col min="71" max="71" width="11.42578125" style="14" customWidth="1"/>
    <col min="72" max="75" width="8.5703125" style="14" customWidth="1"/>
    <col min="76" max="76" width="11.42578125" style="14" customWidth="1"/>
    <col min="77" max="89" width="8.5703125" style="14" customWidth="1"/>
    <col min="90" max="16384" width="8.5703125" style="14"/>
  </cols>
  <sheetData>
    <row r="1" spans="1:89">
      <c r="A1" s="1"/>
      <c r="B1" s="2"/>
      <c r="C1" s="3"/>
      <c r="D1" s="4"/>
      <c r="E1" s="4"/>
      <c r="F1" s="4"/>
      <c r="G1" s="4"/>
      <c r="H1" s="4"/>
      <c r="I1" s="4"/>
      <c r="J1" s="4"/>
      <c r="K1" s="4"/>
      <c r="L1" s="4"/>
      <c r="M1" s="4"/>
      <c r="N1" s="5"/>
      <c r="O1" s="6"/>
      <c r="P1" s="6"/>
      <c r="Q1" s="5"/>
      <c r="R1" s="6"/>
      <c r="S1" s="287"/>
      <c r="T1" s="287"/>
      <c r="U1" s="287"/>
      <c r="V1" s="287"/>
      <c r="W1" s="287"/>
      <c r="X1" s="287"/>
      <c r="Y1" s="6"/>
      <c r="Z1" s="6"/>
      <c r="AA1" s="6"/>
      <c r="AB1" s="4"/>
      <c r="AC1" s="4"/>
      <c r="AD1" s="4"/>
      <c r="AE1" s="7"/>
      <c r="AF1" s="4"/>
      <c r="AG1" s="4"/>
      <c r="AH1" s="4"/>
      <c r="AI1" s="10" t="s">
        <v>3404</v>
      </c>
      <c r="AJ1" s="10"/>
      <c r="AK1" s="10"/>
      <c r="AL1" s="10"/>
      <c r="AM1" s="10"/>
      <c r="AN1" s="10" t="s">
        <v>3405</v>
      </c>
      <c r="AO1" s="10"/>
      <c r="AP1" s="10"/>
      <c r="AQ1" s="10"/>
      <c r="AR1" s="10"/>
      <c r="AS1" s="288" t="s">
        <v>4020</v>
      </c>
      <c r="AT1" s="288"/>
      <c r="AU1" s="288"/>
      <c r="AV1" s="288"/>
      <c r="AW1" s="288"/>
      <c r="AX1" s="10" t="s">
        <v>4525</v>
      </c>
      <c r="AY1" s="10"/>
      <c r="AZ1" s="10"/>
      <c r="BA1" s="10"/>
      <c r="BB1" s="10"/>
      <c r="BC1" s="10" t="s">
        <v>4526</v>
      </c>
      <c r="BD1" s="10"/>
      <c r="BE1" s="10"/>
      <c r="BF1" s="10"/>
      <c r="BG1" s="10"/>
      <c r="BH1" s="11" t="s">
        <v>4527</v>
      </c>
      <c r="BI1" s="12"/>
      <c r="BJ1" s="12"/>
      <c r="BK1" s="12"/>
      <c r="BL1" s="289"/>
      <c r="BM1" s="10" t="s">
        <v>4924</v>
      </c>
      <c r="BN1" s="10"/>
      <c r="BO1" s="10"/>
      <c r="BP1" s="10"/>
      <c r="BQ1" s="10"/>
      <c r="BR1" s="288" t="s">
        <v>4925</v>
      </c>
      <c r="BS1" s="288"/>
      <c r="BT1" s="288"/>
      <c r="BU1" s="288"/>
      <c r="BV1" s="288"/>
      <c r="BW1" s="288" t="s">
        <v>4530</v>
      </c>
      <c r="BX1" s="288"/>
      <c r="BY1" s="288"/>
      <c r="BZ1" s="288"/>
      <c r="CA1" s="288"/>
      <c r="CB1" s="10" t="s">
        <v>4926</v>
      </c>
      <c r="CC1" s="10"/>
      <c r="CD1" s="10"/>
      <c r="CE1" s="10"/>
      <c r="CF1" s="10"/>
      <c r="CG1" s="10"/>
      <c r="CH1" s="10"/>
      <c r="CI1" s="10"/>
      <c r="CJ1" s="10"/>
      <c r="CK1" s="10"/>
    </row>
    <row r="2" spans="1:89" ht="91.5">
      <c r="A2" s="15" t="s">
        <v>14</v>
      </c>
      <c r="B2" s="15" t="s">
        <v>1330</v>
      </c>
      <c r="C2" s="252" t="s">
        <v>3559</v>
      </c>
      <c r="D2" s="252" t="s">
        <v>4534</v>
      </c>
      <c r="E2" s="252" t="s">
        <v>7</v>
      </c>
      <c r="F2" s="15" t="s">
        <v>2</v>
      </c>
      <c r="G2" s="15" t="s">
        <v>16</v>
      </c>
      <c r="H2" s="15" t="s">
        <v>3556</v>
      </c>
      <c r="I2" s="15" t="s">
        <v>4022</v>
      </c>
      <c r="J2" s="15" t="s">
        <v>4023</v>
      </c>
      <c r="K2" s="15" t="s">
        <v>4024</v>
      </c>
      <c r="L2" s="15" t="s">
        <v>3561</v>
      </c>
      <c r="M2" s="15" t="s">
        <v>3562</v>
      </c>
      <c r="N2" s="16" t="s">
        <v>3409</v>
      </c>
      <c r="O2" s="16" t="s">
        <v>4032</v>
      </c>
      <c r="P2" s="16" t="s">
        <v>3557</v>
      </c>
      <c r="Q2" s="290" t="s">
        <v>4927</v>
      </c>
      <c r="R2" s="290" t="s">
        <v>4928</v>
      </c>
      <c r="S2" s="290" t="s">
        <v>4929</v>
      </c>
      <c r="T2" s="290" t="s">
        <v>4930</v>
      </c>
      <c r="U2" s="290" t="s">
        <v>4931</v>
      </c>
      <c r="V2" s="290" t="s">
        <v>3409</v>
      </c>
      <c r="W2" s="290" t="s">
        <v>4932</v>
      </c>
      <c r="X2" s="290" t="s">
        <v>4933</v>
      </c>
      <c r="Y2" s="16" t="s">
        <v>4025</v>
      </c>
      <c r="Z2" s="17" t="s">
        <v>4535</v>
      </c>
      <c r="AA2" s="17" t="s">
        <v>4536</v>
      </c>
      <c r="AB2" s="17" t="s">
        <v>4026</v>
      </c>
      <c r="AC2" s="18" t="s">
        <v>4027</v>
      </c>
      <c r="AD2" s="18" t="s">
        <v>4028</v>
      </c>
      <c r="AE2" s="19" t="s">
        <v>4537</v>
      </c>
      <c r="AF2" s="20" t="s">
        <v>4029</v>
      </c>
      <c r="AG2" s="20" t="s">
        <v>4030</v>
      </c>
      <c r="AH2" s="20" t="s">
        <v>4031</v>
      </c>
      <c r="AI2" s="19" t="s">
        <v>1334</v>
      </c>
      <c r="AJ2" s="19" t="s">
        <v>3413</v>
      </c>
      <c r="AK2" s="19" t="s">
        <v>4034</v>
      </c>
      <c r="AL2" s="19" t="s">
        <v>4035</v>
      </c>
      <c r="AM2" s="19" t="s">
        <v>3414</v>
      </c>
      <c r="AN2" s="19" t="s">
        <v>1334</v>
      </c>
      <c r="AO2" s="19" t="s">
        <v>3413</v>
      </c>
      <c r="AP2" s="19" t="s">
        <v>4034</v>
      </c>
      <c r="AQ2" s="19" t="s">
        <v>4035</v>
      </c>
      <c r="AR2" s="21" t="s">
        <v>3414</v>
      </c>
      <c r="AS2" s="24" t="s">
        <v>1334</v>
      </c>
      <c r="AT2" s="19" t="s">
        <v>3413</v>
      </c>
      <c r="AU2" s="19" t="s">
        <v>4034</v>
      </c>
      <c r="AV2" s="19" t="s">
        <v>4035</v>
      </c>
      <c r="AW2" s="19" t="s">
        <v>3414</v>
      </c>
      <c r="AX2" s="19" t="s">
        <v>1334</v>
      </c>
      <c r="AY2" s="19" t="s">
        <v>3413</v>
      </c>
      <c r="AZ2" s="19" t="s">
        <v>4034</v>
      </c>
      <c r="BA2" s="19" t="s">
        <v>4035</v>
      </c>
      <c r="BB2" s="19" t="s">
        <v>3414</v>
      </c>
      <c r="BC2" s="19" t="s">
        <v>1334</v>
      </c>
      <c r="BD2" s="19" t="s">
        <v>3413</v>
      </c>
      <c r="BE2" s="19" t="s">
        <v>4034</v>
      </c>
      <c r="BF2" s="19" t="s">
        <v>4035</v>
      </c>
      <c r="BG2" s="21" t="s">
        <v>3414</v>
      </c>
      <c r="BH2" s="25" t="s">
        <v>1334</v>
      </c>
      <c r="BI2" s="19" t="s">
        <v>3413</v>
      </c>
      <c r="BJ2" s="19" t="s">
        <v>4034</v>
      </c>
      <c r="BK2" s="19" t="s">
        <v>4035</v>
      </c>
      <c r="BL2" s="26" t="s">
        <v>3414</v>
      </c>
      <c r="BM2" s="24" t="s">
        <v>1334</v>
      </c>
      <c r="BN2" s="19" t="s">
        <v>3413</v>
      </c>
      <c r="BO2" s="19" t="s">
        <v>4034</v>
      </c>
      <c r="BP2" s="19" t="s">
        <v>4035</v>
      </c>
      <c r="BQ2" s="19" t="s">
        <v>3414</v>
      </c>
      <c r="BR2" s="19" t="s">
        <v>1334</v>
      </c>
      <c r="BS2" s="19" t="s">
        <v>3413</v>
      </c>
      <c r="BT2" s="19" t="s">
        <v>4034</v>
      </c>
      <c r="BU2" s="19" t="s">
        <v>4035</v>
      </c>
      <c r="BV2" s="19" t="s">
        <v>3414</v>
      </c>
      <c r="BW2" s="19" t="s">
        <v>1334</v>
      </c>
      <c r="BX2" s="19" t="s">
        <v>3413</v>
      </c>
      <c r="BY2" s="19" t="s">
        <v>4034</v>
      </c>
      <c r="BZ2" s="19" t="s">
        <v>4035</v>
      </c>
      <c r="CA2" s="19" t="s">
        <v>3414</v>
      </c>
      <c r="CB2" s="19" t="s">
        <v>1334</v>
      </c>
      <c r="CC2" s="19" t="s">
        <v>3413</v>
      </c>
      <c r="CD2" s="19" t="s">
        <v>4034</v>
      </c>
      <c r="CE2" s="19" t="s">
        <v>4035</v>
      </c>
      <c r="CF2" s="19" t="s">
        <v>3414</v>
      </c>
      <c r="CG2" s="19" t="s">
        <v>1334</v>
      </c>
      <c r="CH2" s="19" t="s">
        <v>3413</v>
      </c>
      <c r="CI2" s="19" t="s">
        <v>4034</v>
      </c>
      <c r="CJ2" s="19" t="s">
        <v>4035</v>
      </c>
      <c r="CK2" s="19" t="s">
        <v>3414</v>
      </c>
    </row>
    <row r="3" spans="1:89">
      <c r="A3" s="15"/>
      <c r="B3" s="15"/>
      <c r="C3" s="252"/>
      <c r="D3" s="252"/>
      <c r="E3" s="252"/>
      <c r="F3" s="15"/>
      <c r="G3" s="15"/>
      <c r="H3" s="252"/>
      <c r="I3" s="15"/>
      <c r="J3" s="15"/>
      <c r="K3" s="15"/>
      <c r="L3" s="15"/>
      <c r="M3" s="15"/>
      <c r="N3" s="16"/>
      <c r="O3" s="16"/>
      <c r="P3" s="16"/>
      <c r="Q3" s="16"/>
      <c r="R3" s="16"/>
      <c r="S3" s="16"/>
      <c r="T3" s="16"/>
      <c r="U3" s="16"/>
      <c r="V3" s="16"/>
      <c r="W3" s="16"/>
      <c r="X3" s="16"/>
      <c r="Y3" s="16"/>
      <c r="Z3" s="17"/>
      <c r="AA3" s="17"/>
      <c r="AB3" s="17"/>
      <c r="AC3" s="18"/>
      <c r="AD3" s="18"/>
      <c r="AE3" s="19"/>
      <c r="AF3" s="20"/>
      <c r="AG3" s="20"/>
      <c r="AH3" s="20"/>
      <c r="AI3" s="19"/>
      <c r="AJ3" s="19"/>
      <c r="AK3" s="19"/>
      <c r="AL3" s="19"/>
      <c r="AM3" s="19"/>
      <c r="AN3" s="19"/>
      <c r="AO3" s="19"/>
      <c r="AP3" s="19"/>
      <c r="AQ3" s="19"/>
      <c r="AR3" s="21"/>
      <c r="AS3" s="24"/>
      <c r="AT3" s="19"/>
      <c r="AU3" s="19"/>
      <c r="AV3" s="19"/>
      <c r="AW3" s="19"/>
      <c r="AX3" s="19"/>
      <c r="AY3" s="19"/>
      <c r="AZ3" s="19"/>
      <c r="BA3" s="19"/>
      <c r="BB3" s="19"/>
      <c r="BC3" s="19"/>
      <c r="BD3" s="19"/>
      <c r="BE3" s="19"/>
      <c r="BF3" s="19"/>
      <c r="BG3" s="21"/>
      <c r="BH3" s="27"/>
      <c r="BI3" s="28"/>
      <c r="BJ3" s="28"/>
      <c r="BK3" s="28"/>
      <c r="BL3" s="29"/>
      <c r="BM3" s="24"/>
      <c r="BN3" s="19"/>
      <c r="BO3" s="19"/>
      <c r="BP3" s="19"/>
      <c r="BQ3" s="19"/>
      <c r="BR3" s="19"/>
      <c r="BS3" s="19"/>
      <c r="BT3" s="19"/>
      <c r="BU3" s="19"/>
      <c r="BV3" s="19"/>
      <c r="BW3" s="19"/>
      <c r="BX3" s="19"/>
      <c r="BY3" s="19"/>
      <c r="BZ3" s="19"/>
      <c r="CA3" s="19"/>
      <c r="CB3" s="291"/>
      <c r="CC3" s="291"/>
      <c r="CD3" s="291"/>
      <c r="CE3" s="291"/>
      <c r="CF3" s="291"/>
      <c r="CG3" s="291"/>
      <c r="CH3" s="291"/>
      <c r="CI3" s="291"/>
      <c r="CJ3" s="291"/>
      <c r="CK3" s="291"/>
    </row>
    <row r="4" spans="1:89" ht="76.5">
      <c r="A4" s="30" t="s">
        <v>4538</v>
      </c>
      <c r="B4" s="31">
        <f>IFERROR(B2+1,1)</f>
        <v>1</v>
      </c>
      <c r="C4" s="32" t="s">
        <v>4539</v>
      </c>
      <c r="D4" s="30" t="s">
        <v>4540</v>
      </c>
      <c r="E4" s="30" t="s">
        <v>4490</v>
      </c>
      <c r="F4" s="30" t="s">
        <v>4491</v>
      </c>
      <c r="G4" s="30" t="s">
        <v>4492</v>
      </c>
      <c r="H4" s="30" t="s">
        <v>4493</v>
      </c>
      <c r="I4" s="33" t="s">
        <v>4482</v>
      </c>
      <c r="J4" s="30" t="s">
        <v>3575</v>
      </c>
      <c r="K4" s="34"/>
      <c r="L4" s="35" t="e">
        <f>INDEX([1]Timeline!$E$10:$E$24,MATCH(A4,[1]Timeline!$C$10:$C$24,0))</f>
        <v>#N/A</v>
      </c>
      <c r="M4" s="36">
        <v>45291</v>
      </c>
      <c r="N4" s="37">
        <v>0</v>
      </c>
      <c r="O4" s="37" t="e">
        <f t="shared" ref="O4:O67" si="0">MAX((6-MONTH(L4)+1)*N4,0)</f>
        <v>#N/A</v>
      </c>
      <c r="P4" s="37" t="e">
        <f t="shared" ref="P4:P67" si="1">(MONTH(M4)-MONTH(L4)+1)*N4</f>
        <v>#N/A</v>
      </c>
      <c r="Q4" s="37">
        <v>0</v>
      </c>
      <c r="R4" s="37" t="e">
        <f>MAX((6-MONTH(O4)+1)*Q4,0)</f>
        <v>#N/A</v>
      </c>
      <c r="S4" s="37" t="e">
        <f>(MONTH(P4)-MONTH(O4)+1)*Q4</f>
        <v>#N/A</v>
      </c>
      <c r="T4" s="37"/>
      <c r="U4" s="37"/>
      <c r="V4" s="37"/>
      <c r="W4" s="37"/>
      <c r="X4" s="37"/>
      <c r="Y4" s="37"/>
      <c r="Z4" s="37">
        <f>1+LEN(D4)-LEN(SUBSTITUTE(D4,",",""))</f>
        <v>2</v>
      </c>
      <c r="AA4" s="37">
        <f>1/Z4</f>
        <v>0.5</v>
      </c>
      <c r="AB4" s="38">
        <f>N4*AA4</f>
        <v>0</v>
      </c>
      <c r="AC4" s="38" t="e">
        <f t="shared" ref="AC4:AC67" si="2">MAX(0,(6-MONTH(L4)+1)*AB4)</f>
        <v>#N/A</v>
      </c>
      <c r="AD4" s="38" t="e">
        <f t="shared" ref="AD4:AD67" si="3">(MONTH(M4)-MONTH(L4)+1)*AB4</f>
        <v>#N/A</v>
      </c>
      <c r="AE4" s="30">
        <v>1</v>
      </c>
      <c r="AF4" s="39" t="e">
        <f t="shared" ref="AF4:AF67" si="4">AVERAGE(AG4:AH4)</f>
        <v>#DIV/0!</v>
      </c>
      <c r="AG4" s="39" t="e">
        <f>IF(AE4&gt;0,AVERAGE(AI4:AJ4,AN4:AO4,AS4:AT4,AX4:AY4,BC4:BD4,BH4:BI4,BM4:BN4),0)</f>
        <v>#DIV/0!</v>
      </c>
      <c r="AH4" s="39" t="e">
        <f>IF(AE4&gt;0,AVERAGE(AK4:AL4,AP4:AQ4,AU4:AV4,AZ4:BA4,BE4:BF4,BJ4:BK4,BO4:BP4),0)</f>
        <v>#DIV/0!</v>
      </c>
      <c r="AI4" s="30"/>
      <c r="AJ4" s="30"/>
      <c r="AK4" s="30"/>
      <c r="AL4" s="30"/>
      <c r="AM4" s="40">
        <f t="shared" ref="AM4:AM67" si="5">IFERROR(SUM(AI4:AL4)/4,0)</f>
        <v>0</v>
      </c>
      <c r="AN4" s="30"/>
      <c r="AO4" s="30"/>
      <c r="AP4" s="30"/>
      <c r="AQ4" s="30"/>
      <c r="AR4" s="41">
        <f t="shared" ref="AR4:AR67" si="6">IFERROR(SUM(AN4:AQ4)/4,0)</f>
        <v>0</v>
      </c>
      <c r="AS4" s="44"/>
      <c r="AT4" s="30"/>
      <c r="AU4" s="30"/>
      <c r="AV4" s="30"/>
      <c r="AW4" s="40">
        <f t="shared" ref="AW4:AW67" si="7">IFERROR(SUM(AS4:AV4)/4,0)</f>
        <v>0</v>
      </c>
      <c r="AX4" s="30"/>
      <c r="AY4" s="30"/>
      <c r="AZ4" s="30"/>
      <c r="BA4" s="30"/>
      <c r="BB4" s="40">
        <f t="shared" ref="BB4:BB67" si="8">IFERROR(SUM(AX4:BA4)/4,0)</f>
        <v>0</v>
      </c>
      <c r="BC4" s="30"/>
      <c r="BD4" s="30"/>
      <c r="BE4" s="30"/>
      <c r="BF4" s="30"/>
      <c r="BG4" s="40">
        <f t="shared" ref="BG4:BG67" si="9">IFERROR(SUM(BC4:BF4)/4,0)</f>
        <v>0</v>
      </c>
      <c r="BH4" s="292"/>
      <c r="BI4" s="292"/>
      <c r="BJ4" s="292"/>
      <c r="BK4" s="292"/>
      <c r="BL4" s="293">
        <f t="shared" ref="BL4:BL10" si="10">IFERROR(SUM(BH4:BK4)/4,0)</f>
        <v>0</v>
      </c>
      <c r="BM4" s="30"/>
      <c r="BN4" s="30"/>
      <c r="BO4" s="30"/>
      <c r="BP4" s="30"/>
      <c r="BQ4" s="40">
        <f t="shared" ref="BQ4:BQ67" si="11">IFERROR(SUM(BM4:BP4)/4,0)</f>
        <v>0</v>
      </c>
      <c r="BR4" s="30"/>
      <c r="BS4" s="30"/>
      <c r="BT4" s="30"/>
      <c r="BU4" s="30"/>
      <c r="BV4" s="40">
        <f t="shared" ref="BV4:BV67" si="12">IFERROR(SUM(BR4:BU4)/4,0)</f>
        <v>0</v>
      </c>
      <c r="BW4" s="30"/>
      <c r="BX4" s="30"/>
      <c r="BY4" s="30"/>
      <c r="BZ4" s="30"/>
      <c r="CA4" s="40">
        <f t="shared" ref="CA4:CA67" si="13">IFERROR(SUM(BW4:BZ4)/4,0)</f>
        <v>0</v>
      </c>
      <c r="CB4" s="291"/>
      <c r="CC4" s="291"/>
      <c r="CD4" s="291"/>
      <c r="CE4" s="291"/>
      <c r="CF4" s="291"/>
      <c r="CG4" s="291"/>
      <c r="CH4" s="291"/>
      <c r="CI4" s="291"/>
      <c r="CJ4" s="291"/>
      <c r="CK4" s="291"/>
    </row>
    <row r="5" spans="1:89" ht="263.25" customHeight="1">
      <c r="A5" s="45">
        <v>3</v>
      </c>
      <c r="B5" s="50">
        <f t="shared" ref="B5:B60" si="14">IFERROR(B4+1,1)</f>
        <v>2</v>
      </c>
      <c r="C5" s="294" t="s">
        <v>4857</v>
      </c>
      <c r="D5" s="294" t="s">
        <v>4934</v>
      </c>
      <c r="E5" s="45" t="s">
        <v>4935</v>
      </c>
      <c r="F5" s="45" t="s">
        <v>4936</v>
      </c>
      <c r="G5" s="45" t="s">
        <v>4937</v>
      </c>
      <c r="H5" s="74" t="s">
        <v>4938</v>
      </c>
      <c r="I5" s="52" t="s">
        <v>4939</v>
      </c>
      <c r="J5" s="45" t="s">
        <v>3575</v>
      </c>
      <c r="K5" s="53"/>
      <c r="L5" s="54" t="e">
        <f>INDEX([1]Timeline!$E$10:$E$24,MATCH(A5,[1]Timeline!$C$10:$C$24,0))</f>
        <v>#N/A</v>
      </c>
      <c r="M5" s="55">
        <v>45291</v>
      </c>
      <c r="N5" s="56">
        <v>1219166</v>
      </c>
      <c r="O5" s="57" t="e">
        <f t="shared" si="0"/>
        <v>#N/A</v>
      </c>
      <c r="P5" s="56" t="e">
        <f t="shared" si="1"/>
        <v>#N/A</v>
      </c>
      <c r="Q5" s="56">
        <f>V5*0.055/8*0.87</f>
        <v>0.18673462499999999</v>
      </c>
      <c r="R5" s="57" t="e">
        <f t="shared" ref="R5:R68" si="15">MAX((6-MONTH($L5)+1)*Q5,0)</f>
        <v>#N/A</v>
      </c>
      <c r="S5" s="56" t="e">
        <f t="shared" ref="S5:S68" si="16">(MONTH($M5)-MONTH($L5)+1)*Q5</f>
        <v>#N/A</v>
      </c>
      <c r="T5" s="56" t="s">
        <v>4940</v>
      </c>
      <c r="U5" s="56" t="s">
        <v>4941</v>
      </c>
      <c r="V5" s="56">
        <v>31.22</v>
      </c>
      <c r="W5" s="56" t="s">
        <v>4942</v>
      </c>
      <c r="X5" s="56">
        <f>V5*0.055/8</f>
        <v>0.21463749999999998</v>
      </c>
      <c r="Y5" s="56" t="s">
        <v>2773</v>
      </c>
      <c r="Z5" s="56">
        <v>1</v>
      </c>
      <c r="AA5" s="56">
        <v>1</v>
      </c>
      <c r="AB5" s="58">
        <f>N5/Z5</f>
        <v>1219166</v>
      </c>
      <c r="AC5" s="58" t="e">
        <f t="shared" si="2"/>
        <v>#N/A</v>
      </c>
      <c r="AD5" s="58" t="e">
        <f t="shared" si="3"/>
        <v>#N/A</v>
      </c>
      <c r="AE5" s="45">
        <v>1</v>
      </c>
      <c r="AF5" s="59">
        <f t="shared" si="4"/>
        <v>2.75</v>
      </c>
      <c r="AG5" s="59">
        <f t="shared" ref="AG5:AG68" si="17">IF(AE5&gt;0,AVERAGE(AI5:AJ5,AN5:AO5,AS5:AT5,AX5:AY5,BC5:BD5,BH5:BI5,BM5:BN5,BR5:BS5,BY5:BZ5,CB5:CC5),0)</f>
        <v>3.5</v>
      </c>
      <c r="AH5" s="60">
        <f t="shared" ref="AH5:AH68" si="18">IF(AE5&gt;0,AVERAGE(AK5:AL5,AP5:AQ5,AU5:AV5,AZ5:BA5,BE5:BF5,BJ5:BK5,BO5:BP5,BT5:BU5,BY5:BZ5,CD5:CE5),0)</f>
        <v>2</v>
      </c>
      <c r="AI5" s="45"/>
      <c r="AJ5" s="45"/>
      <c r="AK5" s="45"/>
      <c r="AL5" s="45"/>
      <c r="AM5" s="46">
        <f t="shared" si="5"/>
        <v>0</v>
      </c>
      <c r="AN5" s="45">
        <v>4</v>
      </c>
      <c r="AO5" s="45">
        <v>3</v>
      </c>
      <c r="AP5" s="45">
        <v>2</v>
      </c>
      <c r="AQ5" s="45">
        <v>2</v>
      </c>
      <c r="AR5" s="61">
        <f t="shared" si="6"/>
        <v>2.75</v>
      </c>
      <c r="AS5" s="103">
        <v>4</v>
      </c>
      <c r="AT5" s="103">
        <v>3</v>
      </c>
      <c r="AU5" s="103">
        <v>2</v>
      </c>
      <c r="AV5" s="103">
        <v>2</v>
      </c>
      <c r="AW5" s="46">
        <f t="shared" si="7"/>
        <v>2.75</v>
      </c>
      <c r="AX5" s="45">
        <v>4</v>
      </c>
      <c r="AY5" s="45">
        <v>3</v>
      </c>
      <c r="AZ5" s="45">
        <v>2</v>
      </c>
      <c r="BA5" s="45">
        <v>2</v>
      </c>
      <c r="BB5" s="46">
        <f t="shared" si="8"/>
        <v>2.75</v>
      </c>
      <c r="BC5" s="45"/>
      <c r="BD5" s="45"/>
      <c r="BE5" s="45"/>
      <c r="BF5" s="45"/>
      <c r="BG5" s="47">
        <f t="shared" si="9"/>
        <v>0</v>
      </c>
      <c r="BH5" s="45"/>
      <c r="BI5" s="45"/>
      <c r="BJ5" s="45"/>
      <c r="BK5" s="45"/>
      <c r="BL5" s="46">
        <f t="shared" si="10"/>
        <v>0</v>
      </c>
      <c r="BM5" s="45"/>
      <c r="BN5" s="45"/>
      <c r="BO5" s="45"/>
      <c r="BP5" s="45"/>
      <c r="BQ5" s="46">
        <f t="shared" si="11"/>
        <v>0</v>
      </c>
      <c r="BR5" s="45"/>
      <c r="BS5" s="45"/>
      <c r="BT5" s="45"/>
      <c r="BU5" s="45"/>
      <c r="BV5" s="46">
        <f t="shared" si="12"/>
        <v>0</v>
      </c>
      <c r="BW5" s="45"/>
      <c r="BX5" s="45"/>
      <c r="BY5" s="45"/>
      <c r="BZ5" s="45"/>
      <c r="CA5" s="46">
        <f t="shared" si="13"/>
        <v>0</v>
      </c>
      <c r="CB5" s="291"/>
      <c r="CC5" s="291"/>
      <c r="CD5" s="291"/>
      <c r="CE5" s="291"/>
      <c r="CF5" s="291"/>
      <c r="CG5" s="291"/>
      <c r="CH5" s="291"/>
      <c r="CI5" s="291"/>
      <c r="CJ5" s="291"/>
      <c r="CK5" s="291"/>
    </row>
    <row r="6" spans="1:89" ht="36.6" customHeight="1">
      <c r="A6" s="45">
        <v>2</v>
      </c>
      <c r="B6" s="50">
        <f t="shared" si="14"/>
        <v>3</v>
      </c>
      <c r="C6" s="51" t="s">
        <v>4791</v>
      </c>
      <c r="D6" s="45" t="s">
        <v>3534</v>
      </c>
      <c r="E6" s="51" t="s">
        <v>4943</v>
      </c>
      <c r="F6" s="45" t="s">
        <v>4944</v>
      </c>
      <c r="G6" s="45" t="s">
        <v>4945</v>
      </c>
      <c r="H6" s="45" t="s">
        <v>4946</v>
      </c>
      <c r="I6" s="69" t="s">
        <v>4947</v>
      </c>
      <c r="J6" s="45" t="s">
        <v>3575</v>
      </c>
      <c r="K6" s="53"/>
      <c r="L6" s="54" t="e">
        <f>INDEX([1]Timeline!$E$10:$E$24,MATCH(A6,[1]Timeline!$C$10:$C$24,0))</f>
        <v>#N/A</v>
      </c>
      <c r="M6" s="55">
        <v>45291</v>
      </c>
      <c r="N6" s="57">
        <v>2214657</v>
      </c>
      <c r="O6" s="57" t="e">
        <f t="shared" si="0"/>
        <v>#N/A</v>
      </c>
      <c r="P6" s="57" t="e">
        <f t="shared" si="1"/>
        <v>#N/A</v>
      </c>
      <c r="Q6" s="57">
        <f>1988*0.6</f>
        <v>1192.8</v>
      </c>
      <c r="R6" s="57" t="e">
        <f t="shared" si="15"/>
        <v>#N/A</v>
      </c>
      <c r="S6" s="56" t="e">
        <f t="shared" si="16"/>
        <v>#N/A</v>
      </c>
      <c r="T6" s="56" t="s">
        <v>4940</v>
      </c>
      <c r="U6" s="56" t="s">
        <v>4940</v>
      </c>
      <c r="V6" s="56">
        <v>1986.7</v>
      </c>
      <c r="W6" s="56" t="s">
        <v>4948</v>
      </c>
      <c r="X6" s="56"/>
      <c r="Y6" s="57" t="s">
        <v>4686</v>
      </c>
      <c r="Z6" s="57">
        <v>1</v>
      </c>
      <c r="AA6" s="57">
        <v>1</v>
      </c>
      <c r="AB6" s="58">
        <f>N6/Z6</f>
        <v>2214657</v>
      </c>
      <c r="AC6" s="58" t="e">
        <f t="shared" si="2"/>
        <v>#N/A</v>
      </c>
      <c r="AD6" s="58" t="e">
        <f t="shared" si="3"/>
        <v>#N/A</v>
      </c>
      <c r="AE6" s="45">
        <v>1</v>
      </c>
      <c r="AF6" s="60">
        <f t="shared" si="4"/>
        <v>3.083333333333333</v>
      </c>
      <c r="AG6" s="59">
        <f t="shared" si="17"/>
        <v>4</v>
      </c>
      <c r="AH6" s="60">
        <f t="shared" si="18"/>
        <v>2.1666666666666665</v>
      </c>
      <c r="AI6" s="45"/>
      <c r="AJ6" s="45"/>
      <c r="AK6" s="45"/>
      <c r="AL6" s="45"/>
      <c r="AM6" s="47">
        <f t="shared" si="5"/>
        <v>0</v>
      </c>
      <c r="AN6" s="45">
        <v>4</v>
      </c>
      <c r="AO6" s="45">
        <v>4</v>
      </c>
      <c r="AP6" s="45">
        <v>2</v>
      </c>
      <c r="AQ6" s="45">
        <v>2</v>
      </c>
      <c r="AR6" s="70">
        <f t="shared" si="6"/>
        <v>3</v>
      </c>
      <c r="AS6" s="105">
        <v>4</v>
      </c>
      <c r="AT6" s="105">
        <v>4</v>
      </c>
      <c r="AU6" s="105">
        <v>3</v>
      </c>
      <c r="AV6" s="105">
        <v>2</v>
      </c>
      <c r="AW6" s="47">
        <f t="shared" si="7"/>
        <v>3.25</v>
      </c>
      <c r="AX6" s="45">
        <v>4</v>
      </c>
      <c r="AY6" s="45">
        <v>4</v>
      </c>
      <c r="AZ6" s="45">
        <v>2</v>
      </c>
      <c r="BA6" s="45">
        <v>2</v>
      </c>
      <c r="BB6" s="47">
        <f t="shared" si="8"/>
        <v>3</v>
      </c>
      <c r="BC6" s="45"/>
      <c r="BD6" s="45"/>
      <c r="BE6" s="45"/>
      <c r="BF6" s="45"/>
      <c r="BG6" s="47">
        <f t="shared" si="9"/>
        <v>0</v>
      </c>
      <c r="BH6" s="45"/>
      <c r="BI6" s="45"/>
      <c r="BJ6" s="45"/>
      <c r="BK6" s="45"/>
      <c r="BL6" s="46">
        <f t="shared" si="10"/>
        <v>0</v>
      </c>
      <c r="BM6" s="45"/>
      <c r="BN6" s="45"/>
      <c r="BO6" s="45"/>
      <c r="BP6" s="45"/>
      <c r="BQ6" s="47">
        <f t="shared" si="11"/>
        <v>0</v>
      </c>
      <c r="BR6" s="45"/>
      <c r="BS6" s="45"/>
      <c r="BT6" s="45"/>
      <c r="BU6" s="45"/>
      <c r="BV6" s="47">
        <f t="shared" si="12"/>
        <v>0</v>
      </c>
      <c r="BW6" s="45"/>
      <c r="BX6" s="45"/>
      <c r="BY6" s="45"/>
      <c r="BZ6" s="45"/>
      <c r="CA6" s="47">
        <f t="shared" si="13"/>
        <v>0</v>
      </c>
      <c r="CB6" s="291"/>
      <c r="CC6" s="291"/>
      <c r="CD6" s="291"/>
      <c r="CE6" s="291"/>
      <c r="CF6" s="291"/>
      <c r="CG6" s="291"/>
      <c r="CH6" s="291"/>
      <c r="CI6" s="291"/>
      <c r="CJ6" s="291"/>
      <c r="CK6" s="291"/>
    </row>
    <row r="7" spans="1:89" ht="35.1" customHeight="1">
      <c r="A7" s="45">
        <v>12</v>
      </c>
      <c r="B7" s="50">
        <f t="shared" si="14"/>
        <v>4</v>
      </c>
      <c r="C7" s="51" t="s">
        <v>4591</v>
      </c>
      <c r="D7" s="45" t="s">
        <v>4274</v>
      </c>
      <c r="E7" s="45" t="s">
        <v>774</v>
      </c>
      <c r="F7" s="45" t="s">
        <v>4949</v>
      </c>
      <c r="G7" s="45" t="s">
        <v>4950</v>
      </c>
      <c r="H7" s="45" t="s">
        <v>4951</v>
      </c>
      <c r="I7" s="52" t="s">
        <v>4952</v>
      </c>
      <c r="J7" s="45" t="s">
        <v>3575</v>
      </c>
      <c r="K7" s="53"/>
      <c r="L7" s="54" t="e">
        <f>INDEX([1]Timeline!$E$10:$E$24,MATCH(A7,[1]Timeline!$C$10:$C$24,0))</f>
        <v>#N/A</v>
      </c>
      <c r="M7" s="55">
        <v>45291</v>
      </c>
      <c r="N7" s="56">
        <v>3803162</v>
      </c>
      <c r="O7" s="57" t="e">
        <f t="shared" si="0"/>
        <v>#N/A</v>
      </c>
      <c r="P7" s="56" t="e">
        <f t="shared" si="1"/>
        <v>#N/A</v>
      </c>
      <c r="Q7" s="56">
        <v>0</v>
      </c>
      <c r="R7" s="57" t="e">
        <f t="shared" si="15"/>
        <v>#N/A</v>
      </c>
      <c r="S7" s="56" t="e">
        <f t="shared" si="16"/>
        <v>#N/A</v>
      </c>
      <c r="T7" s="56"/>
      <c r="U7" s="56"/>
      <c r="V7" s="56"/>
      <c r="W7" s="56"/>
      <c r="X7" s="56"/>
      <c r="Y7" s="56" t="s">
        <v>4274</v>
      </c>
      <c r="Z7" s="56">
        <v>1</v>
      </c>
      <c r="AA7" s="56">
        <v>1</v>
      </c>
      <c r="AB7" s="58">
        <f>N7/1</f>
        <v>3803162</v>
      </c>
      <c r="AC7" s="58" t="e">
        <f t="shared" si="2"/>
        <v>#N/A</v>
      </c>
      <c r="AD7" s="58" t="e">
        <f t="shared" si="3"/>
        <v>#N/A</v>
      </c>
      <c r="AE7" s="45">
        <v>1</v>
      </c>
      <c r="AF7" s="59" t="e">
        <f t="shared" si="4"/>
        <v>#DIV/0!</v>
      </c>
      <c r="AG7" s="59" t="e">
        <f t="shared" si="17"/>
        <v>#DIV/0!</v>
      </c>
      <c r="AH7" s="60" t="e">
        <f t="shared" si="18"/>
        <v>#DIV/0!</v>
      </c>
      <c r="AI7" s="45"/>
      <c r="AJ7" s="45"/>
      <c r="AK7" s="45"/>
      <c r="AL7" s="45"/>
      <c r="AM7" s="46">
        <f t="shared" si="5"/>
        <v>0</v>
      </c>
      <c r="AN7" s="45"/>
      <c r="AO7" s="45"/>
      <c r="AP7" s="45"/>
      <c r="AQ7" s="45"/>
      <c r="AR7" s="61">
        <f t="shared" si="6"/>
        <v>0</v>
      </c>
      <c r="AS7" s="295"/>
      <c r="AT7" s="295"/>
      <c r="AU7" s="295"/>
      <c r="AV7" s="295"/>
      <c r="AW7" s="46">
        <f t="shared" si="7"/>
        <v>0</v>
      </c>
      <c r="AX7" s="45"/>
      <c r="AY7" s="45"/>
      <c r="AZ7" s="45"/>
      <c r="BA7" s="45"/>
      <c r="BB7" s="46">
        <f t="shared" si="8"/>
        <v>0</v>
      </c>
      <c r="BC7" s="45"/>
      <c r="BD7" s="45"/>
      <c r="BE7" s="45"/>
      <c r="BF7" s="45"/>
      <c r="BG7" s="47">
        <f t="shared" si="9"/>
        <v>0</v>
      </c>
      <c r="BH7" s="45"/>
      <c r="BI7" s="45"/>
      <c r="BJ7" s="45"/>
      <c r="BK7" s="45"/>
      <c r="BL7" s="46">
        <f t="shared" si="10"/>
        <v>0</v>
      </c>
      <c r="BM7" s="45"/>
      <c r="BN7" s="45"/>
      <c r="BO7" s="45"/>
      <c r="BP7" s="45"/>
      <c r="BQ7" s="46">
        <f t="shared" si="11"/>
        <v>0</v>
      </c>
      <c r="BR7" s="45"/>
      <c r="BS7" s="45"/>
      <c r="BT7" s="45"/>
      <c r="BU7" s="45"/>
      <c r="BV7" s="46">
        <f t="shared" si="12"/>
        <v>0</v>
      </c>
      <c r="BW7" s="45"/>
      <c r="BX7" s="45"/>
      <c r="BY7" s="45"/>
      <c r="BZ7" s="45"/>
      <c r="CA7" s="46">
        <f t="shared" si="13"/>
        <v>0</v>
      </c>
      <c r="CB7" s="291"/>
      <c r="CC7" s="291"/>
      <c r="CD7" s="291"/>
      <c r="CE7" s="291"/>
      <c r="CF7" s="291"/>
      <c r="CG7" s="291"/>
      <c r="CH7" s="291"/>
      <c r="CI7" s="291"/>
      <c r="CJ7" s="291"/>
      <c r="CK7" s="291"/>
    </row>
    <row r="8" spans="1:89" ht="198.75" customHeight="1">
      <c r="A8" s="45">
        <v>12</v>
      </c>
      <c r="B8" s="50">
        <f t="shared" si="14"/>
        <v>5</v>
      </c>
      <c r="C8" s="51" t="s">
        <v>4857</v>
      </c>
      <c r="D8" s="45" t="s">
        <v>4953</v>
      </c>
      <c r="E8" s="45" t="s">
        <v>4954</v>
      </c>
      <c r="F8" s="14" t="s">
        <v>4955</v>
      </c>
      <c r="G8" s="45" t="s">
        <v>4956</v>
      </c>
      <c r="H8" s="45" t="s">
        <v>4957</v>
      </c>
      <c r="I8" s="52" t="s">
        <v>4958</v>
      </c>
      <c r="J8" s="45" t="s">
        <v>3575</v>
      </c>
      <c r="K8" s="53"/>
      <c r="L8" s="54" t="e">
        <f>INDEX([1]Timeline!$E$10:$E$24,MATCH(A8,[1]Timeline!$C$10:$C$24,0))</f>
        <v>#N/A</v>
      </c>
      <c r="M8" s="55">
        <v>45291</v>
      </c>
      <c r="N8" s="56">
        <v>3360000</v>
      </c>
      <c r="O8" s="57" t="e">
        <f t="shared" si="0"/>
        <v>#N/A</v>
      </c>
      <c r="P8" s="56" t="e">
        <f t="shared" si="1"/>
        <v>#N/A</v>
      </c>
      <c r="Q8" s="56">
        <f>V8*0.055/8*0.87</f>
        <v>1.6747499999999998E-2</v>
      </c>
      <c r="R8" s="57" t="e">
        <f t="shared" si="15"/>
        <v>#N/A</v>
      </c>
      <c r="S8" s="56" t="e">
        <f t="shared" si="16"/>
        <v>#N/A</v>
      </c>
      <c r="T8" s="56" t="s">
        <v>4940</v>
      </c>
      <c r="U8" s="56" t="s">
        <v>4941</v>
      </c>
      <c r="V8" s="56">
        <f>840*12/3600</f>
        <v>2.8</v>
      </c>
      <c r="W8" s="56" t="s">
        <v>4959</v>
      </c>
      <c r="X8" s="56">
        <f>V8*0.055/8</f>
        <v>1.925E-2</v>
      </c>
      <c r="Y8" s="56" t="s">
        <v>2773</v>
      </c>
      <c r="Z8" s="56">
        <v>1</v>
      </c>
      <c r="AA8" s="56">
        <v>1</v>
      </c>
      <c r="AB8" s="58">
        <f>N8/1</f>
        <v>3360000</v>
      </c>
      <c r="AC8" s="58" t="e">
        <f t="shared" si="2"/>
        <v>#N/A</v>
      </c>
      <c r="AD8" s="58" t="e">
        <f t="shared" si="3"/>
        <v>#N/A</v>
      </c>
      <c r="AE8" s="45">
        <v>1</v>
      </c>
      <c r="AF8" s="59" t="e">
        <f t="shared" si="4"/>
        <v>#DIV/0!</v>
      </c>
      <c r="AG8" s="59" t="e">
        <f t="shared" si="17"/>
        <v>#DIV/0!</v>
      </c>
      <c r="AH8" s="60" t="e">
        <f t="shared" si="18"/>
        <v>#DIV/0!</v>
      </c>
      <c r="AI8" s="45"/>
      <c r="AJ8" s="45"/>
      <c r="AK8" s="45"/>
      <c r="AL8" s="45"/>
      <c r="AM8" s="46">
        <f t="shared" si="5"/>
        <v>0</v>
      </c>
      <c r="AN8" s="45"/>
      <c r="AO8" s="45"/>
      <c r="AP8" s="45"/>
      <c r="AQ8" s="45"/>
      <c r="AR8" s="61">
        <f t="shared" si="6"/>
        <v>0</v>
      </c>
      <c r="AS8" s="295"/>
      <c r="AT8" s="295"/>
      <c r="AU8" s="295"/>
      <c r="AV8" s="295"/>
      <c r="AW8" s="46">
        <f t="shared" si="7"/>
        <v>0</v>
      </c>
      <c r="AX8" s="45"/>
      <c r="AY8" s="45"/>
      <c r="AZ8" s="45"/>
      <c r="BA8" s="45"/>
      <c r="BB8" s="46">
        <f t="shared" si="8"/>
        <v>0</v>
      </c>
      <c r="BC8" s="45"/>
      <c r="BD8" s="45"/>
      <c r="BE8" s="45"/>
      <c r="BF8" s="45"/>
      <c r="BG8" s="47">
        <f t="shared" si="9"/>
        <v>0</v>
      </c>
      <c r="BH8" s="45"/>
      <c r="BI8" s="45"/>
      <c r="BJ8" s="45"/>
      <c r="BK8" s="45"/>
      <c r="BL8" s="46">
        <f t="shared" si="10"/>
        <v>0</v>
      </c>
      <c r="BM8" s="45"/>
      <c r="BN8" s="45"/>
      <c r="BO8" s="45"/>
      <c r="BP8" s="45"/>
      <c r="BQ8" s="46">
        <f t="shared" si="11"/>
        <v>0</v>
      </c>
      <c r="BR8" s="45"/>
      <c r="BS8" s="45"/>
      <c r="BT8" s="45"/>
      <c r="BU8" s="45"/>
      <c r="BV8" s="46">
        <f t="shared" si="12"/>
        <v>0</v>
      </c>
      <c r="BW8" s="45"/>
      <c r="BX8" s="45"/>
      <c r="BY8" s="45"/>
      <c r="BZ8" s="45"/>
      <c r="CA8" s="46">
        <f t="shared" si="13"/>
        <v>0</v>
      </c>
      <c r="CB8" s="291"/>
      <c r="CC8" s="291"/>
      <c r="CD8" s="291"/>
      <c r="CE8" s="291"/>
      <c r="CF8" s="291"/>
      <c r="CG8" s="291"/>
      <c r="CH8" s="291"/>
      <c r="CI8" s="291"/>
      <c r="CJ8" s="291"/>
      <c r="CK8" s="291"/>
    </row>
    <row r="9" spans="1:89" ht="114" customHeight="1">
      <c r="A9" s="45">
        <v>11</v>
      </c>
      <c r="B9" s="50">
        <f t="shared" si="14"/>
        <v>6</v>
      </c>
      <c r="C9" s="51" t="s">
        <v>2817</v>
      </c>
      <c r="D9" s="45" t="s">
        <v>3217</v>
      </c>
      <c r="E9" s="45" t="s">
        <v>4960</v>
      </c>
      <c r="F9" s="45" t="s">
        <v>4961</v>
      </c>
      <c r="G9" s="45" t="s">
        <v>4962</v>
      </c>
      <c r="H9" s="45" t="s">
        <v>4963</v>
      </c>
      <c r="I9" s="52" t="s">
        <v>4964</v>
      </c>
      <c r="J9" s="45" t="s">
        <v>3575</v>
      </c>
      <c r="K9" s="53"/>
      <c r="L9" s="54" t="e">
        <f>INDEX([1]Timeline!$E$10:$E$24,MATCH(A9,[1]Timeline!$C$10:$C$24,0))</f>
        <v>#N/A</v>
      </c>
      <c r="M9" s="55">
        <v>45291</v>
      </c>
      <c r="N9" s="56">
        <v>366666</v>
      </c>
      <c r="O9" s="57" t="e">
        <f t="shared" si="0"/>
        <v>#N/A</v>
      </c>
      <c r="P9" s="56" t="e">
        <f t="shared" si="1"/>
        <v>#N/A</v>
      </c>
      <c r="Q9" s="56">
        <f>V9*0.055/8*0.87</f>
        <v>5.4848062499999996E-2</v>
      </c>
      <c r="R9" s="57" t="e">
        <f t="shared" si="15"/>
        <v>#N/A</v>
      </c>
      <c r="S9" s="56" t="e">
        <f t="shared" si="16"/>
        <v>#N/A</v>
      </c>
      <c r="T9" s="56" t="s">
        <v>4940</v>
      </c>
      <c r="U9" s="56" t="s">
        <v>4941</v>
      </c>
      <c r="V9" s="56">
        <v>9.17</v>
      </c>
      <c r="W9" s="56" t="s">
        <v>4959</v>
      </c>
      <c r="X9" s="56">
        <f>V9*0.055/8</f>
        <v>6.3043749999999996E-2</v>
      </c>
      <c r="Y9" s="56" t="s">
        <v>2817</v>
      </c>
      <c r="Z9" s="56">
        <v>1</v>
      </c>
      <c r="AA9" s="56">
        <v>1</v>
      </c>
      <c r="AB9" s="58">
        <f>N9/1</f>
        <v>366666</v>
      </c>
      <c r="AC9" s="58" t="e">
        <f t="shared" si="2"/>
        <v>#N/A</v>
      </c>
      <c r="AD9" s="58" t="e">
        <f t="shared" si="3"/>
        <v>#N/A</v>
      </c>
      <c r="AE9" s="45">
        <v>1</v>
      </c>
      <c r="AF9" s="59">
        <f t="shared" si="4"/>
        <v>2.666666666666667</v>
      </c>
      <c r="AG9" s="59">
        <f t="shared" si="17"/>
        <v>3.3333333333333335</v>
      </c>
      <c r="AH9" s="60">
        <f t="shared" si="18"/>
        <v>2</v>
      </c>
      <c r="AI9" s="45">
        <v>2</v>
      </c>
      <c r="AJ9" s="45">
        <v>2</v>
      </c>
      <c r="AK9" s="45">
        <v>2</v>
      </c>
      <c r="AL9" s="45">
        <v>2</v>
      </c>
      <c r="AM9" s="46">
        <f t="shared" si="5"/>
        <v>2</v>
      </c>
      <c r="AN9" s="45">
        <v>2</v>
      </c>
      <c r="AO9" s="45">
        <v>2</v>
      </c>
      <c r="AP9" s="45">
        <v>2</v>
      </c>
      <c r="AQ9" s="45">
        <v>2</v>
      </c>
      <c r="AR9" s="61">
        <f t="shared" si="6"/>
        <v>2</v>
      </c>
      <c r="AS9" s="295"/>
      <c r="AT9" s="295"/>
      <c r="AU9" s="295"/>
      <c r="AV9" s="295"/>
      <c r="AW9" s="46">
        <f t="shared" si="7"/>
        <v>0</v>
      </c>
      <c r="AX9" s="45"/>
      <c r="AY9" s="45"/>
      <c r="AZ9" s="45"/>
      <c r="BA9" s="45"/>
      <c r="BB9" s="46">
        <f t="shared" si="8"/>
        <v>0</v>
      </c>
      <c r="BC9" s="45">
        <v>4</v>
      </c>
      <c r="BD9" s="45">
        <v>4</v>
      </c>
      <c r="BE9" s="45">
        <v>2</v>
      </c>
      <c r="BF9" s="45">
        <v>2</v>
      </c>
      <c r="BG9" s="47">
        <f t="shared" si="9"/>
        <v>3</v>
      </c>
      <c r="BH9" s="45">
        <v>4</v>
      </c>
      <c r="BI9" s="45">
        <v>4</v>
      </c>
      <c r="BJ9" s="45">
        <v>2</v>
      </c>
      <c r="BK9" s="45">
        <v>1</v>
      </c>
      <c r="BL9" s="46">
        <f t="shared" si="10"/>
        <v>2.75</v>
      </c>
      <c r="BM9" s="45">
        <v>4</v>
      </c>
      <c r="BN9" s="45">
        <v>4</v>
      </c>
      <c r="BO9" s="45">
        <v>3</v>
      </c>
      <c r="BP9" s="45">
        <v>4</v>
      </c>
      <c r="BQ9" s="46">
        <f t="shared" si="11"/>
        <v>3.75</v>
      </c>
      <c r="BR9" s="45">
        <v>4</v>
      </c>
      <c r="BS9" s="45">
        <v>4</v>
      </c>
      <c r="BT9" s="45">
        <v>1</v>
      </c>
      <c r="BU9" s="45">
        <v>1</v>
      </c>
      <c r="BV9" s="46">
        <f t="shared" si="12"/>
        <v>2.5</v>
      </c>
      <c r="BW9" s="45"/>
      <c r="BX9" s="45"/>
      <c r="BY9" s="45"/>
      <c r="BZ9" s="45"/>
      <c r="CA9" s="46">
        <f t="shared" si="13"/>
        <v>0</v>
      </c>
      <c r="CB9" s="291"/>
      <c r="CC9" s="291"/>
      <c r="CD9" s="291"/>
      <c r="CE9" s="291"/>
      <c r="CF9" s="291"/>
      <c r="CG9" s="291"/>
      <c r="CH9" s="291"/>
      <c r="CI9" s="291"/>
      <c r="CJ9" s="291"/>
      <c r="CK9" s="291"/>
    </row>
    <row r="10" spans="1:89" ht="76.5">
      <c r="A10" s="45">
        <v>12</v>
      </c>
      <c r="B10" s="50">
        <f t="shared" si="14"/>
        <v>7</v>
      </c>
      <c r="C10" s="51" t="s">
        <v>4918</v>
      </c>
      <c r="D10" s="45" t="s">
        <v>2841</v>
      </c>
      <c r="E10" s="45" t="s">
        <v>4965</v>
      </c>
      <c r="F10" s="45" t="s">
        <v>4966</v>
      </c>
      <c r="G10" s="296" t="s">
        <v>4967</v>
      </c>
      <c r="H10" s="45" t="s">
        <v>4968</v>
      </c>
      <c r="I10" s="52" t="s">
        <v>4969</v>
      </c>
      <c r="J10" s="45" t="s">
        <v>3575</v>
      </c>
      <c r="K10" s="53"/>
      <c r="L10" s="54" t="e">
        <f>INDEX([1]Timeline!$E$10:$E$24,MATCH(A10,[1]Timeline!$C$10:$C$24,0))</f>
        <v>#N/A</v>
      </c>
      <c r="M10" s="55">
        <v>45291</v>
      </c>
      <c r="N10" s="56">
        <v>49867</v>
      </c>
      <c r="O10" s="57" t="e">
        <f t="shared" si="0"/>
        <v>#N/A</v>
      </c>
      <c r="P10" s="56" t="e">
        <f t="shared" si="1"/>
        <v>#N/A</v>
      </c>
      <c r="Q10" s="56">
        <f>V10*0.055/8*0.87</f>
        <v>7.4765625000000006E-3</v>
      </c>
      <c r="R10" s="57" t="e">
        <f t="shared" si="15"/>
        <v>#N/A</v>
      </c>
      <c r="S10" s="56" t="e">
        <f t="shared" si="16"/>
        <v>#N/A</v>
      </c>
      <c r="T10" s="56" t="s">
        <v>4940</v>
      </c>
      <c r="U10" s="56" t="s">
        <v>4941</v>
      </c>
      <c r="V10" s="56">
        <v>1.25</v>
      </c>
      <c r="W10" s="56" t="s">
        <v>4959</v>
      </c>
      <c r="X10" s="56">
        <f>V10*0.055/8</f>
        <v>8.5937500000000007E-3</v>
      </c>
      <c r="Y10" s="56" t="s">
        <v>2841</v>
      </c>
      <c r="Z10" s="56">
        <v>1</v>
      </c>
      <c r="AA10" s="56">
        <v>1</v>
      </c>
      <c r="AB10" s="58">
        <f>N10/1</f>
        <v>49867</v>
      </c>
      <c r="AC10" s="58" t="e">
        <f t="shared" si="2"/>
        <v>#N/A</v>
      </c>
      <c r="AD10" s="58" t="e">
        <f t="shared" si="3"/>
        <v>#N/A</v>
      </c>
      <c r="AE10" s="45">
        <v>1</v>
      </c>
      <c r="AF10" s="59" t="e">
        <f t="shared" si="4"/>
        <v>#DIV/0!</v>
      </c>
      <c r="AG10" s="59" t="e">
        <f t="shared" si="17"/>
        <v>#DIV/0!</v>
      </c>
      <c r="AH10" s="60" t="e">
        <f t="shared" si="18"/>
        <v>#DIV/0!</v>
      </c>
      <c r="AI10" s="45"/>
      <c r="AJ10" s="45"/>
      <c r="AK10" s="45"/>
      <c r="AL10" s="45"/>
      <c r="AM10" s="46">
        <f t="shared" si="5"/>
        <v>0</v>
      </c>
      <c r="AN10" s="45"/>
      <c r="AO10" s="45"/>
      <c r="AP10" s="45"/>
      <c r="AQ10" s="45"/>
      <c r="AR10" s="61">
        <f t="shared" si="6"/>
        <v>0</v>
      </c>
      <c r="AS10" s="295"/>
      <c r="AT10" s="295"/>
      <c r="AU10" s="295"/>
      <c r="AV10" s="295"/>
      <c r="AW10" s="46">
        <f t="shared" si="7"/>
        <v>0</v>
      </c>
      <c r="AX10" s="45"/>
      <c r="AY10" s="45"/>
      <c r="AZ10" s="45"/>
      <c r="BA10" s="45"/>
      <c r="BB10" s="46">
        <f t="shared" si="8"/>
        <v>0</v>
      </c>
      <c r="BC10" s="45"/>
      <c r="BD10" s="45"/>
      <c r="BE10" s="45"/>
      <c r="BF10" s="45"/>
      <c r="BG10" s="47">
        <f t="shared" si="9"/>
        <v>0</v>
      </c>
      <c r="BH10" s="45"/>
      <c r="BI10" s="45"/>
      <c r="BJ10" s="45"/>
      <c r="BK10" s="45"/>
      <c r="BL10" s="46">
        <f t="shared" si="10"/>
        <v>0</v>
      </c>
      <c r="BM10" s="45"/>
      <c r="BN10" s="45"/>
      <c r="BO10" s="45"/>
      <c r="BP10" s="45"/>
      <c r="BQ10" s="46">
        <f t="shared" si="11"/>
        <v>0</v>
      </c>
      <c r="BR10" s="45"/>
      <c r="BS10" s="45"/>
      <c r="BT10" s="45"/>
      <c r="BU10" s="45"/>
      <c r="BV10" s="46">
        <f t="shared" si="12"/>
        <v>0</v>
      </c>
      <c r="BW10" s="45"/>
      <c r="BX10" s="45"/>
      <c r="BY10" s="45"/>
      <c r="BZ10" s="45"/>
      <c r="CA10" s="46">
        <f t="shared" si="13"/>
        <v>0</v>
      </c>
      <c r="CB10" s="291"/>
      <c r="CC10" s="291"/>
      <c r="CD10" s="291"/>
      <c r="CE10" s="291"/>
      <c r="CF10" s="291"/>
      <c r="CG10" s="291"/>
      <c r="CH10" s="291"/>
      <c r="CI10" s="291"/>
      <c r="CJ10" s="291"/>
      <c r="CK10" s="291"/>
    </row>
    <row r="11" spans="1:89" ht="91.5">
      <c r="A11" s="45">
        <v>7</v>
      </c>
      <c r="B11" s="50">
        <f t="shared" si="14"/>
        <v>8</v>
      </c>
      <c r="C11" s="297" t="s">
        <v>4970</v>
      </c>
      <c r="D11" s="297" t="s">
        <v>3950</v>
      </c>
      <c r="E11" s="298" t="s">
        <v>4971</v>
      </c>
      <c r="F11" s="297" t="s">
        <v>4972</v>
      </c>
      <c r="G11" s="45" t="s">
        <v>4973</v>
      </c>
      <c r="H11" s="45" t="s">
        <v>4974</v>
      </c>
      <c r="I11" s="52" t="s">
        <v>4975</v>
      </c>
      <c r="J11" s="45" t="s">
        <v>3575</v>
      </c>
      <c r="K11" s="53"/>
      <c r="L11" s="54" t="e">
        <f>INDEX([1]Timeline!$E$10:$E$24,MATCH(A11,[1]Timeline!$C$10:$C$24,0))</f>
        <v>#N/A</v>
      </c>
      <c r="M11" s="55">
        <v>45291</v>
      </c>
      <c r="N11" s="56">
        <v>6016291</v>
      </c>
      <c r="O11" s="57" t="e">
        <f t="shared" si="0"/>
        <v>#N/A</v>
      </c>
      <c r="P11" s="56" t="e">
        <f t="shared" si="1"/>
        <v>#N/A</v>
      </c>
      <c r="Q11" s="56"/>
      <c r="R11" s="57" t="e">
        <f t="shared" si="15"/>
        <v>#N/A</v>
      </c>
      <c r="S11" s="56" t="e">
        <f t="shared" si="16"/>
        <v>#N/A</v>
      </c>
      <c r="T11" s="56"/>
      <c r="U11" s="56"/>
      <c r="V11" s="56"/>
      <c r="W11" s="56"/>
      <c r="X11" s="56"/>
      <c r="Y11" s="56" t="s">
        <v>2817</v>
      </c>
      <c r="Z11" s="56">
        <v>1</v>
      </c>
      <c r="AA11" s="56">
        <v>1</v>
      </c>
      <c r="AB11" s="58">
        <f>N11/1</f>
        <v>6016291</v>
      </c>
      <c r="AC11" s="58" t="e">
        <f t="shared" si="2"/>
        <v>#N/A</v>
      </c>
      <c r="AD11" s="58" t="e">
        <f t="shared" si="3"/>
        <v>#N/A</v>
      </c>
      <c r="AE11" s="45">
        <v>1</v>
      </c>
      <c r="AF11" s="59">
        <f t="shared" si="4"/>
        <v>3</v>
      </c>
      <c r="AG11" s="59">
        <f t="shared" si="17"/>
        <v>3.75</v>
      </c>
      <c r="AH11" s="60">
        <f t="shared" si="18"/>
        <v>2.25</v>
      </c>
      <c r="AI11" s="45"/>
      <c r="AJ11" s="45"/>
      <c r="AK11" s="45"/>
      <c r="AL11" s="45"/>
      <c r="AM11" s="46">
        <f t="shared" si="5"/>
        <v>0</v>
      </c>
      <c r="AN11" s="45"/>
      <c r="AO11" s="45"/>
      <c r="AP11" s="45"/>
      <c r="AQ11" s="45"/>
      <c r="AR11" s="61">
        <f t="shared" si="6"/>
        <v>0</v>
      </c>
      <c r="AS11" s="295">
        <v>4</v>
      </c>
      <c r="AT11" s="295">
        <v>3</v>
      </c>
      <c r="AU11" s="295">
        <v>2</v>
      </c>
      <c r="AV11" s="295">
        <v>3</v>
      </c>
      <c r="AW11" s="46">
        <f t="shared" si="7"/>
        <v>3</v>
      </c>
      <c r="AX11" s="45"/>
      <c r="AY11" s="45"/>
      <c r="AZ11" s="45"/>
      <c r="BA11" s="45"/>
      <c r="BB11" s="46">
        <f t="shared" si="8"/>
        <v>0</v>
      </c>
      <c r="BC11" s="45">
        <v>4</v>
      </c>
      <c r="BD11" s="45">
        <v>4</v>
      </c>
      <c r="BE11" s="45">
        <v>1</v>
      </c>
      <c r="BF11" s="45">
        <v>3</v>
      </c>
      <c r="BG11" s="47">
        <f t="shared" si="9"/>
        <v>3</v>
      </c>
      <c r="BH11" s="45"/>
      <c r="BI11" s="45"/>
      <c r="BJ11" s="45"/>
      <c r="BK11" s="45"/>
      <c r="BL11" s="45"/>
      <c r="BM11" s="45"/>
      <c r="BN11" s="45"/>
      <c r="BO11" s="45"/>
      <c r="BP11" s="45"/>
      <c r="BQ11" s="46">
        <f t="shared" si="11"/>
        <v>0</v>
      </c>
      <c r="BR11" s="45"/>
      <c r="BS11" s="45"/>
      <c r="BT11" s="45"/>
      <c r="BU11" s="45"/>
      <c r="BV11" s="46">
        <f t="shared" si="12"/>
        <v>0</v>
      </c>
      <c r="BW11" s="45"/>
      <c r="BX11" s="45"/>
      <c r="BY11" s="45"/>
      <c r="BZ11" s="45"/>
      <c r="CA11" s="46">
        <f t="shared" si="13"/>
        <v>0</v>
      </c>
      <c r="CB11" s="291"/>
      <c r="CC11" s="291"/>
      <c r="CD11" s="291"/>
      <c r="CE11" s="291"/>
      <c r="CF11" s="291"/>
      <c r="CG11" s="291"/>
      <c r="CH11" s="291"/>
      <c r="CI11" s="291"/>
      <c r="CJ11" s="291"/>
      <c r="CK11" s="291"/>
    </row>
    <row r="12" spans="1:89" ht="76.5">
      <c r="A12" s="262">
        <v>5</v>
      </c>
      <c r="B12" s="110">
        <f t="shared" si="14"/>
        <v>9</v>
      </c>
      <c r="C12" s="299" t="s">
        <v>4654</v>
      </c>
      <c r="D12" s="299" t="s">
        <v>3871</v>
      </c>
      <c r="E12" s="300" t="s">
        <v>4976</v>
      </c>
      <c r="F12" s="262" t="s">
        <v>4977</v>
      </c>
      <c r="G12" s="262" t="s">
        <v>4978</v>
      </c>
      <c r="H12" s="301" t="s">
        <v>4979</v>
      </c>
      <c r="I12" s="302"/>
      <c r="J12" s="262" t="s">
        <v>3575</v>
      </c>
      <c r="K12" s="303"/>
      <c r="L12" s="304" t="e">
        <f>INDEX([1]Timeline!$E$10:$E$24,MATCH(A12,[1]Timeline!$C$10:$C$24,0))</f>
        <v>#N/A</v>
      </c>
      <c r="M12" s="305">
        <v>45291</v>
      </c>
      <c r="N12" s="120"/>
      <c r="O12" s="120" t="e">
        <f t="shared" si="0"/>
        <v>#N/A</v>
      </c>
      <c r="P12" s="120" t="e">
        <f t="shared" si="1"/>
        <v>#N/A</v>
      </c>
      <c r="Q12" s="120"/>
      <c r="R12" s="120" t="e">
        <f t="shared" si="15"/>
        <v>#N/A</v>
      </c>
      <c r="S12" s="120" t="e">
        <f t="shared" si="16"/>
        <v>#N/A</v>
      </c>
      <c r="T12" s="120"/>
      <c r="U12" s="120"/>
      <c r="V12" s="120"/>
      <c r="W12" s="120"/>
      <c r="X12" s="120"/>
      <c r="Y12" s="120" t="s">
        <v>3871</v>
      </c>
      <c r="Z12" s="120">
        <v>1</v>
      </c>
      <c r="AA12" s="120">
        <v>1</v>
      </c>
      <c r="AB12" s="306">
        <f>N12/Z12</f>
        <v>0</v>
      </c>
      <c r="AC12" s="306" t="e">
        <f t="shared" si="2"/>
        <v>#N/A</v>
      </c>
      <c r="AD12" s="306" t="e">
        <f t="shared" si="3"/>
        <v>#N/A</v>
      </c>
      <c r="AE12" s="262">
        <v>1</v>
      </c>
      <c r="AF12" s="267" t="e">
        <f t="shared" si="4"/>
        <v>#DIV/0!</v>
      </c>
      <c r="AG12" s="267" t="e">
        <f t="shared" si="17"/>
        <v>#DIV/0!</v>
      </c>
      <c r="AH12" s="267" t="e">
        <f t="shared" si="18"/>
        <v>#DIV/0!</v>
      </c>
      <c r="AI12" s="262"/>
      <c r="AJ12" s="262"/>
      <c r="AK12" s="262"/>
      <c r="AL12" s="262"/>
      <c r="AM12" s="307">
        <f t="shared" si="5"/>
        <v>0</v>
      </c>
      <c r="AN12" s="262"/>
      <c r="AO12" s="262"/>
      <c r="AP12" s="262"/>
      <c r="AQ12" s="262"/>
      <c r="AR12" s="308">
        <f t="shared" si="6"/>
        <v>0</v>
      </c>
      <c r="AS12" s="309"/>
      <c r="AT12" s="309"/>
      <c r="AU12" s="309"/>
      <c r="AV12" s="309"/>
      <c r="AW12" s="307">
        <f t="shared" si="7"/>
        <v>0</v>
      </c>
      <c r="AX12" s="262"/>
      <c r="AY12" s="262"/>
      <c r="AZ12" s="262"/>
      <c r="BA12" s="262"/>
      <c r="BB12" s="307">
        <f t="shared" si="8"/>
        <v>0</v>
      </c>
      <c r="BC12" s="262"/>
      <c r="BD12" s="262"/>
      <c r="BE12" s="262"/>
      <c r="BF12" s="262"/>
      <c r="BG12" s="307">
        <f t="shared" si="9"/>
        <v>0</v>
      </c>
      <c r="BH12" s="262"/>
      <c r="BI12" s="262"/>
      <c r="BJ12" s="262"/>
      <c r="BK12" s="262"/>
      <c r="BL12" s="307">
        <f>IFERROR(SUM(BH12:BK12)/4,0)</f>
        <v>0</v>
      </c>
      <c r="BM12" s="262"/>
      <c r="BN12" s="262"/>
      <c r="BO12" s="262"/>
      <c r="BP12" s="262"/>
      <c r="BQ12" s="307">
        <f t="shared" si="11"/>
        <v>0</v>
      </c>
      <c r="BR12" s="262"/>
      <c r="BS12" s="262"/>
      <c r="BT12" s="262"/>
      <c r="BU12" s="262"/>
      <c r="BV12" s="307">
        <f t="shared" si="12"/>
        <v>0</v>
      </c>
      <c r="BW12" s="262"/>
      <c r="BX12" s="262"/>
      <c r="BY12" s="262"/>
      <c r="BZ12" s="262"/>
      <c r="CA12" s="307">
        <f t="shared" si="13"/>
        <v>0</v>
      </c>
      <c r="CB12" s="291"/>
      <c r="CC12" s="291"/>
      <c r="CD12" s="291"/>
      <c r="CE12" s="291"/>
      <c r="CF12" s="291"/>
      <c r="CG12" s="291"/>
      <c r="CH12" s="291"/>
      <c r="CI12" s="291"/>
      <c r="CJ12" s="291"/>
      <c r="CK12" s="291"/>
    </row>
    <row r="13" spans="1:89" ht="137.25">
      <c r="A13" s="262">
        <v>5</v>
      </c>
      <c r="B13" s="110">
        <f t="shared" si="14"/>
        <v>10</v>
      </c>
      <c r="C13" s="299" t="s">
        <v>4980</v>
      </c>
      <c r="D13" s="299" t="s">
        <v>3444</v>
      </c>
      <c r="E13" s="302" t="s">
        <v>4981</v>
      </c>
      <c r="F13" s="310" t="s">
        <v>4982</v>
      </c>
      <c r="G13" s="262" t="s">
        <v>4983</v>
      </c>
      <c r="H13" s="262" t="s">
        <v>4984</v>
      </c>
      <c r="I13" s="311"/>
      <c r="J13" s="262" t="s">
        <v>3575</v>
      </c>
      <c r="K13" s="303"/>
      <c r="L13" s="304" t="e">
        <f>INDEX([1]Timeline!$E$10:$E$24,MATCH(A13,[1]Timeline!$C$10:$C$24,0))</f>
        <v>#N/A</v>
      </c>
      <c r="M13" s="305">
        <v>45291</v>
      </c>
      <c r="N13" s="120"/>
      <c r="O13" s="120" t="e">
        <f t="shared" si="0"/>
        <v>#N/A</v>
      </c>
      <c r="P13" s="120" t="e">
        <f t="shared" si="1"/>
        <v>#N/A</v>
      </c>
      <c r="Q13" s="120"/>
      <c r="R13" s="120" t="e">
        <f t="shared" si="15"/>
        <v>#N/A</v>
      </c>
      <c r="S13" s="120" t="e">
        <f t="shared" si="16"/>
        <v>#N/A</v>
      </c>
      <c r="T13" s="120"/>
      <c r="U13" s="120"/>
      <c r="V13" s="120"/>
      <c r="W13" s="120"/>
      <c r="X13" s="120"/>
      <c r="Y13" s="120" t="s">
        <v>4985</v>
      </c>
      <c r="Z13" s="120">
        <v>1</v>
      </c>
      <c r="AA13" s="120">
        <v>1</v>
      </c>
      <c r="AB13" s="306">
        <f>N13/Z13</f>
        <v>0</v>
      </c>
      <c r="AC13" s="306" t="e">
        <f t="shared" si="2"/>
        <v>#N/A</v>
      </c>
      <c r="AD13" s="306" t="e">
        <f t="shared" si="3"/>
        <v>#N/A</v>
      </c>
      <c r="AE13" s="262">
        <v>1</v>
      </c>
      <c r="AF13" s="267" t="e">
        <f t="shared" si="4"/>
        <v>#DIV/0!</v>
      </c>
      <c r="AG13" s="267" t="e">
        <f t="shared" si="17"/>
        <v>#DIV/0!</v>
      </c>
      <c r="AH13" s="267" t="e">
        <f t="shared" si="18"/>
        <v>#DIV/0!</v>
      </c>
      <c r="AI13" s="262"/>
      <c r="AJ13" s="262"/>
      <c r="AK13" s="262"/>
      <c r="AL13" s="262"/>
      <c r="AM13" s="307">
        <f t="shared" si="5"/>
        <v>0</v>
      </c>
      <c r="AN13" s="262"/>
      <c r="AO13" s="262"/>
      <c r="AP13" s="262"/>
      <c r="AQ13" s="262"/>
      <c r="AR13" s="308">
        <f t="shared" si="6"/>
        <v>0</v>
      </c>
      <c r="AS13" s="309"/>
      <c r="AT13" s="309"/>
      <c r="AU13" s="309"/>
      <c r="AV13" s="309"/>
      <c r="AW13" s="307">
        <f t="shared" si="7"/>
        <v>0</v>
      </c>
      <c r="AX13" s="262"/>
      <c r="AY13" s="262"/>
      <c r="AZ13" s="262"/>
      <c r="BA13" s="262"/>
      <c r="BB13" s="307">
        <f t="shared" si="8"/>
        <v>0</v>
      </c>
      <c r="BC13" s="262"/>
      <c r="BD13" s="262"/>
      <c r="BE13" s="262"/>
      <c r="BF13" s="262"/>
      <c r="BG13" s="307">
        <f t="shared" si="9"/>
        <v>0</v>
      </c>
      <c r="BH13" s="262"/>
      <c r="BI13" s="262"/>
      <c r="BJ13" s="262"/>
      <c r="BK13" s="262"/>
      <c r="BL13" s="307">
        <f>IFERROR(SUM(BH13:BK13)/4,0)</f>
        <v>0</v>
      </c>
      <c r="BM13" s="262"/>
      <c r="BN13" s="262"/>
      <c r="BO13" s="262"/>
      <c r="BP13" s="262"/>
      <c r="BQ13" s="307">
        <f t="shared" si="11"/>
        <v>0</v>
      </c>
      <c r="BR13" s="262"/>
      <c r="BS13" s="262"/>
      <c r="BT13" s="262"/>
      <c r="BU13" s="262"/>
      <c r="BV13" s="307">
        <f t="shared" si="12"/>
        <v>0</v>
      </c>
      <c r="BW13" s="262"/>
      <c r="BX13" s="262"/>
      <c r="BY13" s="262"/>
      <c r="BZ13" s="262"/>
      <c r="CA13" s="307">
        <f t="shared" si="13"/>
        <v>0</v>
      </c>
      <c r="CB13" s="291"/>
      <c r="CC13" s="291"/>
      <c r="CD13" s="291"/>
      <c r="CE13" s="291"/>
      <c r="CF13" s="291"/>
      <c r="CG13" s="291"/>
      <c r="CH13" s="291"/>
      <c r="CI13" s="291"/>
      <c r="CJ13" s="291"/>
      <c r="CK13" s="291"/>
    </row>
    <row r="14" spans="1:89" ht="152.25">
      <c r="A14" s="45">
        <v>1</v>
      </c>
      <c r="B14" s="50">
        <f t="shared" si="14"/>
        <v>11</v>
      </c>
      <c r="C14" s="312" t="s">
        <v>4654</v>
      </c>
      <c r="D14" s="296" t="s">
        <v>4986</v>
      </c>
      <c r="E14" s="45" t="s">
        <v>4987</v>
      </c>
      <c r="F14" s="313" t="s">
        <v>4988</v>
      </c>
      <c r="G14" s="45" t="s">
        <v>4989</v>
      </c>
      <c r="H14" s="45" t="s">
        <v>4990</v>
      </c>
      <c r="I14" s="52"/>
      <c r="J14" s="45" t="s">
        <v>3575</v>
      </c>
      <c r="K14" s="53"/>
      <c r="L14" s="54" t="e">
        <f>INDEX([1]Timeline!$E$10:$E$24,MATCH(A14,[1]Timeline!$C$10:$C$24,0))</f>
        <v>#N/A</v>
      </c>
      <c r="M14" s="55">
        <v>45291</v>
      </c>
      <c r="N14" s="56">
        <v>1640488</v>
      </c>
      <c r="O14" s="57" t="e">
        <f t="shared" si="0"/>
        <v>#N/A</v>
      </c>
      <c r="P14" s="56" t="e">
        <f t="shared" si="1"/>
        <v>#N/A</v>
      </c>
      <c r="Q14" s="56">
        <f>0.78*V14/(10^9)*739.4</f>
        <v>9.8563498799999994E-4</v>
      </c>
      <c r="R14" s="57" t="e">
        <f t="shared" si="15"/>
        <v>#N/A</v>
      </c>
      <c r="S14" s="56" t="e">
        <f t="shared" si="16"/>
        <v>#N/A</v>
      </c>
      <c r="T14" s="56" t="s">
        <v>4991</v>
      </c>
      <c r="U14" s="56" t="s">
        <v>4991</v>
      </c>
      <c r="V14" s="56">
        <v>1709</v>
      </c>
      <c r="W14" s="56" t="s">
        <v>4992</v>
      </c>
      <c r="X14" s="56"/>
      <c r="Y14" s="56" t="s">
        <v>4993</v>
      </c>
      <c r="Z14" s="56">
        <v>1</v>
      </c>
      <c r="AA14" s="56">
        <v>1</v>
      </c>
      <c r="AB14" s="58">
        <f>N14/Z14</f>
        <v>1640488</v>
      </c>
      <c r="AC14" s="58" t="e">
        <f t="shared" si="2"/>
        <v>#N/A</v>
      </c>
      <c r="AD14" s="58" t="e">
        <f t="shared" si="3"/>
        <v>#N/A</v>
      </c>
      <c r="AE14" s="45">
        <v>1</v>
      </c>
      <c r="AF14" s="59">
        <f t="shared" si="4"/>
        <v>2</v>
      </c>
      <c r="AG14" s="59">
        <f t="shared" si="17"/>
        <v>1.7</v>
      </c>
      <c r="AH14" s="60">
        <f t="shared" si="18"/>
        <v>2.2999999999999998</v>
      </c>
      <c r="AI14" s="45"/>
      <c r="AJ14" s="45"/>
      <c r="AK14" s="45"/>
      <c r="AL14" s="45"/>
      <c r="AM14" s="46">
        <f t="shared" si="5"/>
        <v>0</v>
      </c>
      <c r="AN14" s="45">
        <v>2</v>
      </c>
      <c r="AO14" s="45">
        <v>2</v>
      </c>
      <c r="AP14" s="45">
        <v>2</v>
      </c>
      <c r="AQ14" s="45">
        <v>2</v>
      </c>
      <c r="AR14" s="61">
        <f t="shared" si="6"/>
        <v>2</v>
      </c>
      <c r="AS14" s="105">
        <v>2</v>
      </c>
      <c r="AT14" s="105">
        <v>1</v>
      </c>
      <c r="AU14" s="105">
        <v>2</v>
      </c>
      <c r="AV14" s="105">
        <v>1</v>
      </c>
      <c r="AW14" s="46">
        <f t="shared" si="7"/>
        <v>1.5</v>
      </c>
      <c r="AX14" s="45">
        <v>2</v>
      </c>
      <c r="AY14" s="45">
        <v>2</v>
      </c>
      <c r="AZ14" s="45">
        <v>2</v>
      </c>
      <c r="BA14" s="45">
        <v>4</v>
      </c>
      <c r="BB14" s="46">
        <f t="shared" si="8"/>
        <v>2.5</v>
      </c>
      <c r="BC14" s="45"/>
      <c r="BD14" s="45"/>
      <c r="BE14" s="45"/>
      <c r="BF14" s="45"/>
      <c r="BG14" s="47">
        <f t="shared" si="9"/>
        <v>0</v>
      </c>
      <c r="BH14" s="45"/>
      <c r="BI14" s="45"/>
      <c r="BJ14" s="45"/>
      <c r="BK14" s="45"/>
      <c r="BL14" s="46">
        <f>IFERROR(SUM(BH14:BK14)/4,0)</f>
        <v>0</v>
      </c>
      <c r="BM14" s="45">
        <v>1</v>
      </c>
      <c r="BN14" s="45">
        <v>1</v>
      </c>
      <c r="BO14" s="45">
        <v>3</v>
      </c>
      <c r="BP14" s="45">
        <v>3</v>
      </c>
      <c r="BQ14" s="46">
        <f t="shared" si="11"/>
        <v>2</v>
      </c>
      <c r="BR14" s="45"/>
      <c r="BS14" s="45"/>
      <c r="BT14" s="45"/>
      <c r="BU14" s="45"/>
      <c r="BV14" s="46">
        <f t="shared" si="12"/>
        <v>0</v>
      </c>
      <c r="BW14" s="45">
        <v>3</v>
      </c>
      <c r="BX14" s="45">
        <v>3</v>
      </c>
      <c r="BY14" s="45">
        <v>2</v>
      </c>
      <c r="BZ14" s="45">
        <v>2</v>
      </c>
      <c r="CA14" s="46">
        <f t="shared" si="13"/>
        <v>2.5</v>
      </c>
      <c r="CB14" s="291"/>
      <c r="CC14" s="291"/>
      <c r="CD14" s="291"/>
      <c r="CE14" s="291"/>
      <c r="CF14" s="291"/>
      <c r="CG14" s="291"/>
      <c r="CH14" s="291"/>
      <c r="CI14" s="291"/>
      <c r="CJ14" s="291"/>
      <c r="CK14" s="291"/>
    </row>
    <row r="15" spans="1:89" ht="137.25">
      <c r="A15" s="262">
        <v>5</v>
      </c>
      <c r="B15" s="110">
        <f t="shared" si="14"/>
        <v>12</v>
      </c>
      <c r="C15" s="299" t="s">
        <v>4857</v>
      </c>
      <c r="D15" s="299" t="s">
        <v>4283</v>
      </c>
      <c r="E15" s="300" t="s">
        <v>4994</v>
      </c>
      <c r="F15" s="299" t="s">
        <v>4995</v>
      </c>
      <c r="G15" s="262" t="s">
        <v>4996</v>
      </c>
      <c r="H15" s="262" t="s">
        <v>4997</v>
      </c>
      <c r="I15" s="302"/>
      <c r="J15" s="262" t="s">
        <v>3575</v>
      </c>
      <c r="K15" s="303"/>
      <c r="L15" s="304" t="e">
        <f>INDEX([1]Timeline!$E$10:$E$24,MATCH(A15,[1]Timeline!$C$10:$C$24,0))</f>
        <v>#N/A</v>
      </c>
      <c r="M15" s="305">
        <v>45291</v>
      </c>
      <c r="N15" s="120"/>
      <c r="O15" s="120" t="e">
        <f t="shared" si="0"/>
        <v>#N/A</v>
      </c>
      <c r="P15" s="120" t="e">
        <f t="shared" si="1"/>
        <v>#N/A</v>
      </c>
      <c r="Q15" s="120"/>
      <c r="R15" s="120" t="e">
        <f t="shared" si="15"/>
        <v>#N/A</v>
      </c>
      <c r="S15" s="120" t="e">
        <f t="shared" si="16"/>
        <v>#N/A</v>
      </c>
      <c r="T15" s="120"/>
      <c r="U15" s="120"/>
      <c r="V15" s="120"/>
      <c r="W15" s="120"/>
      <c r="X15" s="120"/>
      <c r="Y15" s="120" t="s">
        <v>2773</v>
      </c>
      <c r="Z15" s="120">
        <v>1</v>
      </c>
      <c r="AA15" s="120">
        <v>1</v>
      </c>
      <c r="AB15" s="306">
        <f>N15/Z15</f>
        <v>0</v>
      </c>
      <c r="AC15" s="306" t="e">
        <f t="shared" si="2"/>
        <v>#N/A</v>
      </c>
      <c r="AD15" s="306" t="e">
        <f t="shared" si="3"/>
        <v>#N/A</v>
      </c>
      <c r="AE15" s="262">
        <v>1</v>
      </c>
      <c r="AF15" s="267" t="e">
        <f t="shared" si="4"/>
        <v>#DIV/0!</v>
      </c>
      <c r="AG15" s="267" t="e">
        <f t="shared" si="17"/>
        <v>#DIV/0!</v>
      </c>
      <c r="AH15" s="267" t="e">
        <f t="shared" si="18"/>
        <v>#DIV/0!</v>
      </c>
      <c r="AI15" s="262"/>
      <c r="AJ15" s="262"/>
      <c r="AK15" s="262"/>
      <c r="AL15" s="262"/>
      <c r="AM15" s="307">
        <f t="shared" si="5"/>
        <v>0</v>
      </c>
      <c r="AN15" s="262"/>
      <c r="AO15" s="262"/>
      <c r="AP15" s="262"/>
      <c r="AQ15" s="262"/>
      <c r="AR15" s="308">
        <f t="shared" si="6"/>
        <v>0</v>
      </c>
      <c r="AS15" s="309"/>
      <c r="AT15" s="309"/>
      <c r="AU15" s="309"/>
      <c r="AV15" s="309"/>
      <c r="AW15" s="307">
        <f t="shared" si="7"/>
        <v>0</v>
      </c>
      <c r="AX15" s="262"/>
      <c r="AY15" s="262"/>
      <c r="AZ15" s="262"/>
      <c r="BA15" s="262"/>
      <c r="BB15" s="307">
        <f t="shared" si="8"/>
        <v>0</v>
      </c>
      <c r="BC15" s="262"/>
      <c r="BD15" s="262"/>
      <c r="BE15" s="262"/>
      <c r="BF15" s="262"/>
      <c r="BG15" s="307">
        <f t="shared" si="9"/>
        <v>0</v>
      </c>
      <c r="BH15" s="262"/>
      <c r="BI15" s="262"/>
      <c r="BJ15" s="262"/>
      <c r="BK15" s="262"/>
      <c r="BL15" s="307">
        <f>IFERROR(SUM(BH15:BK15)/4,0)</f>
        <v>0</v>
      </c>
      <c r="BM15" s="262"/>
      <c r="BN15" s="262"/>
      <c r="BO15" s="262"/>
      <c r="BP15" s="262"/>
      <c r="BQ15" s="307">
        <f t="shared" si="11"/>
        <v>0</v>
      </c>
      <c r="BR15" s="262"/>
      <c r="BS15" s="262"/>
      <c r="BT15" s="262"/>
      <c r="BU15" s="262"/>
      <c r="BV15" s="307">
        <f t="shared" si="12"/>
        <v>0</v>
      </c>
      <c r="BW15" s="262"/>
      <c r="BX15" s="262"/>
      <c r="BY15" s="262"/>
      <c r="BZ15" s="262"/>
      <c r="CA15" s="307">
        <f t="shared" si="13"/>
        <v>0</v>
      </c>
      <c r="CB15" s="291"/>
      <c r="CC15" s="291"/>
      <c r="CD15" s="291"/>
      <c r="CE15" s="291"/>
      <c r="CF15" s="291"/>
      <c r="CG15" s="291"/>
      <c r="CH15" s="291"/>
      <c r="CI15" s="291"/>
      <c r="CJ15" s="291"/>
      <c r="CK15" s="291"/>
    </row>
    <row r="16" spans="1:89" ht="121.5">
      <c r="A16" s="262">
        <v>6</v>
      </c>
      <c r="B16" s="110">
        <f t="shared" si="14"/>
        <v>13</v>
      </c>
      <c r="C16" s="299" t="s">
        <v>4631</v>
      </c>
      <c r="D16" s="299" t="s">
        <v>4998</v>
      </c>
      <c r="E16" s="302" t="s">
        <v>4999</v>
      </c>
      <c r="F16" s="299" t="s">
        <v>5000</v>
      </c>
      <c r="G16" s="314" t="s">
        <v>5001</v>
      </c>
      <c r="H16" s="314" t="s">
        <v>5002</v>
      </c>
      <c r="I16" s="302" t="s">
        <v>5003</v>
      </c>
      <c r="J16" s="262" t="s">
        <v>3575</v>
      </c>
      <c r="K16" s="303"/>
      <c r="L16" s="304" t="e">
        <f>INDEX([1]Timeline!$E$10:$E$24,MATCH(A16,[1]Timeline!$C$10:$C$24,0))</f>
        <v>#N/A</v>
      </c>
      <c r="M16" s="305">
        <v>45291</v>
      </c>
      <c r="N16" s="120"/>
      <c r="O16" s="120" t="e">
        <f t="shared" si="0"/>
        <v>#N/A</v>
      </c>
      <c r="P16" s="120" t="e">
        <f t="shared" si="1"/>
        <v>#N/A</v>
      </c>
      <c r="Q16" s="120"/>
      <c r="R16" s="120" t="e">
        <f t="shared" si="15"/>
        <v>#N/A</v>
      </c>
      <c r="S16" s="120" t="e">
        <f t="shared" si="16"/>
        <v>#N/A</v>
      </c>
      <c r="T16" s="120"/>
      <c r="U16" s="120"/>
      <c r="V16" s="120"/>
      <c r="W16" s="120"/>
      <c r="X16" s="120"/>
      <c r="Y16" s="120" t="s">
        <v>3662</v>
      </c>
      <c r="Z16" s="120">
        <v>1</v>
      </c>
      <c r="AA16" s="120">
        <v>1</v>
      </c>
      <c r="AB16" s="306">
        <f>N16/Z16</f>
        <v>0</v>
      </c>
      <c r="AC16" s="306" t="e">
        <f t="shared" si="2"/>
        <v>#N/A</v>
      </c>
      <c r="AD16" s="306" t="e">
        <f t="shared" si="3"/>
        <v>#N/A</v>
      </c>
      <c r="AE16" s="262">
        <v>1</v>
      </c>
      <c r="AF16" s="267" t="e">
        <f t="shared" si="4"/>
        <v>#DIV/0!</v>
      </c>
      <c r="AG16" s="267" t="e">
        <f t="shared" si="17"/>
        <v>#DIV/0!</v>
      </c>
      <c r="AH16" s="267" t="e">
        <f t="shared" si="18"/>
        <v>#DIV/0!</v>
      </c>
      <c r="AI16" s="262"/>
      <c r="AJ16" s="262"/>
      <c r="AK16" s="262"/>
      <c r="AL16" s="262"/>
      <c r="AM16" s="307">
        <f t="shared" si="5"/>
        <v>0</v>
      </c>
      <c r="AN16" s="262"/>
      <c r="AO16" s="262"/>
      <c r="AP16" s="262"/>
      <c r="AQ16" s="262"/>
      <c r="AR16" s="308">
        <f t="shared" si="6"/>
        <v>0</v>
      </c>
      <c r="AS16" s="309"/>
      <c r="AT16" s="309"/>
      <c r="AU16" s="309"/>
      <c r="AV16" s="309"/>
      <c r="AW16" s="307">
        <f t="shared" si="7"/>
        <v>0</v>
      </c>
      <c r="AX16" s="262"/>
      <c r="AY16" s="262"/>
      <c r="AZ16" s="262"/>
      <c r="BA16" s="262"/>
      <c r="BB16" s="307">
        <f t="shared" si="8"/>
        <v>0</v>
      </c>
      <c r="BC16" s="262"/>
      <c r="BD16" s="262"/>
      <c r="BE16" s="262"/>
      <c r="BF16" s="262"/>
      <c r="BG16" s="307">
        <f t="shared" si="9"/>
        <v>0</v>
      </c>
      <c r="BH16" s="262"/>
      <c r="BI16" s="262"/>
      <c r="BJ16" s="262"/>
      <c r="BK16" s="262"/>
      <c r="BL16" s="262"/>
      <c r="BM16" s="262"/>
      <c r="BN16" s="262"/>
      <c r="BO16" s="262"/>
      <c r="BP16" s="262"/>
      <c r="BQ16" s="307">
        <f t="shared" si="11"/>
        <v>0</v>
      </c>
      <c r="BR16" s="262"/>
      <c r="BS16" s="262"/>
      <c r="BT16" s="262"/>
      <c r="BU16" s="262"/>
      <c r="BV16" s="307">
        <f t="shared" si="12"/>
        <v>0</v>
      </c>
      <c r="BW16" s="262"/>
      <c r="BX16" s="262"/>
      <c r="BY16" s="262"/>
      <c r="BZ16" s="262"/>
      <c r="CA16" s="307">
        <f t="shared" si="13"/>
        <v>0</v>
      </c>
      <c r="CB16" s="291"/>
      <c r="CC16" s="291"/>
      <c r="CD16" s="291"/>
      <c r="CE16" s="291"/>
      <c r="CF16" s="291"/>
      <c r="CG16" s="291"/>
      <c r="CH16" s="291"/>
      <c r="CI16" s="291"/>
      <c r="CJ16" s="291"/>
      <c r="CK16" s="291"/>
    </row>
    <row r="17" spans="1:89" ht="76.5">
      <c r="A17" s="262">
        <v>6</v>
      </c>
      <c r="B17" s="110">
        <f t="shared" si="14"/>
        <v>14</v>
      </c>
      <c r="C17" s="299" t="s">
        <v>4324</v>
      </c>
      <c r="D17" s="299" t="s">
        <v>3513</v>
      </c>
      <c r="E17" s="315" t="s">
        <v>5004</v>
      </c>
      <c r="F17" s="316" t="s">
        <v>5005</v>
      </c>
      <c r="G17" s="262" t="s">
        <v>5006</v>
      </c>
      <c r="H17" s="262" t="s">
        <v>5007</v>
      </c>
      <c r="I17" s="302"/>
      <c r="J17" s="262" t="s">
        <v>3575</v>
      </c>
      <c r="K17" s="303"/>
      <c r="L17" s="304" t="e">
        <f>INDEX([1]Timeline!$E$10:$E$24,MATCH(A17,[1]Timeline!$C$10:$C$24,0))</f>
        <v>#N/A</v>
      </c>
      <c r="M17" s="305">
        <v>45291</v>
      </c>
      <c r="N17" s="120"/>
      <c r="O17" s="120" t="e">
        <f t="shared" si="0"/>
        <v>#N/A</v>
      </c>
      <c r="P17" s="120" t="e">
        <f t="shared" si="1"/>
        <v>#N/A</v>
      </c>
      <c r="Q17" s="120"/>
      <c r="R17" s="120" t="e">
        <f t="shared" si="15"/>
        <v>#N/A</v>
      </c>
      <c r="S17" s="120" t="e">
        <f t="shared" si="16"/>
        <v>#N/A</v>
      </c>
      <c r="T17" s="120"/>
      <c r="U17" s="120"/>
      <c r="V17" s="120"/>
      <c r="W17" s="120"/>
      <c r="X17" s="120"/>
      <c r="Y17" s="120" t="s">
        <v>5008</v>
      </c>
      <c r="Z17" s="120">
        <v>1</v>
      </c>
      <c r="AA17" s="120">
        <v>1</v>
      </c>
      <c r="AB17" s="306">
        <f>N17/1</f>
        <v>0</v>
      </c>
      <c r="AC17" s="306" t="e">
        <f t="shared" si="2"/>
        <v>#N/A</v>
      </c>
      <c r="AD17" s="306" t="e">
        <f t="shared" si="3"/>
        <v>#N/A</v>
      </c>
      <c r="AE17" s="262">
        <v>1</v>
      </c>
      <c r="AF17" s="267" t="e">
        <f t="shared" si="4"/>
        <v>#DIV/0!</v>
      </c>
      <c r="AG17" s="267" t="e">
        <f t="shared" si="17"/>
        <v>#DIV/0!</v>
      </c>
      <c r="AH17" s="267" t="e">
        <f t="shared" si="18"/>
        <v>#DIV/0!</v>
      </c>
      <c r="AI17" s="262"/>
      <c r="AJ17" s="262"/>
      <c r="AK17" s="262"/>
      <c r="AL17" s="262"/>
      <c r="AM17" s="307">
        <f t="shared" si="5"/>
        <v>0</v>
      </c>
      <c r="AN17" s="262"/>
      <c r="AO17" s="262"/>
      <c r="AP17" s="262"/>
      <c r="AQ17" s="262"/>
      <c r="AR17" s="308">
        <f t="shared" si="6"/>
        <v>0</v>
      </c>
      <c r="AS17" s="309"/>
      <c r="AT17" s="309"/>
      <c r="AU17" s="309"/>
      <c r="AV17" s="309"/>
      <c r="AW17" s="307">
        <f t="shared" si="7"/>
        <v>0</v>
      </c>
      <c r="AX17" s="262"/>
      <c r="AY17" s="262"/>
      <c r="AZ17" s="262"/>
      <c r="BA17" s="262"/>
      <c r="BB17" s="307">
        <f t="shared" si="8"/>
        <v>0</v>
      </c>
      <c r="BC17" s="262"/>
      <c r="BD17" s="262"/>
      <c r="BE17" s="262"/>
      <c r="BF17" s="262"/>
      <c r="BG17" s="307">
        <f t="shared" si="9"/>
        <v>0</v>
      </c>
      <c r="BH17" s="262"/>
      <c r="BI17" s="262"/>
      <c r="BJ17" s="262"/>
      <c r="BK17" s="262"/>
      <c r="BL17" s="262"/>
      <c r="BM17" s="262"/>
      <c r="BN17" s="262"/>
      <c r="BO17" s="262"/>
      <c r="BP17" s="262"/>
      <c r="BQ17" s="307">
        <f t="shared" si="11"/>
        <v>0</v>
      </c>
      <c r="BR17" s="262"/>
      <c r="BS17" s="262"/>
      <c r="BT17" s="262"/>
      <c r="BU17" s="262"/>
      <c r="BV17" s="307">
        <f t="shared" si="12"/>
        <v>0</v>
      </c>
      <c r="BW17" s="262"/>
      <c r="BX17" s="262"/>
      <c r="BY17" s="262"/>
      <c r="BZ17" s="262"/>
      <c r="CA17" s="307">
        <f t="shared" si="13"/>
        <v>0</v>
      </c>
      <c r="CB17" s="291"/>
      <c r="CC17" s="291"/>
      <c r="CD17" s="291"/>
      <c r="CE17" s="291"/>
      <c r="CF17" s="291"/>
      <c r="CG17" s="291"/>
      <c r="CH17" s="291"/>
      <c r="CI17" s="291"/>
      <c r="CJ17" s="291"/>
      <c r="CK17" s="291"/>
    </row>
    <row r="18" spans="1:89" ht="66.75">
      <c r="A18" s="262">
        <v>7</v>
      </c>
      <c r="B18" s="110">
        <f t="shared" si="14"/>
        <v>15</v>
      </c>
      <c r="C18" s="299" t="s">
        <v>4980</v>
      </c>
      <c r="D18" s="299" t="s">
        <v>5009</v>
      </c>
      <c r="E18" s="299" t="s">
        <v>5010</v>
      </c>
      <c r="F18" s="299" t="s">
        <v>5011</v>
      </c>
      <c r="G18" s="262" t="s">
        <v>5012</v>
      </c>
      <c r="H18" s="262" t="s">
        <v>5013</v>
      </c>
      <c r="I18" s="302"/>
      <c r="J18" s="262" t="s">
        <v>3575</v>
      </c>
      <c r="K18" s="303"/>
      <c r="L18" s="304" t="e">
        <f>INDEX([1]Timeline!$E$10:$E$24,MATCH(A18,[1]Timeline!$C$10:$C$24,0))</f>
        <v>#N/A</v>
      </c>
      <c r="M18" s="305">
        <v>45291</v>
      </c>
      <c r="N18" s="120"/>
      <c r="O18" s="120" t="e">
        <f t="shared" si="0"/>
        <v>#N/A</v>
      </c>
      <c r="P18" s="120" t="e">
        <f t="shared" si="1"/>
        <v>#N/A</v>
      </c>
      <c r="Q18" s="120"/>
      <c r="R18" s="120" t="e">
        <f t="shared" si="15"/>
        <v>#N/A</v>
      </c>
      <c r="S18" s="120" t="e">
        <f t="shared" si="16"/>
        <v>#N/A</v>
      </c>
      <c r="T18" s="120"/>
      <c r="U18" s="120"/>
      <c r="V18" s="120"/>
      <c r="W18" s="120"/>
      <c r="X18" s="120"/>
      <c r="Y18" s="120" t="s">
        <v>4170</v>
      </c>
      <c r="Z18" s="120">
        <v>1</v>
      </c>
      <c r="AA18" s="120">
        <v>1</v>
      </c>
      <c r="AB18" s="306">
        <f>N18/1</f>
        <v>0</v>
      </c>
      <c r="AC18" s="306" t="e">
        <f t="shared" si="2"/>
        <v>#N/A</v>
      </c>
      <c r="AD18" s="306" t="e">
        <f t="shared" si="3"/>
        <v>#N/A</v>
      </c>
      <c r="AE18" s="262">
        <v>1</v>
      </c>
      <c r="AF18" s="267" t="e">
        <f t="shared" si="4"/>
        <v>#DIV/0!</v>
      </c>
      <c r="AG18" s="267" t="e">
        <f t="shared" si="17"/>
        <v>#DIV/0!</v>
      </c>
      <c r="AH18" s="267" t="e">
        <f t="shared" si="18"/>
        <v>#DIV/0!</v>
      </c>
      <c r="AI18" s="262"/>
      <c r="AJ18" s="262"/>
      <c r="AK18" s="262"/>
      <c r="AL18" s="262"/>
      <c r="AM18" s="307">
        <f t="shared" si="5"/>
        <v>0</v>
      </c>
      <c r="AN18" s="262"/>
      <c r="AO18" s="262"/>
      <c r="AP18" s="262"/>
      <c r="AQ18" s="262"/>
      <c r="AR18" s="308">
        <f t="shared" si="6"/>
        <v>0</v>
      </c>
      <c r="AS18" s="309"/>
      <c r="AT18" s="309"/>
      <c r="AU18" s="309"/>
      <c r="AV18" s="309"/>
      <c r="AW18" s="307">
        <f t="shared" si="7"/>
        <v>0</v>
      </c>
      <c r="AX18" s="262"/>
      <c r="AY18" s="262"/>
      <c r="AZ18" s="262"/>
      <c r="BA18" s="262"/>
      <c r="BB18" s="307">
        <f t="shared" si="8"/>
        <v>0</v>
      </c>
      <c r="BC18" s="262"/>
      <c r="BD18" s="262"/>
      <c r="BE18" s="262"/>
      <c r="BF18" s="262"/>
      <c r="BG18" s="307">
        <f t="shared" si="9"/>
        <v>0</v>
      </c>
      <c r="BH18" s="262"/>
      <c r="BI18" s="262"/>
      <c r="BJ18" s="262"/>
      <c r="BK18" s="262"/>
      <c r="BL18" s="262"/>
      <c r="BM18" s="262"/>
      <c r="BN18" s="262"/>
      <c r="BO18" s="262"/>
      <c r="BP18" s="262"/>
      <c r="BQ18" s="307">
        <f t="shared" si="11"/>
        <v>0</v>
      </c>
      <c r="BR18" s="262"/>
      <c r="BS18" s="262"/>
      <c r="BT18" s="262"/>
      <c r="BU18" s="262"/>
      <c r="BV18" s="307">
        <f t="shared" si="12"/>
        <v>0</v>
      </c>
      <c r="BW18" s="262"/>
      <c r="BX18" s="262"/>
      <c r="BY18" s="262"/>
      <c r="BZ18" s="262"/>
      <c r="CA18" s="307">
        <f t="shared" si="13"/>
        <v>0</v>
      </c>
      <c r="CB18" s="291"/>
      <c r="CC18" s="291"/>
      <c r="CD18" s="291"/>
      <c r="CE18" s="291"/>
      <c r="CF18" s="291"/>
      <c r="CG18" s="291"/>
      <c r="CH18" s="291"/>
      <c r="CI18" s="291"/>
      <c r="CJ18" s="291"/>
      <c r="CK18" s="291"/>
    </row>
    <row r="19" spans="1:89" ht="259.5">
      <c r="A19" s="45">
        <v>5</v>
      </c>
      <c r="B19" s="50">
        <f t="shared" si="14"/>
        <v>16</v>
      </c>
      <c r="C19" s="297" t="s">
        <v>5014</v>
      </c>
      <c r="D19" s="297" t="s">
        <v>5015</v>
      </c>
      <c r="E19" s="298" t="s">
        <v>5016</v>
      </c>
      <c r="F19" s="297" t="s">
        <v>5017</v>
      </c>
      <c r="G19" s="45" t="s">
        <v>5018</v>
      </c>
      <c r="H19" s="74" t="s">
        <v>5019</v>
      </c>
      <c r="I19" s="52" t="s">
        <v>5020</v>
      </c>
      <c r="J19" s="45" t="s">
        <v>3575</v>
      </c>
      <c r="K19" s="53"/>
      <c r="L19" s="54" t="e">
        <f>INDEX([1]Timeline!$E$10:$E$24,MATCH(A19,[1]Timeline!$C$10:$C$24,0))</f>
        <v>#N/A</v>
      </c>
      <c r="M19" s="55">
        <v>45291</v>
      </c>
      <c r="N19" s="56">
        <v>22587515</v>
      </c>
      <c r="O19" s="57" t="e">
        <f t="shared" si="0"/>
        <v>#N/A</v>
      </c>
      <c r="P19" s="56" t="e">
        <f t="shared" si="1"/>
        <v>#N/A</v>
      </c>
      <c r="Q19" s="56"/>
      <c r="R19" s="57" t="e">
        <f t="shared" si="15"/>
        <v>#N/A</v>
      </c>
      <c r="S19" s="56" t="e">
        <f t="shared" si="16"/>
        <v>#N/A</v>
      </c>
      <c r="T19" s="56"/>
      <c r="U19" s="56"/>
      <c r="V19" s="56"/>
      <c r="W19" s="56"/>
      <c r="X19" s="56"/>
      <c r="Y19" s="56" t="s">
        <v>2817</v>
      </c>
      <c r="Z19" s="56">
        <v>1</v>
      </c>
      <c r="AA19" s="56">
        <v>1</v>
      </c>
      <c r="AB19" s="58">
        <f>N19/Z19</f>
        <v>22587515</v>
      </c>
      <c r="AC19" s="58" t="e">
        <f t="shared" si="2"/>
        <v>#N/A</v>
      </c>
      <c r="AD19" s="58" t="e">
        <f t="shared" si="3"/>
        <v>#N/A</v>
      </c>
      <c r="AE19" s="45">
        <v>1</v>
      </c>
      <c r="AF19" s="59">
        <f t="shared" si="4"/>
        <v>2.1666666666666665</v>
      </c>
      <c r="AG19" s="59">
        <f t="shared" si="17"/>
        <v>2.6666666666666665</v>
      </c>
      <c r="AH19" s="60">
        <f t="shared" si="18"/>
        <v>1.6666666666666667</v>
      </c>
      <c r="AI19" s="45">
        <v>2</v>
      </c>
      <c r="AJ19" s="45">
        <v>2</v>
      </c>
      <c r="AK19" s="45">
        <v>1</v>
      </c>
      <c r="AL19" s="45">
        <v>2</v>
      </c>
      <c r="AM19" s="46">
        <f t="shared" si="5"/>
        <v>1.75</v>
      </c>
      <c r="AN19" s="45"/>
      <c r="AO19" s="45"/>
      <c r="AP19" s="45"/>
      <c r="AQ19" s="45"/>
      <c r="AR19" s="61">
        <f t="shared" si="6"/>
        <v>0</v>
      </c>
      <c r="AS19" s="295">
        <v>3</v>
      </c>
      <c r="AT19" s="295">
        <v>3</v>
      </c>
      <c r="AU19" s="295">
        <v>2</v>
      </c>
      <c r="AV19" s="295">
        <v>2</v>
      </c>
      <c r="AW19" s="46">
        <f t="shared" si="7"/>
        <v>2.5</v>
      </c>
      <c r="AX19" s="45"/>
      <c r="AY19" s="45"/>
      <c r="AZ19" s="45"/>
      <c r="BA19" s="45"/>
      <c r="BB19" s="46">
        <f t="shared" si="8"/>
        <v>0</v>
      </c>
      <c r="BC19" s="45">
        <v>3</v>
      </c>
      <c r="BD19" s="45">
        <v>3</v>
      </c>
      <c r="BE19" s="45">
        <v>1</v>
      </c>
      <c r="BF19" s="45">
        <v>2</v>
      </c>
      <c r="BG19" s="47">
        <f t="shared" si="9"/>
        <v>2.25</v>
      </c>
      <c r="BH19" s="45"/>
      <c r="BI19" s="45"/>
      <c r="BJ19" s="45"/>
      <c r="BK19" s="45"/>
      <c r="BL19" s="47">
        <f t="shared" ref="BL19:BL40" si="19">IFERROR(SUM(BH19:BK19)/4,0)</f>
        <v>0</v>
      </c>
      <c r="BM19" s="45"/>
      <c r="BN19" s="45"/>
      <c r="BO19" s="45"/>
      <c r="BP19" s="45"/>
      <c r="BQ19" s="46">
        <f t="shared" si="11"/>
        <v>0</v>
      </c>
      <c r="BR19" s="45"/>
      <c r="BS19" s="45"/>
      <c r="BT19" s="45"/>
      <c r="BU19" s="45"/>
      <c r="BV19" s="46">
        <f t="shared" si="12"/>
        <v>0</v>
      </c>
      <c r="BW19" s="45"/>
      <c r="BX19" s="45"/>
      <c r="BY19" s="45"/>
      <c r="BZ19" s="45"/>
      <c r="CA19" s="46">
        <f t="shared" si="13"/>
        <v>0</v>
      </c>
      <c r="CB19" s="291"/>
      <c r="CC19" s="291"/>
      <c r="CD19" s="291"/>
      <c r="CE19" s="291"/>
      <c r="CF19" s="291"/>
      <c r="CG19" s="291"/>
      <c r="CH19" s="291"/>
      <c r="CI19" s="291"/>
      <c r="CJ19" s="291"/>
      <c r="CK19" s="291"/>
    </row>
    <row r="20" spans="1:89" ht="121.5">
      <c r="A20" s="45">
        <v>3</v>
      </c>
      <c r="B20" s="50">
        <f t="shared" si="14"/>
        <v>17</v>
      </c>
      <c r="C20" s="51" t="s">
        <v>5021</v>
      </c>
      <c r="D20" s="45" t="s">
        <v>5022</v>
      </c>
      <c r="E20" s="45" t="s">
        <v>5023</v>
      </c>
      <c r="F20" s="45" t="s">
        <v>5024</v>
      </c>
      <c r="G20" s="45" t="s">
        <v>5025</v>
      </c>
      <c r="H20" s="45" t="s">
        <v>5026</v>
      </c>
      <c r="I20" s="69"/>
      <c r="J20" s="45" t="s">
        <v>3575</v>
      </c>
      <c r="K20" s="53"/>
      <c r="L20" s="54" t="e">
        <f>INDEX([1]Timeline!$E$10:$E$24,MATCH(A20,[1]Timeline!$C$10:$C$24,0))</f>
        <v>#N/A</v>
      </c>
      <c r="M20" s="55">
        <v>45291</v>
      </c>
      <c r="N20" s="57">
        <v>80000</v>
      </c>
      <c r="O20" s="57" t="e">
        <f t="shared" si="0"/>
        <v>#N/A</v>
      </c>
      <c r="P20" s="57" t="e">
        <f t="shared" si="1"/>
        <v>#N/A</v>
      </c>
      <c r="Q20" s="56">
        <f>V20*0.055/8*0.87</f>
        <v>1.1540489583333334E-2</v>
      </c>
      <c r="R20" s="57" t="e">
        <f t="shared" si="15"/>
        <v>#N/A</v>
      </c>
      <c r="S20" s="56" t="e">
        <f t="shared" si="16"/>
        <v>#N/A</v>
      </c>
      <c r="T20" s="56" t="s">
        <v>4940</v>
      </c>
      <c r="U20" s="56" t="s">
        <v>4941</v>
      </c>
      <c r="V20" s="56">
        <f>6946/3600</f>
        <v>1.9294444444444445</v>
      </c>
      <c r="W20" s="56" t="s">
        <v>4942</v>
      </c>
      <c r="X20" s="56">
        <f>V20*0.055/8</f>
        <v>1.3264930555555556E-2</v>
      </c>
      <c r="Y20" s="57" t="s">
        <v>2841</v>
      </c>
      <c r="Z20" s="57">
        <v>1</v>
      </c>
      <c r="AA20" s="57">
        <v>1</v>
      </c>
      <c r="AB20" s="58">
        <f>N20/Z20</f>
        <v>80000</v>
      </c>
      <c r="AC20" s="58" t="e">
        <f t="shared" si="2"/>
        <v>#N/A</v>
      </c>
      <c r="AD20" s="58" t="e">
        <f t="shared" si="3"/>
        <v>#N/A</v>
      </c>
      <c r="AE20" s="45">
        <v>1</v>
      </c>
      <c r="AF20" s="60">
        <f t="shared" si="4"/>
        <v>1</v>
      </c>
      <c r="AG20" s="59">
        <f t="shared" si="17"/>
        <v>1</v>
      </c>
      <c r="AH20" s="60">
        <f t="shared" si="18"/>
        <v>1</v>
      </c>
      <c r="AI20" s="45"/>
      <c r="AJ20" s="45"/>
      <c r="AK20" s="45"/>
      <c r="AL20" s="45"/>
      <c r="AM20" s="47">
        <f t="shared" si="5"/>
        <v>0</v>
      </c>
      <c r="AN20" s="47">
        <v>1</v>
      </c>
      <c r="AO20" s="45">
        <v>1</v>
      </c>
      <c r="AP20" s="45">
        <v>1</v>
      </c>
      <c r="AQ20" s="45">
        <v>1</v>
      </c>
      <c r="AR20" s="70">
        <f t="shared" si="6"/>
        <v>1</v>
      </c>
      <c r="AS20" s="105">
        <v>1</v>
      </c>
      <c r="AT20" s="105">
        <v>1</v>
      </c>
      <c r="AU20" s="105">
        <v>1</v>
      </c>
      <c r="AV20" s="105">
        <v>1</v>
      </c>
      <c r="AW20" s="47">
        <f t="shared" si="7"/>
        <v>1</v>
      </c>
      <c r="AX20" s="45">
        <v>1</v>
      </c>
      <c r="AY20" s="45">
        <v>1</v>
      </c>
      <c r="AZ20" s="45">
        <v>1</v>
      </c>
      <c r="BA20" s="45">
        <v>1</v>
      </c>
      <c r="BB20" s="47">
        <f t="shared" si="8"/>
        <v>1</v>
      </c>
      <c r="BC20" s="45"/>
      <c r="BD20" s="45"/>
      <c r="BE20" s="45"/>
      <c r="BF20" s="45"/>
      <c r="BG20" s="47">
        <f t="shared" si="9"/>
        <v>0</v>
      </c>
      <c r="BH20" s="45"/>
      <c r="BI20" s="45"/>
      <c r="BJ20" s="45"/>
      <c r="BK20" s="45"/>
      <c r="BL20" s="47">
        <f t="shared" si="19"/>
        <v>0</v>
      </c>
      <c r="BM20" s="45"/>
      <c r="BN20" s="45"/>
      <c r="BO20" s="45"/>
      <c r="BP20" s="45"/>
      <c r="BQ20" s="47">
        <f t="shared" si="11"/>
        <v>0</v>
      </c>
      <c r="BR20" s="45"/>
      <c r="BS20" s="45"/>
      <c r="BT20" s="45"/>
      <c r="BU20" s="45"/>
      <c r="BV20" s="47">
        <f t="shared" si="12"/>
        <v>0</v>
      </c>
      <c r="BW20" s="45"/>
      <c r="BX20" s="45"/>
      <c r="BY20" s="45"/>
      <c r="BZ20" s="45"/>
      <c r="CA20" s="47">
        <f t="shared" si="13"/>
        <v>0</v>
      </c>
      <c r="CB20" s="291"/>
      <c r="CC20" s="291"/>
      <c r="CD20" s="291"/>
      <c r="CE20" s="291"/>
      <c r="CF20" s="291"/>
      <c r="CG20" s="291"/>
      <c r="CH20" s="291"/>
      <c r="CI20" s="291"/>
      <c r="CJ20" s="291"/>
      <c r="CK20" s="291"/>
    </row>
    <row r="21" spans="1:89" ht="76.5">
      <c r="A21" s="262">
        <v>13</v>
      </c>
      <c r="B21" s="50">
        <f t="shared" si="14"/>
        <v>18</v>
      </c>
      <c r="C21" s="51" t="s">
        <v>2817</v>
      </c>
      <c r="D21" s="45" t="s">
        <v>3978</v>
      </c>
      <c r="E21" s="14" t="s">
        <v>5027</v>
      </c>
      <c r="F21" s="45" t="s">
        <v>5028</v>
      </c>
      <c r="G21" s="45" t="s">
        <v>5029</v>
      </c>
      <c r="H21" s="45" t="s">
        <v>5030</v>
      </c>
      <c r="I21" s="52" t="s">
        <v>5031</v>
      </c>
      <c r="J21" s="45" t="s">
        <v>3575</v>
      </c>
      <c r="K21" s="53"/>
      <c r="L21" s="54" t="e">
        <f>INDEX([1]Timeline!$E$10:$E$24,MATCH(A21,[1]Timeline!$C$10:$C$24,0))</f>
        <v>#N/A</v>
      </c>
      <c r="M21" s="55">
        <v>45291</v>
      </c>
      <c r="N21" s="56"/>
      <c r="O21" s="57" t="e">
        <f t="shared" si="0"/>
        <v>#N/A</v>
      </c>
      <c r="P21" s="56" t="e">
        <f t="shared" si="1"/>
        <v>#N/A</v>
      </c>
      <c r="Q21" s="56"/>
      <c r="R21" s="57" t="e">
        <f t="shared" si="15"/>
        <v>#N/A</v>
      </c>
      <c r="S21" s="56" t="e">
        <f t="shared" si="16"/>
        <v>#N/A</v>
      </c>
      <c r="T21" s="56"/>
      <c r="U21" s="56"/>
      <c r="V21" s="56"/>
      <c r="W21" s="56"/>
      <c r="X21" s="56"/>
      <c r="Y21" s="56" t="s">
        <v>2817</v>
      </c>
      <c r="Z21" s="56">
        <v>1</v>
      </c>
      <c r="AA21" s="56">
        <v>1</v>
      </c>
      <c r="AB21" s="58">
        <f t="shared" ref="AB21:AB38" si="20">N21/1</f>
        <v>0</v>
      </c>
      <c r="AC21" s="58" t="e">
        <f t="shared" si="2"/>
        <v>#N/A</v>
      </c>
      <c r="AD21" s="58" t="e">
        <f t="shared" si="3"/>
        <v>#N/A</v>
      </c>
      <c r="AE21" s="45">
        <v>1</v>
      </c>
      <c r="AF21" s="59" t="e">
        <f t="shared" si="4"/>
        <v>#DIV/0!</v>
      </c>
      <c r="AG21" s="59" t="e">
        <f t="shared" si="17"/>
        <v>#DIV/0!</v>
      </c>
      <c r="AH21" s="60" t="e">
        <f t="shared" si="18"/>
        <v>#DIV/0!</v>
      </c>
      <c r="AI21" s="45"/>
      <c r="AJ21" s="45"/>
      <c r="AK21" s="45"/>
      <c r="AL21" s="45"/>
      <c r="AM21" s="46">
        <f t="shared" si="5"/>
        <v>0</v>
      </c>
      <c r="AN21" s="45"/>
      <c r="AO21" s="45"/>
      <c r="AP21" s="45"/>
      <c r="AQ21" s="45"/>
      <c r="AR21" s="61">
        <f t="shared" si="6"/>
        <v>0</v>
      </c>
      <c r="AS21" s="295"/>
      <c r="AT21" s="295"/>
      <c r="AU21" s="295"/>
      <c r="AV21" s="295"/>
      <c r="AW21" s="46">
        <f t="shared" si="7"/>
        <v>0</v>
      </c>
      <c r="AX21" s="45"/>
      <c r="AY21" s="45"/>
      <c r="AZ21" s="45"/>
      <c r="BA21" s="45"/>
      <c r="BB21" s="46">
        <f t="shared" si="8"/>
        <v>0</v>
      </c>
      <c r="BC21" s="45"/>
      <c r="BD21" s="45"/>
      <c r="BE21" s="45"/>
      <c r="BF21" s="45"/>
      <c r="BG21" s="47">
        <f t="shared" si="9"/>
        <v>0</v>
      </c>
      <c r="BH21" s="45"/>
      <c r="BI21" s="45"/>
      <c r="BJ21" s="45"/>
      <c r="BK21" s="45"/>
      <c r="BL21" s="46">
        <f t="shared" si="19"/>
        <v>0</v>
      </c>
      <c r="BM21" s="45"/>
      <c r="BN21" s="45"/>
      <c r="BO21" s="45"/>
      <c r="BP21" s="45"/>
      <c r="BQ21" s="46">
        <f t="shared" si="11"/>
        <v>0</v>
      </c>
      <c r="BR21" s="45"/>
      <c r="BS21" s="45"/>
      <c r="BT21" s="45"/>
      <c r="BU21" s="45"/>
      <c r="BV21" s="46">
        <f t="shared" si="12"/>
        <v>0</v>
      </c>
      <c r="BW21" s="45"/>
      <c r="BX21" s="45"/>
      <c r="BY21" s="45"/>
      <c r="BZ21" s="45"/>
      <c r="CA21" s="46">
        <f t="shared" si="13"/>
        <v>0</v>
      </c>
      <c r="CB21" s="291"/>
      <c r="CC21" s="291"/>
      <c r="CD21" s="291"/>
      <c r="CE21" s="291"/>
      <c r="CF21" s="291"/>
      <c r="CG21" s="291"/>
      <c r="CH21" s="291"/>
      <c r="CI21" s="291"/>
      <c r="CJ21" s="291"/>
      <c r="CK21" s="291"/>
    </row>
    <row r="22" spans="1:89">
      <c r="A22" s="45">
        <v>0</v>
      </c>
      <c r="B22" s="50">
        <f t="shared" si="14"/>
        <v>19</v>
      </c>
      <c r="C22" s="51"/>
      <c r="D22" s="45"/>
      <c r="E22" s="45"/>
      <c r="F22" s="45"/>
      <c r="G22" s="45"/>
      <c r="H22" s="45"/>
      <c r="I22" s="52"/>
      <c r="J22" s="45" t="s">
        <v>3575</v>
      </c>
      <c r="K22" s="53"/>
      <c r="L22" s="54" t="e">
        <f>INDEX([1]Timeline!$E$10:$E$24,MATCH(A22,[1]Timeline!$C$10:$C$24,0))</f>
        <v>#N/A</v>
      </c>
      <c r="M22" s="55">
        <v>45291</v>
      </c>
      <c r="N22" s="56"/>
      <c r="O22" s="57" t="e">
        <f t="shared" si="0"/>
        <v>#N/A</v>
      </c>
      <c r="P22" s="56" t="e">
        <f t="shared" si="1"/>
        <v>#N/A</v>
      </c>
      <c r="Q22" s="56"/>
      <c r="R22" s="57" t="e">
        <f t="shared" si="15"/>
        <v>#N/A</v>
      </c>
      <c r="S22" s="56" t="e">
        <f t="shared" si="16"/>
        <v>#N/A</v>
      </c>
      <c r="T22" s="56"/>
      <c r="U22" s="56"/>
      <c r="V22" s="56"/>
      <c r="W22" s="56"/>
      <c r="X22" s="56"/>
      <c r="Y22" s="56"/>
      <c r="Z22" s="56"/>
      <c r="AA22" s="56"/>
      <c r="AB22" s="58">
        <f t="shared" si="20"/>
        <v>0</v>
      </c>
      <c r="AC22" s="58" t="e">
        <f t="shared" si="2"/>
        <v>#N/A</v>
      </c>
      <c r="AD22" s="58" t="e">
        <f t="shared" si="3"/>
        <v>#N/A</v>
      </c>
      <c r="AE22" s="45">
        <v>1</v>
      </c>
      <c r="AF22" s="59" t="e">
        <f t="shared" si="4"/>
        <v>#DIV/0!</v>
      </c>
      <c r="AG22" s="59" t="e">
        <f t="shared" si="17"/>
        <v>#DIV/0!</v>
      </c>
      <c r="AH22" s="60" t="e">
        <f t="shared" si="18"/>
        <v>#DIV/0!</v>
      </c>
      <c r="AI22" s="45"/>
      <c r="AJ22" s="45"/>
      <c r="AK22" s="45"/>
      <c r="AL22" s="45"/>
      <c r="AM22" s="46">
        <f t="shared" si="5"/>
        <v>0</v>
      </c>
      <c r="AN22" s="45"/>
      <c r="AO22" s="45"/>
      <c r="AP22" s="45"/>
      <c r="AQ22" s="45"/>
      <c r="AR22" s="61">
        <f t="shared" si="6"/>
        <v>0</v>
      </c>
      <c r="AS22" s="295"/>
      <c r="AT22" s="295"/>
      <c r="AU22" s="295"/>
      <c r="AV22" s="295"/>
      <c r="AW22" s="46">
        <f t="shared" si="7"/>
        <v>0</v>
      </c>
      <c r="AX22" s="45"/>
      <c r="AY22" s="45"/>
      <c r="AZ22" s="45"/>
      <c r="BA22" s="45"/>
      <c r="BB22" s="46">
        <f t="shared" si="8"/>
        <v>0</v>
      </c>
      <c r="BC22" s="45"/>
      <c r="BD22" s="45"/>
      <c r="BE22" s="45"/>
      <c r="BF22" s="45"/>
      <c r="BG22" s="47">
        <f t="shared" si="9"/>
        <v>0</v>
      </c>
      <c r="BH22" s="45"/>
      <c r="BI22" s="45"/>
      <c r="BJ22" s="45"/>
      <c r="BK22" s="45"/>
      <c r="BL22" s="46">
        <f t="shared" si="19"/>
        <v>0</v>
      </c>
      <c r="BM22" s="45"/>
      <c r="BN22" s="45"/>
      <c r="BO22" s="45"/>
      <c r="BP22" s="45"/>
      <c r="BQ22" s="46">
        <f t="shared" si="11"/>
        <v>0</v>
      </c>
      <c r="BR22" s="45"/>
      <c r="BS22" s="45"/>
      <c r="BT22" s="45"/>
      <c r="BU22" s="45"/>
      <c r="BV22" s="46">
        <f t="shared" si="12"/>
        <v>0</v>
      </c>
      <c r="BW22" s="45"/>
      <c r="BX22" s="45"/>
      <c r="BY22" s="45"/>
      <c r="BZ22" s="45"/>
      <c r="CA22" s="46">
        <f t="shared" si="13"/>
        <v>0</v>
      </c>
      <c r="CB22" s="291"/>
      <c r="CC22" s="291"/>
      <c r="CD22" s="291"/>
      <c r="CE22" s="291"/>
      <c r="CF22" s="291"/>
      <c r="CG22" s="291"/>
      <c r="CH22" s="291"/>
      <c r="CI22" s="291"/>
      <c r="CJ22" s="291"/>
      <c r="CK22" s="291"/>
    </row>
    <row r="23" spans="1:89">
      <c r="A23" s="45">
        <v>0</v>
      </c>
      <c r="B23" s="50">
        <f t="shared" si="14"/>
        <v>20</v>
      </c>
      <c r="C23" s="51"/>
      <c r="D23" s="45"/>
      <c r="F23" s="45"/>
      <c r="G23" s="45"/>
      <c r="H23" s="45"/>
      <c r="I23" s="52"/>
      <c r="J23" s="45" t="s">
        <v>3575</v>
      </c>
      <c r="K23" s="53"/>
      <c r="L23" s="54" t="e">
        <f>INDEX([1]Timeline!$E$10:$E$24,MATCH(A23,[1]Timeline!$C$10:$C$24,0))</f>
        <v>#N/A</v>
      </c>
      <c r="M23" s="55">
        <v>45291</v>
      </c>
      <c r="N23" s="56"/>
      <c r="O23" s="57" t="e">
        <f t="shared" si="0"/>
        <v>#N/A</v>
      </c>
      <c r="P23" s="56" t="e">
        <f t="shared" si="1"/>
        <v>#N/A</v>
      </c>
      <c r="Q23" s="56"/>
      <c r="R23" s="57" t="e">
        <f t="shared" si="15"/>
        <v>#N/A</v>
      </c>
      <c r="S23" s="56" t="e">
        <f t="shared" si="16"/>
        <v>#N/A</v>
      </c>
      <c r="T23" s="56"/>
      <c r="U23" s="56"/>
      <c r="V23" s="56"/>
      <c r="W23" s="56"/>
      <c r="X23" s="56"/>
      <c r="Y23" s="56"/>
      <c r="Z23" s="56"/>
      <c r="AA23" s="56"/>
      <c r="AB23" s="58">
        <f t="shared" si="20"/>
        <v>0</v>
      </c>
      <c r="AC23" s="58" t="e">
        <f t="shared" si="2"/>
        <v>#N/A</v>
      </c>
      <c r="AD23" s="58" t="e">
        <f t="shared" si="3"/>
        <v>#N/A</v>
      </c>
      <c r="AE23" s="45">
        <v>1</v>
      </c>
      <c r="AF23" s="59" t="e">
        <f t="shared" si="4"/>
        <v>#DIV/0!</v>
      </c>
      <c r="AG23" s="59" t="e">
        <f t="shared" si="17"/>
        <v>#DIV/0!</v>
      </c>
      <c r="AH23" s="60" t="e">
        <f t="shared" si="18"/>
        <v>#DIV/0!</v>
      </c>
      <c r="AI23" s="45"/>
      <c r="AJ23" s="45"/>
      <c r="AK23" s="45"/>
      <c r="AL23" s="45"/>
      <c r="AM23" s="46">
        <f t="shared" si="5"/>
        <v>0</v>
      </c>
      <c r="AN23" s="45"/>
      <c r="AO23" s="45"/>
      <c r="AP23" s="45"/>
      <c r="AQ23" s="45"/>
      <c r="AR23" s="61">
        <f t="shared" si="6"/>
        <v>0</v>
      </c>
      <c r="AS23" s="295"/>
      <c r="AT23" s="295"/>
      <c r="AU23" s="295"/>
      <c r="AV23" s="295"/>
      <c r="AW23" s="46">
        <f t="shared" si="7"/>
        <v>0</v>
      </c>
      <c r="AX23" s="45"/>
      <c r="AY23" s="45"/>
      <c r="AZ23" s="45"/>
      <c r="BA23" s="45"/>
      <c r="BB23" s="46">
        <f t="shared" si="8"/>
        <v>0</v>
      </c>
      <c r="BC23" s="45"/>
      <c r="BD23" s="45"/>
      <c r="BE23" s="45"/>
      <c r="BF23" s="45"/>
      <c r="BG23" s="47">
        <f t="shared" si="9"/>
        <v>0</v>
      </c>
      <c r="BH23" s="45"/>
      <c r="BI23" s="45"/>
      <c r="BJ23" s="45"/>
      <c r="BK23" s="45"/>
      <c r="BL23" s="46">
        <f t="shared" si="19"/>
        <v>0</v>
      </c>
      <c r="BM23" s="45"/>
      <c r="BN23" s="45"/>
      <c r="BO23" s="45"/>
      <c r="BP23" s="45"/>
      <c r="BQ23" s="46">
        <f t="shared" si="11"/>
        <v>0</v>
      </c>
      <c r="BR23" s="45"/>
      <c r="BS23" s="45"/>
      <c r="BT23" s="45"/>
      <c r="BU23" s="45"/>
      <c r="BV23" s="46">
        <f t="shared" si="12"/>
        <v>0</v>
      </c>
      <c r="BW23" s="45"/>
      <c r="BX23" s="45"/>
      <c r="BY23" s="45"/>
      <c r="BZ23" s="45"/>
      <c r="CA23" s="46">
        <f t="shared" si="13"/>
        <v>0</v>
      </c>
      <c r="CB23" s="291"/>
      <c r="CC23" s="291"/>
      <c r="CD23" s="291"/>
      <c r="CE23" s="291"/>
      <c r="CF23" s="291"/>
      <c r="CG23" s="291"/>
      <c r="CH23" s="291"/>
      <c r="CI23" s="291"/>
      <c r="CJ23" s="291"/>
      <c r="CK23" s="291"/>
    </row>
    <row r="24" spans="1:89">
      <c r="A24" s="45">
        <v>0</v>
      </c>
      <c r="B24" s="50">
        <f t="shared" si="14"/>
        <v>21</v>
      </c>
      <c r="C24" s="312"/>
      <c r="D24" s="296"/>
      <c r="E24" s="45"/>
      <c r="F24" s="45"/>
      <c r="G24" s="45"/>
      <c r="H24" s="45"/>
      <c r="I24" s="52"/>
      <c r="J24" s="45" t="s">
        <v>3575</v>
      </c>
      <c r="K24" s="53"/>
      <c r="L24" s="54" t="e">
        <f>INDEX([1]Timeline!$E$10:$E$24,MATCH(A24,[1]Timeline!$C$10:$C$24,0))</f>
        <v>#N/A</v>
      </c>
      <c r="M24" s="55">
        <v>45291</v>
      </c>
      <c r="N24" s="56"/>
      <c r="O24" s="57" t="e">
        <f t="shared" si="0"/>
        <v>#N/A</v>
      </c>
      <c r="P24" s="56" t="e">
        <f t="shared" si="1"/>
        <v>#N/A</v>
      </c>
      <c r="Q24" s="56"/>
      <c r="R24" s="57" t="e">
        <f t="shared" si="15"/>
        <v>#N/A</v>
      </c>
      <c r="S24" s="56" t="e">
        <f t="shared" si="16"/>
        <v>#N/A</v>
      </c>
      <c r="T24" s="56"/>
      <c r="U24" s="56"/>
      <c r="V24" s="56"/>
      <c r="W24" s="56"/>
      <c r="X24" s="56"/>
      <c r="Y24" s="56"/>
      <c r="Z24" s="56"/>
      <c r="AA24" s="56"/>
      <c r="AB24" s="58">
        <f t="shared" si="20"/>
        <v>0</v>
      </c>
      <c r="AC24" s="58" t="e">
        <f t="shared" si="2"/>
        <v>#N/A</v>
      </c>
      <c r="AD24" s="58" t="e">
        <f t="shared" si="3"/>
        <v>#N/A</v>
      </c>
      <c r="AE24" s="45">
        <v>1</v>
      </c>
      <c r="AF24" s="59" t="e">
        <f t="shared" si="4"/>
        <v>#DIV/0!</v>
      </c>
      <c r="AG24" s="59" t="e">
        <f t="shared" si="17"/>
        <v>#DIV/0!</v>
      </c>
      <c r="AH24" s="60" t="e">
        <f t="shared" si="18"/>
        <v>#DIV/0!</v>
      </c>
      <c r="AI24" s="45"/>
      <c r="AJ24" s="45"/>
      <c r="AK24" s="45"/>
      <c r="AL24" s="45"/>
      <c r="AM24" s="46">
        <f t="shared" si="5"/>
        <v>0</v>
      </c>
      <c r="AN24" s="45"/>
      <c r="AO24" s="45"/>
      <c r="AP24" s="45"/>
      <c r="AQ24" s="45"/>
      <c r="AR24" s="61">
        <f t="shared" si="6"/>
        <v>0</v>
      </c>
      <c r="AS24" s="295"/>
      <c r="AT24" s="295"/>
      <c r="AU24" s="295"/>
      <c r="AV24" s="295"/>
      <c r="AW24" s="46">
        <f t="shared" si="7"/>
        <v>0</v>
      </c>
      <c r="AX24" s="45"/>
      <c r="AY24" s="45"/>
      <c r="AZ24" s="45"/>
      <c r="BA24" s="45"/>
      <c r="BB24" s="46">
        <f t="shared" si="8"/>
        <v>0</v>
      </c>
      <c r="BC24" s="45"/>
      <c r="BD24" s="45"/>
      <c r="BE24" s="45"/>
      <c r="BF24" s="45"/>
      <c r="BG24" s="47">
        <f t="shared" si="9"/>
        <v>0</v>
      </c>
      <c r="BH24" s="45"/>
      <c r="BI24" s="45"/>
      <c r="BJ24" s="45"/>
      <c r="BK24" s="45"/>
      <c r="BL24" s="46">
        <f t="shared" si="19"/>
        <v>0</v>
      </c>
      <c r="BM24" s="45"/>
      <c r="BN24" s="45"/>
      <c r="BO24" s="45"/>
      <c r="BP24" s="45"/>
      <c r="BQ24" s="46">
        <f t="shared" si="11"/>
        <v>0</v>
      </c>
      <c r="BR24" s="45"/>
      <c r="BS24" s="45"/>
      <c r="BT24" s="45"/>
      <c r="BU24" s="45"/>
      <c r="BV24" s="46">
        <f t="shared" si="12"/>
        <v>0</v>
      </c>
      <c r="BW24" s="45"/>
      <c r="BX24" s="45"/>
      <c r="BY24" s="45"/>
      <c r="BZ24" s="45"/>
      <c r="CA24" s="46">
        <f t="shared" si="13"/>
        <v>0</v>
      </c>
      <c r="CB24" s="291"/>
      <c r="CC24" s="291"/>
      <c r="CD24" s="291"/>
      <c r="CE24" s="291"/>
      <c r="CF24" s="291"/>
      <c r="CG24" s="291"/>
      <c r="CH24" s="291"/>
      <c r="CI24" s="291"/>
      <c r="CJ24" s="291"/>
      <c r="CK24" s="291"/>
    </row>
    <row r="25" spans="1:89">
      <c r="A25" s="45">
        <v>0</v>
      </c>
      <c r="B25" s="50">
        <f t="shared" si="14"/>
        <v>22</v>
      </c>
      <c r="C25" s="312"/>
      <c r="D25" s="296"/>
      <c r="E25" s="45"/>
      <c r="F25" s="45"/>
      <c r="G25" s="45"/>
      <c r="H25" s="45"/>
      <c r="I25" s="52"/>
      <c r="J25" s="45" t="s">
        <v>3575</v>
      </c>
      <c r="K25" s="53"/>
      <c r="L25" s="54" t="e">
        <f>INDEX([1]Timeline!$E$10:$E$24,MATCH(A25,[1]Timeline!$C$10:$C$24,0))</f>
        <v>#N/A</v>
      </c>
      <c r="M25" s="55">
        <v>45291</v>
      </c>
      <c r="N25" s="56"/>
      <c r="O25" s="57" t="e">
        <f t="shared" si="0"/>
        <v>#N/A</v>
      </c>
      <c r="P25" s="56" t="e">
        <f t="shared" si="1"/>
        <v>#N/A</v>
      </c>
      <c r="Q25" s="56"/>
      <c r="R25" s="57" t="e">
        <f t="shared" si="15"/>
        <v>#N/A</v>
      </c>
      <c r="S25" s="56" t="e">
        <f t="shared" si="16"/>
        <v>#N/A</v>
      </c>
      <c r="T25" s="56"/>
      <c r="U25" s="56"/>
      <c r="V25" s="56"/>
      <c r="W25" s="56"/>
      <c r="X25" s="56"/>
      <c r="Y25" s="56"/>
      <c r="Z25" s="56"/>
      <c r="AA25" s="56"/>
      <c r="AB25" s="58">
        <f t="shared" si="20"/>
        <v>0</v>
      </c>
      <c r="AC25" s="58" t="e">
        <f t="shared" si="2"/>
        <v>#N/A</v>
      </c>
      <c r="AD25" s="58" t="e">
        <f t="shared" si="3"/>
        <v>#N/A</v>
      </c>
      <c r="AE25" s="45">
        <v>1</v>
      </c>
      <c r="AF25" s="59" t="e">
        <f t="shared" si="4"/>
        <v>#DIV/0!</v>
      </c>
      <c r="AG25" s="59" t="e">
        <f t="shared" si="17"/>
        <v>#DIV/0!</v>
      </c>
      <c r="AH25" s="60" t="e">
        <f t="shared" si="18"/>
        <v>#DIV/0!</v>
      </c>
      <c r="AI25" s="45"/>
      <c r="AJ25" s="45"/>
      <c r="AK25" s="45"/>
      <c r="AL25" s="45"/>
      <c r="AM25" s="46">
        <f t="shared" si="5"/>
        <v>0</v>
      </c>
      <c r="AN25" s="45"/>
      <c r="AO25" s="45"/>
      <c r="AP25" s="45"/>
      <c r="AQ25" s="45"/>
      <c r="AR25" s="61">
        <f t="shared" si="6"/>
        <v>0</v>
      </c>
      <c r="AS25" s="295"/>
      <c r="AT25" s="295"/>
      <c r="AU25" s="295"/>
      <c r="AV25" s="295"/>
      <c r="AW25" s="46">
        <f t="shared" si="7"/>
        <v>0</v>
      </c>
      <c r="AX25" s="45"/>
      <c r="AY25" s="45"/>
      <c r="AZ25" s="45"/>
      <c r="BA25" s="45"/>
      <c r="BB25" s="46">
        <f t="shared" si="8"/>
        <v>0</v>
      </c>
      <c r="BC25" s="45"/>
      <c r="BD25" s="45"/>
      <c r="BE25" s="45"/>
      <c r="BF25" s="45"/>
      <c r="BG25" s="47">
        <f t="shared" si="9"/>
        <v>0</v>
      </c>
      <c r="BH25" s="45"/>
      <c r="BI25" s="45"/>
      <c r="BJ25" s="45"/>
      <c r="BK25" s="45"/>
      <c r="BL25" s="46">
        <f t="shared" si="19"/>
        <v>0</v>
      </c>
      <c r="BM25" s="45"/>
      <c r="BN25" s="45"/>
      <c r="BO25" s="45"/>
      <c r="BP25" s="45"/>
      <c r="BQ25" s="46">
        <f t="shared" si="11"/>
        <v>0</v>
      </c>
      <c r="BR25" s="45"/>
      <c r="BS25" s="45"/>
      <c r="BT25" s="45"/>
      <c r="BU25" s="45"/>
      <c r="BV25" s="46">
        <f t="shared" si="12"/>
        <v>0</v>
      </c>
      <c r="BW25" s="45"/>
      <c r="BX25" s="45"/>
      <c r="BY25" s="45"/>
      <c r="BZ25" s="45"/>
      <c r="CA25" s="46">
        <f t="shared" si="13"/>
        <v>0</v>
      </c>
      <c r="CB25" s="291"/>
      <c r="CC25" s="291"/>
      <c r="CD25" s="291"/>
      <c r="CE25" s="291"/>
      <c r="CF25" s="291"/>
      <c r="CG25" s="291"/>
      <c r="CH25" s="291"/>
      <c r="CI25" s="291"/>
      <c r="CJ25" s="291"/>
      <c r="CK25" s="291"/>
    </row>
    <row r="26" spans="1:89">
      <c r="A26" s="45">
        <v>0</v>
      </c>
      <c r="B26" s="50">
        <f t="shared" si="14"/>
        <v>23</v>
      </c>
      <c r="C26" s="312"/>
      <c r="D26" s="296"/>
      <c r="F26" s="45"/>
      <c r="G26" s="45"/>
      <c r="H26" s="45"/>
      <c r="I26" s="52"/>
      <c r="J26" s="45" t="s">
        <v>3575</v>
      </c>
      <c r="K26" s="53"/>
      <c r="L26" s="54" t="e">
        <f>INDEX([1]Timeline!$E$10:$E$24,MATCH(A26,[1]Timeline!$C$10:$C$24,0))</f>
        <v>#N/A</v>
      </c>
      <c r="M26" s="55">
        <v>45291</v>
      </c>
      <c r="N26" s="56"/>
      <c r="O26" s="57" t="e">
        <f t="shared" si="0"/>
        <v>#N/A</v>
      </c>
      <c r="P26" s="56" t="e">
        <f t="shared" si="1"/>
        <v>#N/A</v>
      </c>
      <c r="Q26" s="56"/>
      <c r="R26" s="57" t="e">
        <f t="shared" si="15"/>
        <v>#N/A</v>
      </c>
      <c r="S26" s="56" t="e">
        <f t="shared" si="16"/>
        <v>#N/A</v>
      </c>
      <c r="T26" s="56"/>
      <c r="U26" s="56"/>
      <c r="V26" s="56"/>
      <c r="W26" s="56"/>
      <c r="X26" s="56"/>
      <c r="Y26" s="56"/>
      <c r="Z26" s="56"/>
      <c r="AA26" s="56"/>
      <c r="AB26" s="58">
        <f t="shared" si="20"/>
        <v>0</v>
      </c>
      <c r="AC26" s="58" t="e">
        <f t="shared" si="2"/>
        <v>#N/A</v>
      </c>
      <c r="AD26" s="58" t="e">
        <f t="shared" si="3"/>
        <v>#N/A</v>
      </c>
      <c r="AE26" s="45">
        <v>1</v>
      </c>
      <c r="AF26" s="59" t="e">
        <f t="shared" si="4"/>
        <v>#DIV/0!</v>
      </c>
      <c r="AG26" s="59" t="e">
        <f t="shared" si="17"/>
        <v>#DIV/0!</v>
      </c>
      <c r="AH26" s="60" t="e">
        <f t="shared" si="18"/>
        <v>#DIV/0!</v>
      </c>
      <c r="AI26" s="45"/>
      <c r="AJ26" s="45"/>
      <c r="AK26" s="45"/>
      <c r="AL26" s="45"/>
      <c r="AM26" s="46">
        <f t="shared" si="5"/>
        <v>0</v>
      </c>
      <c r="AN26" s="45"/>
      <c r="AO26" s="45"/>
      <c r="AP26" s="45"/>
      <c r="AQ26" s="45"/>
      <c r="AR26" s="61">
        <f t="shared" si="6"/>
        <v>0</v>
      </c>
      <c r="AS26" s="295"/>
      <c r="AT26" s="295"/>
      <c r="AU26" s="295"/>
      <c r="AV26" s="295"/>
      <c r="AW26" s="46">
        <f t="shared" si="7"/>
        <v>0</v>
      </c>
      <c r="AX26" s="45"/>
      <c r="AY26" s="45"/>
      <c r="AZ26" s="45"/>
      <c r="BA26" s="45"/>
      <c r="BB26" s="46">
        <f t="shared" si="8"/>
        <v>0</v>
      </c>
      <c r="BC26" s="45"/>
      <c r="BD26" s="45"/>
      <c r="BE26" s="45"/>
      <c r="BF26" s="45"/>
      <c r="BG26" s="47">
        <f t="shared" si="9"/>
        <v>0</v>
      </c>
      <c r="BH26" s="45"/>
      <c r="BI26" s="45"/>
      <c r="BJ26" s="45"/>
      <c r="BK26" s="45"/>
      <c r="BL26" s="46">
        <f t="shared" si="19"/>
        <v>0</v>
      </c>
      <c r="BM26" s="45"/>
      <c r="BN26" s="45"/>
      <c r="BO26" s="45"/>
      <c r="BP26" s="45"/>
      <c r="BQ26" s="46">
        <f t="shared" si="11"/>
        <v>0</v>
      </c>
      <c r="BR26" s="45"/>
      <c r="BS26" s="45"/>
      <c r="BT26" s="45"/>
      <c r="BU26" s="45"/>
      <c r="BV26" s="46">
        <f t="shared" si="12"/>
        <v>0</v>
      </c>
      <c r="BW26" s="45"/>
      <c r="BX26" s="45"/>
      <c r="BY26" s="45"/>
      <c r="BZ26" s="45"/>
      <c r="CA26" s="46">
        <f t="shared" si="13"/>
        <v>0</v>
      </c>
      <c r="CB26" s="291"/>
      <c r="CC26" s="291"/>
      <c r="CD26" s="291"/>
      <c r="CE26" s="291"/>
      <c r="CF26" s="291"/>
      <c r="CG26" s="291"/>
      <c r="CH26" s="291"/>
      <c r="CI26" s="291"/>
      <c r="CJ26" s="291"/>
      <c r="CK26" s="291"/>
    </row>
    <row r="27" spans="1:89">
      <c r="A27" s="45">
        <v>0</v>
      </c>
      <c r="B27" s="50">
        <f t="shared" si="14"/>
        <v>24</v>
      </c>
      <c r="C27" s="312"/>
      <c r="D27" s="296"/>
      <c r="E27" s="45"/>
      <c r="F27" s="45"/>
      <c r="G27" s="45"/>
      <c r="H27" s="45"/>
      <c r="I27" s="52"/>
      <c r="J27" s="45" t="s">
        <v>3575</v>
      </c>
      <c r="K27" s="53"/>
      <c r="L27" s="54" t="e">
        <f>INDEX([1]Timeline!$E$10:$E$24,MATCH(A27,[1]Timeline!$C$10:$C$24,0))</f>
        <v>#N/A</v>
      </c>
      <c r="M27" s="55">
        <v>45291</v>
      </c>
      <c r="N27" s="56"/>
      <c r="O27" s="57" t="e">
        <f t="shared" si="0"/>
        <v>#N/A</v>
      </c>
      <c r="P27" s="56" t="e">
        <f t="shared" si="1"/>
        <v>#N/A</v>
      </c>
      <c r="Q27" s="56"/>
      <c r="R27" s="57" t="e">
        <f t="shared" si="15"/>
        <v>#N/A</v>
      </c>
      <c r="S27" s="56" t="e">
        <f t="shared" si="16"/>
        <v>#N/A</v>
      </c>
      <c r="T27" s="56"/>
      <c r="U27" s="56"/>
      <c r="V27" s="56"/>
      <c r="W27" s="56"/>
      <c r="X27" s="56"/>
      <c r="Y27" s="56"/>
      <c r="Z27" s="56"/>
      <c r="AA27" s="56"/>
      <c r="AB27" s="58">
        <f t="shared" si="20"/>
        <v>0</v>
      </c>
      <c r="AC27" s="58" t="e">
        <f t="shared" si="2"/>
        <v>#N/A</v>
      </c>
      <c r="AD27" s="58" t="e">
        <f t="shared" si="3"/>
        <v>#N/A</v>
      </c>
      <c r="AE27" s="45">
        <v>1</v>
      </c>
      <c r="AF27" s="59" t="e">
        <f t="shared" si="4"/>
        <v>#DIV/0!</v>
      </c>
      <c r="AG27" s="59" t="e">
        <f t="shared" si="17"/>
        <v>#DIV/0!</v>
      </c>
      <c r="AH27" s="60" t="e">
        <f t="shared" si="18"/>
        <v>#DIV/0!</v>
      </c>
      <c r="AI27" s="45"/>
      <c r="AJ27" s="45"/>
      <c r="AK27" s="45"/>
      <c r="AL27" s="45"/>
      <c r="AM27" s="46">
        <f t="shared" si="5"/>
        <v>0</v>
      </c>
      <c r="AN27" s="45"/>
      <c r="AO27" s="45"/>
      <c r="AP27" s="45"/>
      <c r="AQ27" s="45"/>
      <c r="AR27" s="61">
        <f t="shared" si="6"/>
        <v>0</v>
      </c>
      <c r="AS27" s="295"/>
      <c r="AT27" s="295"/>
      <c r="AU27" s="295"/>
      <c r="AV27" s="295"/>
      <c r="AW27" s="46">
        <f t="shared" si="7"/>
        <v>0</v>
      </c>
      <c r="AX27" s="45"/>
      <c r="AY27" s="45"/>
      <c r="AZ27" s="45"/>
      <c r="BA27" s="45"/>
      <c r="BB27" s="46">
        <f t="shared" si="8"/>
        <v>0</v>
      </c>
      <c r="BC27" s="45"/>
      <c r="BD27" s="45"/>
      <c r="BE27" s="45"/>
      <c r="BF27" s="45"/>
      <c r="BG27" s="47">
        <f t="shared" si="9"/>
        <v>0</v>
      </c>
      <c r="BH27" s="45"/>
      <c r="BI27" s="45"/>
      <c r="BJ27" s="45"/>
      <c r="BK27" s="45"/>
      <c r="BL27" s="46">
        <f t="shared" si="19"/>
        <v>0</v>
      </c>
      <c r="BM27" s="45"/>
      <c r="BN27" s="45"/>
      <c r="BO27" s="45"/>
      <c r="BP27" s="45"/>
      <c r="BQ27" s="46">
        <f t="shared" si="11"/>
        <v>0</v>
      </c>
      <c r="BR27" s="45"/>
      <c r="BS27" s="45"/>
      <c r="BT27" s="45"/>
      <c r="BU27" s="45"/>
      <c r="BV27" s="46">
        <f t="shared" si="12"/>
        <v>0</v>
      </c>
      <c r="BW27" s="45"/>
      <c r="BX27" s="45"/>
      <c r="BY27" s="45"/>
      <c r="BZ27" s="45"/>
      <c r="CA27" s="46">
        <f t="shared" si="13"/>
        <v>0</v>
      </c>
      <c r="CB27" s="291"/>
      <c r="CC27" s="291"/>
      <c r="CD27" s="291"/>
      <c r="CE27" s="291"/>
      <c r="CF27" s="291"/>
      <c r="CG27" s="291"/>
      <c r="CH27" s="291"/>
      <c r="CI27" s="291"/>
      <c r="CJ27" s="291"/>
      <c r="CK27" s="291"/>
    </row>
    <row r="28" spans="1:89">
      <c r="A28" s="45">
        <v>0</v>
      </c>
      <c r="B28" s="50">
        <f t="shared" si="14"/>
        <v>25</v>
      </c>
      <c r="C28" s="312"/>
      <c r="D28" s="296"/>
      <c r="E28" s="45"/>
      <c r="F28" s="45"/>
      <c r="G28" s="45"/>
      <c r="H28" s="45"/>
      <c r="I28" s="52"/>
      <c r="J28" s="45" t="s">
        <v>3575</v>
      </c>
      <c r="K28" s="53"/>
      <c r="L28" s="54" t="e">
        <f>INDEX([1]Timeline!$E$10:$E$24,MATCH(A28,[1]Timeline!$C$10:$C$24,0))</f>
        <v>#N/A</v>
      </c>
      <c r="M28" s="55">
        <v>45291</v>
      </c>
      <c r="N28" s="56"/>
      <c r="O28" s="57" t="e">
        <f t="shared" si="0"/>
        <v>#N/A</v>
      </c>
      <c r="P28" s="56" t="e">
        <f t="shared" si="1"/>
        <v>#N/A</v>
      </c>
      <c r="Q28" s="56"/>
      <c r="R28" s="57" t="e">
        <f t="shared" si="15"/>
        <v>#N/A</v>
      </c>
      <c r="S28" s="56" t="e">
        <f t="shared" si="16"/>
        <v>#N/A</v>
      </c>
      <c r="T28" s="56"/>
      <c r="U28" s="56"/>
      <c r="V28" s="56"/>
      <c r="W28" s="56"/>
      <c r="X28" s="56"/>
      <c r="Y28" s="56"/>
      <c r="Z28" s="56"/>
      <c r="AA28" s="56"/>
      <c r="AB28" s="58">
        <f t="shared" si="20"/>
        <v>0</v>
      </c>
      <c r="AC28" s="58" t="e">
        <f t="shared" si="2"/>
        <v>#N/A</v>
      </c>
      <c r="AD28" s="58" t="e">
        <f t="shared" si="3"/>
        <v>#N/A</v>
      </c>
      <c r="AE28" s="45">
        <v>1</v>
      </c>
      <c r="AF28" s="59" t="e">
        <f t="shared" si="4"/>
        <v>#DIV/0!</v>
      </c>
      <c r="AG28" s="59" t="e">
        <f t="shared" si="17"/>
        <v>#DIV/0!</v>
      </c>
      <c r="AH28" s="60" t="e">
        <f t="shared" si="18"/>
        <v>#DIV/0!</v>
      </c>
      <c r="AI28" s="45"/>
      <c r="AJ28" s="45"/>
      <c r="AK28" s="45"/>
      <c r="AL28" s="45"/>
      <c r="AM28" s="46">
        <f t="shared" si="5"/>
        <v>0</v>
      </c>
      <c r="AN28" s="45"/>
      <c r="AO28" s="45"/>
      <c r="AP28" s="45"/>
      <c r="AQ28" s="45"/>
      <c r="AR28" s="61">
        <f t="shared" si="6"/>
        <v>0</v>
      </c>
      <c r="AS28" s="295"/>
      <c r="AT28" s="295"/>
      <c r="AU28" s="295"/>
      <c r="AV28" s="295"/>
      <c r="AW28" s="46">
        <f t="shared" si="7"/>
        <v>0</v>
      </c>
      <c r="AX28" s="45"/>
      <c r="AY28" s="45"/>
      <c r="AZ28" s="45"/>
      <c r="BA28" s="45"/>
      <c r="BB28" s="46">
        <f t="shared" si="8"/>
        <v>0</v>
      </c>
      <c r="BC28" s="45"/>
      <c r="BD28" s="45"/>
      <c r="BE28" s="45"/>
      <c r="BF28" s="45"/>
      <c r="BG28" s="47">
        <f t="shared" si="9"/>
        <v>0</v>
      </c>
      <c r="BH28" s="45"/>
      <c r="BI28" s="45"/>
      <c r="BJ28" s="45"/>
      <c r="BK28" s="45"/>
      <c r="BL28" s="46">
        <f t="shared" si="19"/>
        <v>0</v>
      </c>
      <c r="BM28" s="45"/>
      <c r="BN28" s="45"/>
      <c r="BO28" s="45"/>
      <c r="BP28" s="45"/>
      <c r="BQ28" s="46">
        <f t="shared" si="11"/>
        <v>0</v>
      </c>
      <c r="BR28" s="45"/>
      <c r="BS28" s="45"/>
      <c r="BT28" s="45"/>
      <c r="BU28" s="45"/>
      <c r="BV28" s="46">
        <f t="shared" si="12"/>
        <v>0</v>
      </c>
      <c r="BW28" s="45"/>
      <c r="BX28" s="45"/>
      <c r="BY28" s="45"/>
      <c r="BZ28" s="45"/>
      <c r="CA28" s="46">
        <f t="shared" si="13"/>
        <v>0</v>
      </c>
      <c r="CB28" s="291"/>
      <c r="CC28" s="291"/>
      <c r="CD28" s="291"/>
      <c r="CE28" s="291"/>
      <c r="CF28" s="291"/>
      <c r="CG28" s="291"/>
      <c r="CH28" s="291"/>
      <c r="CI28" s="291"/>
      <c r="CJ28" s="291"/>
      <c r="CK28" s="291"/>
    </row>
    <row r="29" spans="1:89">
      <c r="A29" s="45">
        <v>0</v>
      </c>
      <c r="B29" s="50">
        <f t="shared" si="14"/>
        <v>26</v>
      </c>
      <c r="C29" s="317"/>
      <c r="E29" s="45"/>
      <c r="F29" s="45"/>
      <c r="G29" s="45"/>
      <c r="H29" s="45"/>
      <c r="I29" s="52"/>
      <c r="J29" s="45" t="s">
        <v>3575</v>
      </c>
      <c r="K29" s="53"/>
      <c r="L29" s="54" t="e">
        <f>INDEX([1]Timeline!$E$10:$E$24,MATCH(A29,[1]Timeline!$C$10:$C$24,0))</f>
        <v>#N/A</v>
      </c>
      <c r="M29" s="55">
        <v>45291</v>
      </c>
      <c r="N29" s="56"/>
      <c r="O29" s="57" t="e">
        <f t="shared" si="0"/>
        <v>#N/A</v>
      </c>
      <c r="P29" s="56" t="e">
        <f t="shared" si="1"/>
        <v>#N/A</v>
      </c>
      <c r="Q29" s="56"/>
      <c r="R29" s="57" t="e">
        <f t="shared" si="15"/>
        <v>#N/A</v>
      </c>
      <c r="S29" s="56" t="e">
        <f t="shared" si="16"/>
        <v>#N/A</v>
      </c>
      <c r="T29" s="56"/>
      <c r="U29" s="56"/>
      <c r="V29" s="56"/>
      <c r="W29" s="56"/>
      <c r="X29" s="56"/>
      <c r="Y29" s="56"/>
      <c r="Z29" s="56"/>
      <c r="AA29" s="56"/>
      <c r="AB29" s="58">
        <f t="shared" si="20"/>
        <v>0</v>
      </c>
      <c r="AC29" s="58" t="e">
        <f t="shared" si="2"/>
        <v>#N/A</v>
      </c>
      <c r="AD29" s="58" t="e">
        <f t="shared" si="3"/>
        <v>#N/A</v>
      </c>
      <c r="AE29" s="45">
        <v>1</v>
      </c>
      <c r="AF29" s="59" t="e">
        <f t="shared" si="4"/>
        <v>#DIV/0!</v>
      </c>
      <c r="AG29" s="59" t="e">
        <f t="shared" si="17"/>
        <v>#DIV/0!</v>
      </c>
      <c r="AH29" s="60" t="e">
        <f t="shared" si="18"/>
        <v>#DIV/0!</v>
      </c>
      <c r="AI29" s="45"/>
      <c r="AJ29" s="45"/>
      <c r="AK29" s="45"/>
      <c r="AL29" s="45"/>
      <c r="AM29" s="46">
        <f t="shared" si="5"/>
        <v>0</v>
      </c>
      <c r="AN29" s="45"/>
      <c r="AO29" s="45"/>
      <c r="AP29" s="45"/>
      <c r="AQ29" s="45"/>
      <c r="AR29" s="61">
        <f t="shared" si="6"/>
        <v>0</v>
      </c>
      <c r="AS29" s="295"/>
      <c r="AT29" s="295"/>
      <c r="AU29" s="295"/>
      <c r="AV29" s="295"/>
      <c r="AW29" s="46">
        <f t="shared" si="7"/>
        <v>0</v>
      </c>
      <c r="AX29" s="45"/>
      <c r="AY29" s="45"/>
      <c r="AZ29" s="45"/>
      <c r="BA29" s="45"/>
      <c r="BB29" s="46">
        <f t="shared" si="8"/>
        <v>0</v>
      </c>
      <c r="BC29" s="45"/>
      <c r="BD29" s="45"/>
      <c r="BE29" s="45"/>
      <c r="BF29" s="45"/>
      <c r="BG29" s="47">
        <f t="shared" si="9"/>
        <v>0</v>
      </c>
      <c r="BH29" s="45"/>
      <c r="BI29" s="45"/>
      <c r="BJ29" s="45"/>
      <c r="BK29" s="45"/>
      <c r="BL29" s="46">
        <f t="shared" si="19"/>
        <v>0</v>
      </c>
      <c r="BM29" s="45"/>
      <c r="BN29" s="45"/>
      <c r="BO29" s="45"/>
      <c r="BP29" s="45"/>
      <c r="BQ29" s="46">
        <f t="shared" si="11"/>
        <v>0</v>
      </c>
      <c r="BR29" s="45"/>
      <c r="BS29" s="45"/>
      <c r="BT29" s="45"/>
      <c r="BU29" s="45"/>
      <c r="BV29" s="46">
        <f t="shared" si="12"/>
        <v>0</v>
      </c>
      <c r="BW29" s="45"/>
      <c r="BX29" s="45"/>
      <c r="BY29" s="45"/>
      <c r="BZ29" s="45"/>
      <c r="CA29" s="46">
        <f t="shared" si="13"/>
        <v>0</v>
      </c>
      <c r="CB29" s="291"/>
      <c r="CC29" s="291"/>
      <c r="CD29" s="291"/>
      <c r="CE29" s="291"/>
      <c r="CF29" s="291"/>
      <c r="CG29" s="291"/>
      <c r="CH29" s="291"/>
      <c r="CI29" s="291"/>
      <c r="CJ29" s="291"/>
      <c r="CK29" s="291"/>
    </row>
    <row r="30" spans="1:89">
      <c r="A30" s="45">
        <v>0</v>
      </c>
      <c r="B30" s="50">
        <f t="shared" si="14"/>
        <v>27</v>
      </c>
      <c r="C30" s="51"/>
      <c r="D30" s="45"/>
      <c r="E30" s="45"/>
      <c r="F30" s="45"/>
      <c r="G30" s="45"/>
      <c r="H30" s="45"/>
      <c r="I30" s="52"/>
      <c r="J30" s="45" t="s">
        <v>3575</v>
      </c>
      <c r="K30" s="53"/>
      <c r="L30" s="54" t="e">
        <f>INDEX([1]Timeline!$E$10:$E$24,MATCH(A30,[1]Timeline!$C$10:$C$24,0))</f>
        <v>#N/A</v>
      </c>
      <c r="M30" s="55">
        <v>45291</v>
      </c>
      <c r="N30" s="56"/>
      <c r="O30" s="57" t="e">
        <f t="shared" si="0"/>
        <v>#N/A</v>
      </c>
      <c r="P30" s="56" t="e">
        <f t="shared" si="1"/>
        <v>#N/A</v>
      </c>
      <c r="Q30" s="56"/>
      <c r="R30" s="57" t="e">
        <f t="shared" si="15"/>
        <v>#N/A</v>
      </c>
      <c r="S30" s="56" t="e">
        <f t="shared" si="16"/>
        <v>#N/A</v>
      </c>
      <c r="T30" s="56"/>
      <c r="U30" s="56"/>
      <c r="V30" s="56"/>
      <c r="W30" s="56"/>
      <c r="X30" s="56"/>
      <c r="Y30" s="56"/>
      <c r="Z30" s="56"/>
      <c r="AA30" s="56"/>
      <c r="AB30" s="58">
        <f t="shared" si="20"/>
        <v>0</v>
      </c>
      <c r="AC30" s="58" t="e">
        <f t="shared" si="2"/>
        <v>#N/A</v>
      </c>
      <c r="AD30" s="58" t="e">
        <f t="shared" si="3"/>
        <v>#N/A</v>
      </c>
      <c r="AE30" s="45">
        <v>1</v>
      </c>
      <c r="AF30" s="59" t="e">
        <f t="shared" si="4"/>
        <v>#DIV/0!</v>
      </c>
      <c r="AG30" s="59" t="e">
        <f t="shared" si="17"/>
        <v>#DIV/0!</v>
      </c>
      <c r="AH30" s="60" t="e">
        <f t="shared" si="18"/>
        <v>#DIV/0!</v>
      </c>
      <c r="AI30" s="45"/>
      <c r="AJ30" s="45"/>
      <c r="AK30" s="45"/>
      <c r="AL30" s="45"/>
      <c r="AM30" s="46">
        <f t="shared" si="5"/>
        <v>0</v>
      </c>
      <c r="AN30" s="45"/>
      <c r="AO30" s="45"/>
      <c r="AP30" s="45"/>
      <c r="AQ30" s="45"/>
      <c r="AR30" s="61">
        <f t="shared" si="6"/>
        <v>0</v>
      </c>
      <c r="AS30" s="295"/>
      <c r="AT30" s="295"/>
      <c r="AU30" s="295"/>
      <c r="AV30" s="295"/>
      <c r="AW30" s="46">
        <f t="shared" si="7"/>
        <v>0</v>
      </c>
      <c r="AX30" s="45"/>
      <c r="AY30" s="45"/>
      <c r="AZ30" s="45"/>
      <c r="BA30" s="45"/>
      <c r="BB30" s="46">
        <f t="shared" si="8"/>
        <v>0</v>
      </c>
      <c r="BC30" s="45"/>
      <c r="BD30" s="45"/>
      <c r="BE30" s="45"/>
      <c r="BF30" s="45"/>
      <c r="BG30" s="47">
        <f t="shared" si="9"/>
        <v>0</v>
      </c>
      <c r="BH30" s="45"/>
      <c r="BI30" s="45"/>
      <c r="BJ30" s="45"/>
      <c r="BK30" s="45"/>
      <c r="BL30" s="46">
        <f t="shared" si="19"/>
        <v>0</v>
      </c>
      <c r="BM30" s="45"/>
      <c r="BN30" s="45"/>
      <c r="BO30" s="45"/>
      <c r="BP30" s="45"/>
      <c r="BQ30" s="46">
        <f t="shared" si="11"/>
        <v>0</v>
      </c>
      <c r="BR30" s="45"/>
      <c r="BS30" s="45"/>
      <c r="BT30" s="45"/>
      <c r="BU30" s="45"/>
      <c r="BV30" s="46">
        <f t="shared" si="12"/>
        <v>0</v>
      </c>
      <c r="BW30" s="45"/>
      <c r="BX30" s="45"/>
      <c r="BY30" s="45"/>
      <c r="BZ30" s="45"/>
      <c r="CA30" s="46">
        <f t="shared" si="13"/>
        <v>0</v>
      </c>
      <c r="CB30" s="291"/>
      <c r="CC30" s="291"/>
      <c r="CD30" s="291"/>
      <c r="CE30" s="291"/>
      <c r="CF30" s="291"/>
      <c r="CG30" s="291"/>
      <c r="CH30" s="291"/>
      <c r="CI30" s="291"/>
      <c r="CJ30" s="291"/>
      <c r="CK30" s="291"/>
    </row>
    <row r="31" spans="1:89">
      <c r="A31" s="45">
        <v>0</v>
      </c>
      <c r="B31" s="50">
        <f t="shared" si="14"/>
        <v>28</v>
      </c>
      <c r="C31" s="51"/>
      <c r="D31" s="45"/>
      <c r="E31" s="45"/>
      <c r="F31" s="45"/>
      <c r="G31" s="45"/>
      <c r="H31" s="45"/>
      <c r="I31" s="52"/>
      <c r="J31" s="45" t="s">
        <v>3575</v>
      </c>
      <c r="K31" s="53"/>
      <c r="L31" s="54" t="e">
        <f>INDEX([1]Timeline!$E$10:$E$24,MATCH(A31,[1]Timeline!$C$10:$C$24,0))</f>
        <v>#N/A</v>
      </c>
      <c r="M31" s="55">
        <v>45291</v>
      </c>
      <c r="N31" s="56"/>
      <c r="O31" s="57" t="e">
        <f t="shared" si="0"/>
        <v>#N/A</v>
      </c>
      <c r="P31" s="56" t="e">
        <f t="shared" si="1"/>
        <v>#N/A</v>
      </c>
      <c r="Q31" s="56"/>
      <c r="R31" s="57" t="e">
        <f t="shared" si="15"/>
        <v>#N/A</v>
      </c>
      <c r="S31" s="56" t="e">
        <f t="shared" si="16"/>
        <v>#N/A</v>
      </c>
      <c r="T31" s="56"/>
      <c r="U31" s="56"/>
      <c r="V31" s="56"/>
      <c r="W31" s="56"/>
      <c r="X31" s="56"/>
      <c r="Y31" s="56"/>
      <c r="Z31" s="56"/>
      <c r="AA31" s="56"/>
      <c r="AB31" s="58">
        <f t="shared" si="20"/>
        <v>0</v>
      </c>
      <c r="AC31" s="58" t="e">
        <f t="shared" si="2"/>
        <v>#N/A</v>
      </c>
      <c r="AD31" s="58" t="e">
        <f t="shared" si="3"/>
        <v>#N/A</v>
      </c>
      <c r="AE31" s="45">
        <v>1</v>
      </c>
      <c r="AF31" s="59" t="e">
        <f t="shared" si="4"/>
        <v>#DIV/0!</v>
      </c>
      <c r="AG31" s="59" t="e">
        <f t="shared" si="17"/>
        <v>#DIV/0!</v>
      </c>
      <c r="AH31" s="60" t="e">
        <f t="shared" si="18"/>
        <v>#DIV/0!</v>
      </c>
      <c r="AI31" s="45"/>
      <c r="AJ31" s="45"/>
      <c r="AK31" s="45"/>
      <c r="AL31" s="45"/>
      <c r="AM31" s="46">
        <f t="shared" si="5"/>
        <v>0</v>
      </c>
      <c r="AN31" s="45"/>
      <c r="AO31" s="45"/>
      <c r="AP31" s="45"/>
      <c r="AQ31" s="45"/>
      <c r="AR31" s="61">
        <f t="shared" si="6"/>
        <v>0</v>
      </c>
      <c r="AS31" s="295"/>
      <c r="AT31" s="295"/>
      <c r="AU31" s="295"/>
      <c r="AV31" s="295"/>
      <c r="AW31" s="46">
        <f t="shared" si="7"/>
        <v>0</v>
      </c>
      <c r="AX31" s="45"/>
      <c r="AY31" s="45"/>
      <c r="AZ31" s="45"/>
      <c r="BA31" s="45"/>
      <c r="BB31" s="46">
        <f t="shared" si="8"/>
        <v>0</v>
      </c>
      <c r="BC31" s="45"/>
      <c r="BD31" s="45"/>
      <c r="BE31" s="45"/>
      <c r="BF31" s="45"/>
      <c r="BG31" s="47">
        <f t="shared" si="9"/>
        <v>0</v>
      </c>
      <c r="BH31" s="45"/>
      <c r="BI31" s="45"/>
      <c r="BJ31" s="45"/>
      <c r="BK31" s="45"/>
      <c r="BL31" s="46">
        <f t="shared" si="19"/>
        <v>0</v>
      </c>
      <c r="BM31" s="45"/>
      <c r="BN31" s="45"/>
      <c r="BO31" s="45"/>
      <c r="BP31" s="45"/>
      <c r="BQ31" s="46">
        <f t="shared" si="11"/>
        <v>0</v>
      </c>
      <c r="BR31" s="45"/>
      <c r="BS31" s="45"/>
      <c r="BT31" s="45"/>
      <c r="BU31" s="45"/>
      <c r="BV31" s="46">
        <f t="shared" si="12"/>
        <v>0</v>
      </c>
      <c r="BW31" s="45"/>
      <c r="BX31" s="45"/>
      <c r="BY31" s="45"/>
      <c r="BZ31" s="45"/>
      <c r="CA31" s="46">
        <f t="shared" si="13"/>
        <v>0</v>
      </c>
      <c r="CB31" s="291"/>
      <c r="CC31" s="291"/>
      <c r="CD31" s="291"/>
      <c r="CE31" s="291"/>
      <c r="CF31" s="291"/>
      <c r="CG31" s="291"/>
      <c r="CH31" s="291"/>
      <c r="CI31" s="291"/>
      <c r="CJ31" s="291"/>
      <c r="CK31" s="291"/>
    </row>
    <row r="32" spans="1:89">
      <c r="A32" s="45">
        <v>0</v>
      </c>
      <c r="B32" s="50">
        <f t="shared" si="14"/>
        <v>29</v>
      </c>
      <c r="C32" s="312"/>
      <c r="D32" s="296"/>
      <c r="E32" s="45"/>
      <c r="F32" s="45"/>
      <c r="G32" s="45"/>
      <c r="H32" s="45"/>
      <c r="I32" s="52"/>
      <c r="J32" s="45" t="s">
        <v>3575</v>
      </c>
      <c r="K32" s="53"/>
      <c r="L32" s="54" t="e">
        <f>INDEX([1]Timeline!$E$10:$E$24,MATCH(A32,[1]Timeline!$C$10:$C$24,0))</f>
        <v>#N/A</v>
      </c>
      <c r="M32" s="55">
        <v>45291</v>
      </c>
      <c r="N32" s="56"/>
      <c r="O32" s="57" t="e">
        <f t="shared" si="0"/>
        <v>#N/A</v>
      </c>
      <c r="P32" s="56" t="e">
        <f t="shared" si="1"/>
        <v>#N/A</v>
      </c>
      <c r="Q32" s="56"/>
      <c r="R32" s="57" t="e">
        <f t="shared" si="15"/>
        <v>#N/A</v>
      </c>
      <c r="S32" s="56" t="e">
        <f t="shared" si="16"/>
        <v>#N/A</v>
      </c>
      <c r="T32" s="56"/>
      <c r="U32" s="56"/>
      <c r="V32" s="56"/>
      <c r="W32" s="56"/>
      <c r="X32" s="56"/>
      <c r="Y32" s="56"/>
      <c r="Z32" s="56"/>
      <c r="AA32" s="56"/>
      <c r="AB32" s="58">
        <f t="shared" si="20"/>
        <v>0</v>
      </c>
      <c r="AC32" s="58" t="e">
        <f t="shared" si="2"/>
        <v>#N/A</v>
      </c>
      <c r="AD32" s="58" t="e">
        <f t="shared" si="3"/>
        <v>#N/A</v>
      </c>
      <c r="AE32" s="45">
        <v>1</v>
      </c>
      <c r="AF32" s="59" t="e">
        <f t="shared" si="4"/>
        <v>#DIV/0!</v>
      </c>
      <c r="AG32" s="59" t="e">
        <f t="shared" si="17"/>
        <v>#DIV/0!</v>
      </c>
      <c r="AH32" s="60" t="e">
        <f t="shared" si="18"/>
        <v>#DIV/0!</v>
      </c>
      <c r="AI32" s="45"/>
      <c r="AJ32" s="45"/>
      <c r="AK32" s="45"/>
      <c r="AL32" s="45"/>
      <c r="AM32" s="46">
        <f t="shared" si="5"/>
        <v>0</v>
      </c>
      <c r="AN32" s="45"/>
      <c r="AO32" s="45"/>
      <c r="AP32" s="45"/>
      <c r="AQ32" s="45"/>
      <c r="AR32" s="61">
        <f t="shared" si="6"/>
        <v>0</v>
      </c>
      <c r="AS32" s="64"/>
      <c r="AT32" s="45"/>
      <c r="AU32" s="45"/>
      <c r="AV32" s="45"/>
      <c r="AW32" s="46">
        <f t="shared" si="7"/>
        <v>0</v>
      </c>
      <c r="AX32" s="45"/>
      <c r="AY32" s="45"/>
      <c r="AZ32" s="45"/>
      <c r="BA32" s="45"/>
      <c r="BB32" s="46">
        <f t="shared" si="8"/>
        <v>0</v>
      </c>
      <c r="BC32" s="45"/>
      <c r="BD32" s="45"/>
      <c r="BE32" s="45"/>
      <c r="BF32" s="45"/>
      <c r="BG32" s="47">
        <f t="shared" si="9"/>
        <v>0</v>
      </c>
      <c r="BH32" s="45"/>
      <c r="BI32" s="45"/>
      <c r="BJ32" s="45"/>
      <c r="BK32" s="45"/>
      <c r="BL32" s="46">
        <f t="shared" si="19"/>
        <v>0</v>
      </c>
      <c r="BM32" s="45"/>
      <c r="BN32" s="45"/>
      <c r="BO32" s="45"/>
      <c r="BP32" s="45"/>
      <c r="BQ32" s="46">
        <f t="shared" si="11"/>
        <v>0</v>
      </c>
      <c r="BR32" s="45"/>
      <c r="BS32" s="45"/>
      <c r="BT32" s="45"/>
      <c r="BU32" s="45"/>
      <c r="BV32" s="46">
        <f t="shared" si="12"/>
        <v>0</v>
      </c>
      <c r="BW32" s="45"/>
      <c r="BX32" s="45"/>
      <c r="BY32" s="45"/>
      <c r="BZ32" s="45"/>
      <c r="CA32" s="46">
        <f t="shared" si="13"/>
        <v>0</v>
      </c>
      <c r="CB32" s="291"/>
      <c r="CC32" s="291"/>
      <c r="CD32" s="291"/>
      <c r="CE32" s="291"/>
      <c r="CF32" s="291"/>
      <c r="CG32" s="291"/>
      <c r="CH32" s="291"/>
      <c r="CI32" s="291"/>
      <c r="CJ32" s="291"/>
      <c r="CK32" s="291"/>
    </row>
    <row r="33" spans="1:89">
      <c r="A33" s="45">
        <v>0</v>
      </c>
      <c r="B33" s="50">
        <f t="shared" si="14"/>
        <v>30</v>
      </c>
      <c r="C33" s="312"/>
      <c r="D33" s="296"/>
      <c r="E33" s="45"/>
      <c r="F33" s="45"/>
      <c r="G33" s="45"/>
      <c r="H33" s="45"/>
      <c r="I33" s="318"/>
      <c r="J33" s="45" t="s">
        <v>3575</v>
      </c>
      <c r="K33" s="53"/>
      <c r="L33" s="54" t="e">
        <f>INDEX([1]Timeline!$E$10:$E$24,MATCH(A33,[1]Timeline!$C$10:$C$24,0))</f>
        <v>#N/A</v>
      </c>
      <c r="M33" s="55">
        <v>45291</v>
      </c>
      <c r="N33" s="56"/>
      <c r="O33" s="57" t="e">
        <f t="shared" si="0"/>
        <v>#N/A</v>
      </c>
      <c r="P33" s="56" t="e">
        <f t="shared" si="1"/>
        <v>#N/A</v>
      </c>
      <c r="Q33" s="56"/>
      <c r="R33" s="57" t="e">
        <f t="shared" si="15"/>
        <v>#N/A</v>
      </c>
      <c r="S33" s="56" t="e">
        <f t="shared" si="16"/>
        <v>#N/A</v>
      </c>
      <c r="T33" s="56"/>
      <c r="U33" s="56"/>
      <c r="V33" s="56"/>
      <c r="W33" s="56"/>
      <c r="X33" s="56"/>
      <c r="Y33" s="56"/>
      <c r="Z33" s="56"/>
      <c r="AA33" s="56"/>
      <c r="AB33" s="58">
        <f t="shared" si="20"/>
        <v>0</v>
      </c>
      <c r="AC33" s="58" t="e">
        <f t="shared" si="2"/>
        <v>#N/A</v>
      </c>
      <c r="AD33" s="58" t="e">
        <f t="shared" si="3"/>
        <v>#N/A</v>
      </c>
      <c r="AE33" s="45">
        <v>1</v>
      </c>
      <c r="AF33" s="59" t="e">
        <f t="shared" si="4"/>
        <v>#DIV/0!</v>
      </c>
      <c r="AG33" s="59" t="e">
        <f t="shared" si="17"/>
        <v>#DIV/0!</v>
      </c>
      <c r="AH33" s="60" t="e">
        <f t="shared" si="18"/>
        <v>#DIV/0!</v>
      </c>
      <c r="AI33" s="45"/>
      <c r="AJ33" s="45"/>
      <c r="AK33" s="45"/>
      <c r="AL33" s="45"/>
      <c r="AM33" s="46">
        <f t="shared" si="5"/>
        <v>0</v>
      </c>
      <c r="AN33" s="45"/>
      <c r="AO33" s="45"/>
      <c r="AP33" s="45"/>
      <c r="AQ33" s="45"/>
      <c r="AR33" s="61">
        <f t="shared" si="6"/>
        <v>0</v>
      </c>
      <c r="AS33" s="64"/>
      <c r="AT33" s="45"/>
      <c r="AU33" s="45"/>
      <c r="AV33" s="45"/>
      <c r="AW33" s="46">
        <f t="shared" si="7"/>
        <v>0</v>
      </c>
      <c r="AX33" s="45"/>
      <c r="AY33" s="45"/>
      <c r="AZ33" s="45"/>
      <c r="BA33" s="45"/>
      <c r="BB33" s="46">
        <f t="shared" si="8"/>
        <v>0</v>
      </c>
      <c r="BC33" s="45"/>
      <c r="BD33" s="45"/>
      <c r="BE33" s="45"/>
      <c r="BF33" s="45"/>
      <c r="BG33" s="47">
        <f t="shared" si="9"/>
        <v>0</v>
      </c>
      <c r="BH33" s="45"/>
      <c r="BI33" s="45"/>
      <c r="BJ33" s="45"/>
      <c r="BK33" s="45"/>
      <c r="BL33" s="46">
        <f t="shared" si="19"/>
        <v>0</v>
      </c>
      <c r="BM33" s="45"/>
      <c r="BN33" s="45"/>
      <c r="BO33" s="45"/>
      <c r="BP33" s="45"/>
      <c r="BQ33" s="46">
        <f t="shared" si="11"/>
        <v>0</v>
      </c>
      <c r="BR33" s="45"/>
      <c r="BS33" s="45"/>
      <c r="BT33" s="45"/>
      <c r="BU33" s="45"/>
      <c r="BV33" s="46">
        <f t="shared" si="12"/>
        <v>0</v>
      </c>
      <c r="BW33" s="45"/>
      <c r="BX33" s="45"/>
      <c r="BY33" s="45"/>
      <c r="BZ33" s="45"/>
      <c r="CA33" s="46">
        <f t="shared" si="13"/>
        <v>0</v>
      </c>
      <c r="CB33" s="291"/>
      <c r="CC33" s="291"/>
      <c r="CD33" s="291"/>
      <c r="CE33" s="291"/>
      <c r="CF33" s="291"/>
      <c r="CG33" s="291"/>
      <c r="CH33" s="291"/>
      <c r="CI33" s="291"/>
      <c r="CJ33" s="291"/>
      <c r="CK33" s="291"/>
    </row>
    <row r="34" spans="1:89">
      <c r="A34" s="45">
        <v>0</v>
      </c>
      <c r="B34" s="50">
        <f t="shared" si="14"/>
        <v>31</v>
      </c>
      <c r="C34" s="312"/>
      <c r="D34" s="296"/>
      <c r="E34" s="45"/>
      <c r="F34" s="45"/>
      <c r="G34" s="45"/>
      <c r="H34" s="45"/>
      <c r="I34" s="318"/>
      <c r="J34" s="45" t="s">
        <v>3575</v>
      </c>
      <c r="K34" s="53"/>
      <c r="L34" s="54" t="e">
        <f>INDEX([1]Timeline!$E$10:$E$24,MATCH(A34,[1]Timeline!$C$10:$C$24,0))</f>
        <v>#N/A</v>
      </c>
      <c r="M34" s="55">
        <v>45291</v>
      </c>
      <c r="N34" s="56"/>
      <c r="O34" s="57" t="e">
        <f t="shared" si="0"/>
        <v>#N/A</v>
      </c>
      <c r="P34" s="56" t="e">
        <f t="shared" si="1"/>
        <v>#N/A</v>
      </c>
      <c r="Q34" s="56"/>
      <c r="R34" s="57" t="e">
        <f t="shared" si="15"/>
        <v>#N/A</v>
      </c>
      <c r="S34" s="56" t="e">
        <f t="shared" si="16"/>
        <v>#N/A</v>
      </c>
      <c r="T34" s="56"/>
      <c r="U34" s="56"/>
      <c r="V34" s="56"/>
      <c r="W34" s="56"/>
      <c r="X34" s="56"/>
      <c r="Y34" s="56"/>
      <c r="Z34" s="56"/>
      <c r="AA34" s="56"/>
      <c r="AB34" s="58">
        <f t="shared" si="20"/>
        <v>0</v>
      </c>
      <c r="AC34" s="58" t="e">
        <f t="shared" si="2"/>
        <v>#N/A</v>
      </c>
      <c r="AD34" s="58" t="e">
        <f t="shared" si="3"/>
        <v>#N/A</v>
      </c>
      <c r="AE34" s="45">
        <v>1</v>
      </c>
      <c r="AF34" s="59" t="e">
        <f t="shared" si="4"/>
        <v>#DIV/0!</v>
      </c>
      <c r="AG34" s="59" t="e">
        <f t="shared" si="17"/>
        <v>#DIV/0!</v>
      </c>
      <c r="AH34" s="60" t="e">
        <f t="shared" si="18"/>
        <v>#DIV/0!</v>
      </c>
      <c r="AI34" s="45"/>
      <c r="AJ34" s="45"/>
      <c r="AK34" s="45"/>
      <c r="AL34" s="45"/>
      <c r="AM34" s="46">
        <f t="shared" si="5"/>
        <v>0</v>
      </c>
      <c r="AN34" s="45"/>
      <c r="AO34" s="45"/>
      <c r="AP34" s="45"/>
      <c r="AQ34" s="45"/>
      <c r="AR34" s="61">
        <f t="shared" si="6"/>
        <v>0</v>
      </c>
      <c r="AS34" s="64"/>
      <c r="AT34" s="45"/>
      <c r="AU34" s="45"/>
      <c r="AV34" s="45"/>
      <c r="AW34" s="46">
        <f t="shared" si="7"/>
        <v>0</v>
      </c>
      <c r="AX34" s="45"/>
      <c r="AY34" s="45"/>
      <c r="AZ34" s="45"/>
      <c r="BA34" s="45"/>
      <c r="BB34" s="46">
        <f t="shared" si="8"/>
        <v>0</v>
      </c>
      <c r="BC34" s="45"/>
      <c r="BD34" s="45"/>
      <c r="BE34" s="45"/>
      <c r="BF34" s="45"/>
      <c r="BG34" s="47">
        <f t="shared" si="9"/>
        <v>0</v>
      </c>
      <c r="BH34" s="45"/>
      <c r="BI34" s="45"/>
      <c r="BJ34" s="45"/>
      <c r="BK34" s="45"/>
      <c r="BL34" s="46">
        <f t="shared" si="19"/>
        <v>0</v>
      </c>
      <c r="BM34" s="45"/>
      <c r="BN34" s="45"/>
      <c r="BO34" s="45"/>
      <c r="BP34" s="45"/>
      <c r="BQ34" s="46">
        <f t="shared" si="11"/>
        <v>0</v>
      </c>
      <c r="BR34" s="45"/>
      <c r="BS34" s="45"/>
      <c r="BT34" s="45"/>
      <c r="BU34" s="45"/>
      <c r="BV34" s="46">
        <f t="shared" si="12"/>
        <v>0</v>
      </c>
      <c r="BW34" s="45"/>
      <c r="BX34" s="45"/>
      <c r="BY34" s="45"/>
      <c r="BZ34" s="45"/>
      <c r="CA34" s="46">
        <f t="shared" si="13"/>
        <v>0</v>
      </c>
      <c r="CB34" s="291"/>
      <c r="CC34" s="291"/>
      <c r="CD34" s="291"/>
      <c r="CE34" s="291"/>
      <c r="CF34" s="291"/>
      <c r="CG34" s="291"/>
      <c r="CH34" s="291"/>
      <c r="CI34" s="291"/>
      <c r="CJ34" s="291"/>
      <c r="CK34" s="291"/>
    </row>
    <row r="35" spans="1:89">
      <c r="A35" s="45">
        <v>0</v>
      </c>
      <c r="B35" s="50">
        <f t="shared" si="14"/>
        <v>32</v>
      </c>
      <c r="C35" s="312"/>
      <c r="D35" s="296"/>
      <c r="E35" s="45"/>
      <c r="F35" s="45"/>
      <c r="G35" s="45"/>
      <c r="H35" s="45"/>
      <c r="I35" s="318"/>
      <c r="J35" s="45" t="s">
        <v>3575</v>
      </c>
      <c r="K35" s="53"/>
      <c r="L35" s="54" t="e">
        <f>INDEX([1]Timeline!$E$10:$E$24,MATCH(A35,[1]Timeline!$C$10:$C$24,0))</f>
        <v>#N/A</v>
      </c>
      <c r="M35" s="55">
        <v>45291</v>
      </c>
      <c r="N35" s="56"/>
      <c r="O35" s="57" t="e">
        <f t="shared" si="0"/>
        <v>#N/A</v>
      </c>
      <c r="P35" s="56" t="e">
        <f t="shared" si="1"/>
        <v>#N/A</v>
      </c>
      <c r="Q35" s="56"/>
      <c r="R35" s="57" t="e">
        <f t="shared" si="15"/>
        <v>#N/A</v>
      </c>
      <c r="S35" s="56" t="e">
        <f t="shared" si="16"/>
        <v>#N/A</v>
      </c>
      <c r="T35" s="56"/>
      <c r="U35" s="56"/>
      <c r="V35" s="56"/>
      <c r="W35" s="56"/>
      <c r="X35" s="56"/>
      <c r="Y35" s="56"/>
      <c r="Z35" s="56"/>
      <c r="AA35" s="56"/>
      <c r="AB35" s="58">
        <f t="shared" si="20"/>
        <v>0</v>
      </c>
      <c r="AC35" s="58" t="e">
        <f t="shared" si="2"/>
        <v>#N/A</v>
      </c>
      <c r="AD35" s="58" t="e">
        <f t="shared" si="3"/>
        <v>#N/A</v>
      </c>
      <c r="AE35" s="45">
        <v>1</v>
      </c>
      <c r="AF35" s="59" t="e">
        <f t="shared" si="4"/>
        <v>#DIV/0!</v>
      </c>
      <c r="AG35" s="59" t="e">
        <f t="shared" si="17"/>
        <v>#DIV/0!</v>
      </c>
      <c r="AH35" s="60" t="e">
        <f t="shared" si="18"/>
        <v>#DIV/0!</v>
      </c>
      <c r="AI35" s="45"/>
      <c r="AJ35" s="45"/>
      <c r="AK35" s="45"/>
      <c r="AL35" s="45"/>
      <c r="AM35" s="46">
        <f t="shared" si="5"/>
        <v>0</v>
      </c>
      <c r="AN35" s="45"/>
      <c r="AO35" s="45"/>
      <c r="AP35" s="45"/>
      <c r="AQ35" s="45"/>
      <c r="AR35" s="61">
        <f t="shared" si="6"/>
        <v>0</v>
      </c>
      <c r="AS35" s="64"/>
      <c r="AT35" s="45"/>
      <c r="AU35" s="45"/>
      <c r="AV35" s="45"/>
      <c r="AW35" s="46">
        <f t="shared" si="7"/>
        <v>0</v>
      </c>
      <c r="AX35" s="45"/>
      <c r="AY35" s="45"/>
      <c r="AZ35" s="45"/>
      <c r="BA35" s="45"/>
      <c r="BB35" s="46">
        <f t="shared" si="8"/>
        <v>0</v>
      </c>
      <c r="BC35" s="45"/>
      <c r="BD35" s="45"/>
      <c r="BE35" s="45"/>
      <c r="BF35" s="45"/>
      <c r="BG35" s="47">
        <f t="shared" si="9"/>
        <v>0</v>
      </c>
      <c r="BH35" s="45"/>
      <c r="BI35" s="45"/>
      <c r="BJ35" s="45"/>
      <c r="BK35" s="45"/>
      <c r="BL35" s="46">
        <f t="shared" si="19"/>
        <v>0</v>
      </c>
      <c r="BM35" s="45"/>
      <c r="BN35" s="45"/>
      <c r="BO35" s="45"/>
      <c r="BP35" s="45"/>
      <c r="BQ35" s="46">
        <f t="shared" si="11"/>
        <v>0</v>
      </c>
      <c r="BR35" s="45"/>
      <c r="BS35" s="45"/>
      <c r="BT35" s="45"/>
      <c r="BU35" s="45"/>
      <c r="BV35" s="46">
        <f t="shared" si="12"/>
        <v>0</v>
      </c>
      <c r="BW35" s="45"/>
      <c r="BX35" s="45"/>
      <c r="BY35" s="45"/>
      <c r="BZ35" s="45"/>
      <c r="CA35" s="46">
        <f t="shared" si="13"/>
        <v>0</v>
      </c>
      <c r="CB35" s="291"/>
      <c r="CC35" s="291"/>
      <c r="CD35" s="291"/>
      <c r="CE35" s="291"/>
      <c r="CF35" s="291"/>
      <c r="CG35" s="291"/>
      <c r="CH35" s="291"/>
      <c r="CI35" s="291"/>
      <c r="CJ35" s="291"/>
      <c r="CK35" s="291"/>
    </row>
    <row r="36" spans="1:89" s="314" customFormat="1">
      <c r="A36" s="45">
        <v>0</v>
      </c>
      <c r="B36" s="50">
        <f t="shared" si="14"/>
        <v>33</v>
      </c>
      <c r="C36" s="312"/>
      <c r="D36" s="296"/>
      <c r="E36" s="45"/>
      <c r="F36" s="45"/>
      <c r="G36" s="45"/>
      <c r="H36" s="45"/>
      <c r="I36" s="318"/>
      <c r="J36" s="45" t="s">
        <v>3575</v>
      </c>
      <c r="K36" s="53"/>
      <c r="L36" s="54" t="e">
        <f>INDEX([1]Timeline!$E$10:$E$24,MATCH(A36,[1]Timeline!$C$10:$C$24,0))</f>
        <v>#N/A</v>
      </c>
      <c r="M36" s="55">
        <v>45291</v>
      </c>
      <c r="N36" s="56"/>
      <c r="O36" s="57" t="e">
        <f t="shared" si="0"/>
        <v>#N/A</v>
      </c>
      <c r="P36" s="56" t="e">
        <f t="shared" si="1"/>
        <v>#N/A</v>
      </c>
      <c r="Q36" s="56"/>
      <c r="R36" s="57" t="e">
        <f t="shared" si="15"/>
        <v>#N/A</v>
      </c>
      <c r="S36" s="56" t="e">
        <f t="shared" si="16"/>
        <v>#N/A</v>
      </c>
      <c r="T36" s="56"/>
      <c r="U36" s="56"/>
      <c r="V36" s="56"/>
      <c r="W36" s="56"/>
      <c r="X36" s="56"/>
      <c r="Y36" s="56"/>
      <c r="Z36" s="56"/>
      <c r="AA36" s="56"/>
      <c r="AB36" s="58">
        <f t="shared" si="20"/>
        <v>0</v>
      </c>
      <c r="AC36" s="58" t="e">
        <f t="shared" si="2"/>
        <v>#N/A</v>
      </c>
      <c r="AD36" s="58" t="e">
        <f t="shared" si="3"/>
        <v>#N/A</v>
      </c>
      <c r="AE36" s="45">
        <v>1</v>
      </c>
      <c r="AF36" s="59" t="e">
        <f t="shared" si="4"/>
        <v>#DIV/0!</v>
      </c>
      <c r="AG36" s="59" t="e">
        <f t="shared" si="17"/>
        <v>#DIV/0!</v>
      </c>
      <c r="AH36" s="60" t="e">
        <f t="shared" si="18"/>
        <v>#DIV/0!</v>
      </c>
      <c r="AI36" s="45"/>
      <c r="AJ36" s="45"/>
      <c r="AK36" s="45"/>
      <c r="AL36" s="45"/>
      <c r="AM36" s="46">
        <f t="shared" si="5"/>
        <v>0</v>
      </c>
      <c r="AN36" s="45"/>
      <c r="AO36" s="45"/>
      <c r="AP36" s="45"/>
      <c r="AQ36" s="45"/>
      <c r="AR36" s="61">
        <f t="shared" si="6"/>
        <v>0</v>
      </c>
      <c r="AS36" s="64"/>
      <c r="AT36" s="45"/>
      <c r="AU36" s="45"/>
      <c r="AV36" s="45"/>
      <c r="AW36" s="46">
        <f t="shared" si="7"/>
        <v>0</v>
      </c>
      <c r="AX36" s="45"/>
      <c r="AY36" s="45"/>
      <c r="AZ36" s="45"/>
      <c r="BA36" s="45"/>
      <c r="BB36" s="46">
        <f t="shared" si="8"/>
        <v>0</v>
      </c>
      <c r="BC36" s="45"/>
      <c r="BD36" s="45"/>
      <c r="BE36" s="45"/>
      <c r="BF36" s="45"/>
      <c r="BG36" s="47">
        <f t="shared" si="9"/>
        <v>0</v>
      </c>
      <c r="BH36" s="45"/>
      <c r="BI36" s="45"/>
      <c r="BJ36" s="45"/>
      <c r="BK36" s="45"/>
      <c r="BL36" s="46">
        <f t="shared" si="19"/>
        <v>0</v>
      </c>
      <c r="BM36" s="45"/>
      <c r="BN36" s="45"/>
      <c r="BO36" s="45"/>
      <c r="BP36" s="45"/>
      <c r="BQ36" s="46">
        <f t="shared" si="11"/>
        <v>0</v>
      </c>
      <c r="BR36" s="45"/>
      <c r="BS36" s="45"/>
      <c r="BT36" s="45"/>
      <c r="BU36" s="45"/>
      <c r="BV36" s="46">
        <f t="shared" si="12"/>
        <v>0</v>
      </c>
      <c r="BW36" s="45"/>
      <c r="BX36" s="45"/>
      <c r="BY36" s="45"/>
      <c r="BZ36" s="45"/>
      <c r="CA36" s="46">
        <f t="shared" si="13"/>
        <v>0</v>
      </c>
      <c r="CB36" s="319"/>
      <c r="CC36" s="319"/>
      <c r="CD36" s="319"/>
      <c r="CE36" s="319"/>
      <c r="CF36" s="319"/>
      <c r="CG36" s="319"/>
      <c r="CH36" s="319"/>
      <c r="CI36" s="319"/>
      <c r="CJ36" s="319"/>
      <c r="CK36" s="319"/>
    </row>
    <row r="37" spans="1:89" s="314" customFormat="1">
      <c r="A37" s="45">
        <v>0</v>
      </c>
      <c r="B37" s="50">
        <f t="shared" si="14"/>
        <v>34</v>
      </c>
      <c r="C37" s="312"/>
      <c r="D37" s="296"/>
      <c r="E37" s="296"/>
      <c r="F37" s="45"/>
      <c r="G37" s="45"/>
      <c r="H37" s="45"/>
      <c r="I37" s="318"/>
      <c r="J37" s="45" t="s">
        <v>3575</v>
      </c>
      <c r="K37" s="53"/>
      <c r="L37" s="54" t="e">
        <f>INDEX([1]Timeline!$E$10:$E$24,MATCH(A37,[1]Timeline!$C$10:$C$24,0))</f>
        <v>#N/A</v>
      </c>
      <c r="M37" s="55">
        <v>45291</v>
      </c>
      <c r="N37" s="56"/>
      <c r="O37" s="57" t="e">
        <f t="shared" si="0"/>
        <v>#N/A</v>
      </c>
      <c r="P37" s="56" t="e">
        <f t="shared" si="1"/>
        <v>#N/A</v>
      </c>
      <c r="Q37" s="56"/>
      <c r="R37" s="57" t="e">
        <f t="shared" si="15"/>
        <v>#N/A</v>
      </c>
      <c r="S37" s="56" t="e">
        <f t="shared" si="16"/>
        <v>#N/A</v>
      </c>
      <c r="T37" s="56"/>
      <c r="U37" s="56"/>
      <c r="V37" s="56"/>
      <c r="W37" s="56"/>
      <c r="X37" s="56"/>
      <c r="Y37" s="56"/>
      <c r="Z37" s="56"/>
      <c r="AA37" s="56"/>
      <c r="AB37" s="58">
        <f t="shared" si="20"/>
        <v>0</v>
      </c>
      <c r="AC37" s="58" t="e">
        <f t="shared" si="2"/>
        <v>#N/A</v>
      </c>
      <c r="AD37" s="58" t="e">
        <f t="shared" si="3"/>
        <v>#N/A</v>
      </c>
      <c r="AE37" s="45">
        <v>1</v>
      </c>
      <c r="AF37" s="59" t="e">
        <f t="shared" si="4"/>
        <v>#DIV/0!</v>
      </c>
      <c r="AG37" s="59" t="e">
        <f t="shared" si="17"/>
        <v>#DIV/0!</v>
      </c>
      <c r="AH37" s="60" t="e">
        <f t="shared" si="18"/>
        <v>#DIV/0!</v>
      </c>
      <c r="AI37" s="45"/>
      <c r="AJ37" s="45"/>
      <c r="AK37" s="45"/>
      <c r="AL37" s="45"/>
      <c r="AM37" s="46">
        <f t="shared" si="5"/>
        <v>0</v>
      </c>
      <c r="AN37" s="45"/>
      <c r="AO37" s="45"/>
      <c r="AP37" s="45"/>
      <c r="AQ37" s="45"/>
      <c r="AR37" s="61">
        <f t="shared" si="6"/>
        <v>0</v>
      </c>
      <c r="AS37" s="64"/>
      <c r="AT37" s="45"/>
      <c r="AU37" s="45"/>
      <c r="AV37" s="45"/>
      <c r="AW37" s="46">
        <f t="shared" si="7"/>
        <v>0</v>
      </c>
      <c r="AX37" s="45"/>
      <c r="AY37" s="45"/>
      <c r="AZ37" s="45"/>
      <c r="BA37" s="45"/>
      <c r="BB37" s="46">
        <f t="shared" si="8"/>
        <v>0</v>
      </c>
      <c r="BC37" s="45"/>
      <c r="BD37" s="45"/>
      <c r="BE37" s="45"/>
      <c r="BF37" s="45"/>
      <c r="BG37" s="47">
        <f t="shared" si="9"/>
        <v>0</v>
      </c>
      <c r="BH37" s="45"/>
      <c r="BI37" s="45"/>
      <c r="BJ37" s="45"/>
      <c r="BK37" s="45"/>
      <c r="BL37" s="46">
        <f t="shared" si="19"/>
        <v>0</v>
      </c>
      <c r="BM37" s="45"/>
      <c r="BN37" s="45"/>
      <c r="BO37" s="45"/>
      <c r="BP37" s="45"/>
      <c r="BQ37" s="46">
        <f t="shared" si="11"/>
        <v>0</v>
      </c>
      <c r="BR37" s="45"/>
      <c r="BS37" s="45"/>
      <c r="BT37" s="45"/>
      <c r="BU37" s="45"/>
      <c r="BV37" s="46">
        <f t="shared" si="12"/>
        <v>0</v>
      </c>
      <c r="BW37" s="45"/>
      <c r="BX37" s="45"/>
      <c r="BY37" s="45"/>
      <c r="BZ37" s="45"/>
      <c r="CA37" s="46">
        <f t="shared" si="13"/>
        <v>0</v>
      </c>
      <c r="CB37" s="319"/>
      <c r="CC37" s="319"/>
      <c r="CD37" s="319"/>
      <c r="CE37" s="319"/>
      <c r="CF37" s="319"/>
      <c r="CG37" s="319"/>
      <c r="CH37" s="319"/>
      <c r="CI37" s="319"/>
      <c r="CJ37" s="319"/>
      <c r="CK37" s="319"/>
    </row>
    <row r="38" spans="1:89">
      <c r="A38" s="45">
        <v>0</v>
      </c>
      <c r="B38" s="50">
        <f t="shared" si="14"/>
        <v>35</v>
      </c>
      <c r="C38" s="312"/>
      <c r="D38" s="296"/>
      <c r="E38" s="296"/>
      <c r="G38" s="45"/>
      <c r="H38" s="45"/>
      <c r="I38" s="318"/>
      <c r="J38" s="45" t="s">
        <v>3575</v>
      </c>
      <c r="K38" s="53"/>
      <c r="L38" s="54" t="e">
        <f>INDEX([1]Timeline!$E$10:$E$24,MATCH(A38,[1]Timeline!$C$10:$C$24,0))</f>
        <v>#N/A</v>
      </c>
      <c r="M38" s="55">
        <v>45291</v>
      </c>
      <c r="N38" s="56"/>
      <c r="O38" s="57" t="e">
        <f t="shared" si="0"/>
        <v>#N/A</v>
      </c>
      <c r="P38" s="56" t="e">
        <f t="shared" si="1"/>
        <v>#N/A</v>
      </c>
      <c r="Q38" s="56"/>
      <c r="R38" s="57" t="e">
        <f t="shared" si="15"/>
        <v>#N/A</v>
      </c>
      <c r="S38" s="56" t="e">
        <f t="shared" si="16"/>
        <v>#N/A</v>
      </c>
      <c r="T38" s="56"/>
      <c r="U38" s="56"/>
      <c r="V38" s="56"/>
      <c r="W38" s="56"/>
      <c r="X38" s="56"/>
      <c r="Y38" s="56"/>
      <c r="Z38" s="56"/>
      <c r="AA38" s="56"/>
      <c r="AB38" s="58">
        <f t="shared" si="20"/>
        <v>0</v>
      </c>
      <c r="AC38" s="58" t="e">
        <f t="shared" si="2"/>
        <v>#N/A</v>
      </c>
      <c r="AD38" s="58" t="e">
        <f t="shared" si="3"/>
        <v>#N/A</v>
      </c>
      <c r="AE38" s="45">
        <v>1</v>
      </c>
      <c r="AF38" s="59" t="e">
        <f t="shared" si="4"/>
        <v>#DIV/0!</v>
      </c>
      <c r="AG38" s="59" t="e">
        <f t="shared" si="17"/>
        <v>#DIV/0!</v>
      </c>
      <c r="AH38" s="60" t="e">
        <f t="shared" si="18"/>
        <v>#DIV/0!</v>
      </c>
      <c r="AI38" s="45"/>
      <c r="AJ38" s="45"/>
      <c r="AK38" s="45"/>
      <c r="AL38" s="45"/>
      <c r="AM38" s="46">
        <f t="shared" si="5"/>
        <v>0</v>
      </c>
      <c r="AN38" s="45"/>
      <c r="AO38" s="45"/>
      <c r="AP38" s="45"/>
      <c r="AQ38" s="45"/>
      <c r="AR38" s="61">
        <f t="shared" si="6"/>
        <v>0</v>
      </c>
      <c r="AS38" s="64"/>
      <c r="AT38" s="45"/>
      <c r="AU38" s="45"/>
      <c r="AV38" s="45"/>
      <c r="AW38" s="46">
        <f t="shared" si="7"/>
        <v>0</v>
      </c>
      <c r="AX38" s="45"/>
      <c r="AY38" s="45"/>
      <c r="AZ38" s="45"/>
      <c r="BA38" s="45"/>
      <c r="BB38" s="46">
        <f t="shared" si="8"/>
        <v>0</v>
      </c>
      <c r="BC38" s="45"/>
      <c r="BD38" s="45"/>
      <c r="BE38" s="45"/>
      <c r="BF38" s="45"/>
      <c r="BG38" s="47">
        <f t="shared" si="9"/>
        <v>0</v>
      </c>
      <c r="BH38" s="45"/>
      <c r="BI38" s="45"/>
      <c r="BJ38" s="45"/>
      <c r="BK38" s="45"/>
      <c r="BL38" s="46">
        <f t="shared" si="19"/>
        <v>0</v>
      </c>
      <c r="BM38" s="45"/>
      <c r="BN38" s="45"/>
      <c r="BO38" s="45"/>
      <c r="BP38" s="45"/>
      <c r="BQ38" s="46">
        <f t="shared" si="11"/>
        <v>0</v>
      </c>
      <c r="BR38" s="45"/>
      <c r="BS38" s="45"/>
      <c r="BT38" s="45"/>
      <c r="BU38" s="45"/>
      <c r="BV38" s="46">
        <f t="shared" si="12"/>
        <v>0</v>
      </c>
      <c r="BW38" s="45"/>
      <c r="BX38" s="45"/>
      <c r="BY38" s="45"/>
      <c r="BZ38" s="45"/>
      <c r="CA38" s="46">
        <f t="shared" si="13"/>
        <v>0</v>
      </c>
      <c r="CB38" s="291"/>
      <c r="CC38" s="291"/>
      <c r="CD38" s="291"/>
      <c r="CE38" s="291"/>
      <c r="CF38" s="291"/>
      <c r="CG38" s="291"/>
      <c r="CH38" s="291"/>
      <c r="CI38" s="291"/>
      <c r="CJ38" s="291"/>
      <c r="CK38" s="291"/>
    </row>
    <row r="39" spans="1:89" ht="121.5">
      <c r="A39" s="45">
        <v>2</v>
      </c>
      <c r="B39" s="50">
        <f t="shared" si="14"/>
        <v>36</v>
      </c>
      <c r="C39" s="312" t="s">
        <v>5032</v>
      </c>
      <c r="D39" s="296" t="s">
        <v>5033</v>
      </c>
      <c r="E39" s="312" t="s">
        <v>5034</v>
      </c>
      <c r="F39" s="45" t="s">
        <v>5035</v>
      </c>
      <c r="G39" s="45" t="s">
        <v>5036</v>
      </c>
      <c r="H39" s="45" t="s">
        <v>5037</v>
      </c>
      <c r="I39" s="320" t="s">
        <v>5038</v>
      </c>
      <c r="J39" s="45" t="s">
        <v>3575</v>
      </c>
      <c r="K39" s="53"/>
      <c r="L39" s="54" t="e">
        <f>INDEX([1]Timeline!$E$10:$E$24,MATCH(A39,[1]Timeline!$C$10:$C$24,0))</f>
        <v>#N/A</v>
      </c>
      <c r="M39" s="55">
        <v>45291</v>
      </c>
      <c r="N39" s="57">
        <v>420000</v>
      </c>
      <c r="O39" s="57" t="e">
        <f t="shared" si="0"/>
        <v>#N/A</v>
      </c>
      <c r="P39" s="57" t="e">
        <f t="shared" si="1"/>
        <v>#N/A</v>
      </c>
      <c r="Q39" s="57"/>
      <c r="R39" s="57" t="e">
        <f t="shared" si="15"/>
        <v>#N/A</v>
      </c>
      <c r="S39" s="56" t="e">
        <f t="shared" si="16"/>
        <v>#N/A</v>
      </c>
      <c r="T39" s="56"/>
      <c r="U39" s="56"/>
      <c r="V39" s="56"/>
      <c r="W39" s="56"/>
      <c r="X39" s="56"/>
      <c r="Y39" s="57" t="s">
        <v>4814</v>
      </c>
      <c r="Z39" s="57">
        <v>1</v>
      </c>
      <c r="AA39" s="57">
        <v>1</v>
      </c>
      <c r="AB39" s="58">
        <f>N39/Z39</f>
        <v>420000</v>
      </c>
      <c r="AC39" s="58" t="e">
        <f t="shared" si="2"/>
        <v>#N/A</v>
      </c>
      <c r="AD39" s="58" t="e">
        <f t="shared" si="3"/>
        <v>#N/A</v>
      </c>
      <c r="AE39" s="45">
        <v>1</v>
      </c>
      <c r="AF39" s="60">
        <f t="shared" si="4"/>
        <v>2.5833333333333335</v>
      </c>
      <c r="AG39" s="59">
        <f t="shared" si="17"/>
        <v>2.8333333333333335</v>
      </c>
      <c r="AH39" s="60">
        <f t="shared" si="18"/>
        <v>2.3333333333333335</v>
      </c>
      <c r="AI39" s="45"/>
      <c r="AJ39" s="45"/>
      <c r="AK39" s="45"/>
      <c r="AL39" s="45"/>
      <c r="AM39" s="47">
        <f t="shared" si="5"/>
        <v>0</v>
      </c>
      <c r="AN39" s="45">
        <v>3</v>
      </c>
      <c r="AO39" s="45">
        <v>2</v>
      </c>
      <c r="AP39" s="45">
        <v>2</v>
      </c>
      <c r="AQ39" s="45">
        <v>2</v>
      </c>
      <c r="AR39" s="70">
        <f t="shared" si="6"/>
        <v>2.25</v>
      </c>
      <c r="AS39" s="103">
        <v>3</v>
      </c>
      <c r="AT39" s="102">
        <v>3</v>
      </c>
      <c r="AU39" s="102">
        <v>4</v>
      </c>
      <c r="AV39" s="102">
        <v>2</v>
      </c>
      <c r="AW39" s="47">
        <f t="shared" si="7"/>
        <v>3</v>
      </c>
      <c r="AX39" s="45">
        <v>3</v>
      </c>
      <c r="AY39" s="45">
        <v>3</v>
      </c>
      <c r="AZ39" s="45">
        <v>2</v>
      </c>
      <c r="BA39" s="45">
        <v>2</v>
      </c>
      <c r="BB39" s="47">
        <f t="shared" si="8"/>
        <v>2.5</v>
      </c>
      <c r="BC39" s="45"/>
      <c r="BD39" s="45"/>
      <c r="BE39" s="45"/>
      <c r="BF39" s="45"/>
      <c r="BG39" s="47">
        <f t="shared" si="9"/>
        <v>0</v>
      </c>
      <c r="BH39" s="45"/>
      <c r="BI39" s="45"/>
      <c r="BJ39" s="45"/>
      <c r="BK39" s="45"/>
      <c r="BL39" s="46">
        <f t="shared" si="19"/>
        <v>0</v>
      </c>
      <c r="BM39" s="45"/>
      <c r="BN39" s="45"/>
      <c r="BO39" s="45"/>
      <c r="BP39" s="45"/>
      <c r="BQ39" s="47">
        <f t="shared" si="11"/>
        <v>0</v>
      </c>
      <c r="BR39" s="45"/>
      <c r="BS39" s="45"/>
      <c r="BT39" s="45"/>
      <c r="BU39" s="45"/>
      <c r="BV39" s="47">
        <f t="shared" si="12"/>
        <v>0</v>
      </c>
      <c r="BW39" s="45"/>
      <c r="BX39" s="45"/>
      <c r="BY39" s="45"/>
      <c r="BZ39" s="45"/>
      <c r="CA39" s="47">
        <f t="shared" si="13"/>
        <v>0</v>
      </c>
      <c r="CB39" s="291"/>
      <c r="CC39" s="291"/>
      <c r="CD39" s="291"/>
      <c r="CE39" s="291"/>
      <c r="CF39" s="291"/>
      <c r="CG39" s="291"/>
      <c r="CH39" s="291"/>
      <c r="CI39" s="291"/>
      <c r="CJ39" s="291"/>
      <c r="CK39" s="291"/>
    </row>
    <row r="40" spans="1:89" s="314" customFormat="1" ht="91.5">
      <c r="A40" s="1">
        <v>9</v>
      </c>
      <c r="B40" s="321">
        <f t="shared" si="14"/>
        <v>37</v>
      </c>
      <c r="C40" s="93" t="s">
        <v>2817</v>
      </c>
      <c r="D40" s="296" t="s">
        <v>3217</v>
      </c>
      <c r="E40" s="296" t="s">
        <v>5039</v>
      </c>
      <c r="F40" s="296" t="s">
        <v>5040</v>
      </c>
      <c r="G40" s="45" t="s">
        <v>5041</v>
      </c>
      <c r="H40" s="45" t="s">
        <v>5042</v>
      </c>
      <c r="I40" s="318" t="s">
        <v>5043</v>
      </c>
      <c r="J40" s="45" t="s">
        <v>3575</v>
      </c>
      <c r="K40" s="53"/>
      <c r="L40" s="54" t="e">
        <f>INDEX([1]Timeline!$E$10:$E$24,MATCH(A40,[1]Timeline!$C$10:$C$24,0))</f>
        <v>#N/A</v>
      </c>
      <c r="M40" s="55">
        <v>45291</v>
      </c>
      <c r="N40" s="56">
        <v>920000</v>
      </c>
      <c r="O40" s="57" t="e">
        <f t="shared" si="0"/>
        <v>#N/A</v>
      </c>
      <c r="P40" s="56" t="e">
        <f t="shared" si="1"/>
        <v>#N/A</v>
      </c>
      <c r="Q40" s="56">
        <f>V40*0.055/8*0.87</f>
        <v>0.13774818750000001</v>
      </c>
      <c r="R40" s="57" t="e">
        <f t="shared" si="15"/>
        <v>#N/A</v>
      </c>
      <c r="S40" s="56" t="e">
        <f t="shared" si="16"/>
        <v>#N/A</v>
      </c>
      <c r="T40" s="56" t="s">
        <v>4940</v>
      </c>
      <c r="U40" s="56" t="s">
        <v>4941</v>
      </c>
      <c r="V40" s="56">
        <v>23.03</v>
      </c>
      <c r="W40" s="56" t="s">
        <v>4959</v>
      </c>
      <c r="X40" s="56">
        <f>V40*0.055/8</f>
        <v>0.15833125000000001</v>
      </c>
      <c r="Y40" s="56" t="s">
        <v>2817</v>
      </c>
      <c r="Z40" s="56">
        <v>1</v>
      </c>
      <c r="AA40" s="56">
        <v>1</v>
      </c>
      <c r="AB40" s="58">
        <f>N40/1</f>
        <v>920000</v>
      </c>
      <c r="AC40" s="58" t="e">
        <f t="shared" si="2"/>
        <v>#N/A</v>
      </c>
      <c r="AD40" s="58" t="e">
        <f t="shared" si="3"/>
        <v>#N/A</v>
      </c>
      <c r="AE40" s="45">
        <v>1</v>
      </c>
      <c r="AF40" s="59">
        <f t="shared" si="4"/>
        <v>2.1071428571428572</v>
      </c>
      <c r="AG40" s="59">
        <f t="shared" si="17"/>
        <v>2.3571428571428572</v>
      </c>
      <c r="AH40" s="60">
        <f t="shared" si="18"/>
        <v>1.8571428571428572</v>
      </c>
      <c r="AI40" s="45">
        <v>2</v>
      </c>
      <c r="AJ40" s="45">
        <v>2</v>
      </c>
      <c r="AK40" s="45">
        <v>1</v>
      </c>
      <c r="AL40" s="45">
        <v>2</v>
      </c>
      <c r="AM40" s="46">
        <f t="shared" si="5"/>
        <v>1.75</v>
      </c>
      <c r="AN40" s="45">
        <v>2</v>
      </c>
      <c r="AO40" s="45">
        <v>2</v>
      </c>
      <c r="AP40" s="45">
        <v>2</v>
      </c>
      <c r="AQ40" s="45">
        <v>2</v>
      </c>
      <c r="AR40" s="61">
        <f t="shared" si="6"/>
        <v>2</v>
      </c>
      <c r="AS40" s="64">
        <v>2</v>
      </c>
      <c r="AT40" s="45">
        <v>2</v>
      </c>
      <c r="AU40" s="45">
        <v>1</v>
      </c>
      <c r="AV40" s="45">
        <v>3</v>
      </c>
      <c r="AW40" s="46">
        <f t="shared" si="7"/>
        <v>2</v>
      </c>
      <c r="AX40" s="45"/>
      <c r="AY40" s="45"/>
      <c r="AZ40" s="45"/>
      <c r="BA40" s="45"/>
      <c r="BB40" s="46">
        <f t="shared" si="8"/>
        <v>0</v>
      </c>
      <c r="BC40" s="45">
        <v>2</v>
      </c>
      <c r="BD40" s="45">
        <v>2</v>
      </c>
      <c r="BE40" s="45">
        <v>3</v>
      </c>
      <c r="BF40" s="45">
        <v>1</v>
      </c>
      <c r="BG40" s="47">
        <f t="shared" si="9"/>
        <v>2</v>
      </c>
      <c r="BH40" s="45">
        <v>3</v>
      </c>
      <c r="BI40" s="45">
        <v>2</v>
      </c>
      <c r="BJ40" s="45">
        <v>2</v>
      </c>
      <c r="BK40" s="45">
        <v>1</v>
      </c>
      <c r="BL40" s="46">
        <f t="shared" si="19"/>
        <v>2</v>
      </c>
      <c r="BM40" s="45">
        <v>2</v>
      </c>
      <c r="BN40" s="45">
        <v>2</v>
      </c>
      <c r="BO40" s="45">
        <v>3</v>
      </c>
      <c r="BP40" s="45">
        <v>3</v>
      </c>
      <c r="BQ40" s="46">
        <f t="shared" si="11"/>
        <v>2.5</v>
      </c>
      <c r="BR40" s="45">
        <v>4</v>
      </c>
      <c r="BS40" s="45">
        <v>4</v>
      </c>
      <c r="BT40" s="45">
        <v>1</v>
      </c>
      <c r="BU40" s="45">
        <v>1</v>
      </c>
      <c r="BV40" s="46">
        <f t="shared" si="12"/>
        <v>2.5</v>
      </c>
      <c r="BW40" s="45"/>
      <c r="BX40" s="45"/>
      <c r="BY40" s="45"/>
      <c r="BZ40" s="45"/>
      <c r="CA40" s="46">
        <f t="shared" si="13"/>
        <v>0</v>
      </c>
      <c r="CB40" s="319"/>
      <c r="CC40" s="319"/>
      <c r="CD40" s="319"/>
      <c r="CE40" s="319"/>
      <c r="CF40" s="319"/>
      <c r="CG40" s="319"/>
      <c r="CH40" s="319"/>
      <c r="CI40" s="319"/>
      <c r="CJ40" s="319"/>
      <c r="CK40" s="319"/>
    </row>
    <row r="41" spans="1:89" s="314" customFormat="1" ht="76.5">
      <c r="A41" s="291">
        <v>6</v>
      </c>
      <c r="B41" s="322">
        <f t="shared" si="14"/>
        <v>38</v>
      </c>
      <c r="C41" s="91" t="s">
        <v>4970</v>
      </c>
      <c r="D41" s="91" t="s">
        <v>5044</v>
      </c>
      <c r="E41" s="92" t="s">
        <v>5045</v>
      </c>
      <c r="F41" s="323" t="s">
        <v>5046</v>
      </c>
      <c r="G41" s="64" t="s">
        <v>5047</v>
      </c>
      <c r="H41" s="45" t="s">
        <v>5048</v>
      </c>
      <c r="I41" s="318" t="s">
        <v>5049</v>
      </c>
      <c r="J41" s="45" t="s">
        <v>3575</v>
      </c>
      <c r="K41" s="53"/>
      <c r="L41" s="54" t="e">
        <f>INDEX([1]Timeline!$E$10:$E$24,MATCH(A41,[1]Timeline!$C$10:$C$24,0))</f>
        <v>#N/A</v>
      </c>
      <c r="M41" s="55">
        <v>45291</v>
      </c>
      <c r="N41" s="56">
        <v>255000</v>
      </c>
      <c r="O41" s="57" t="e">
        <f t="shared" si="0"/>
        <v>#N/A</v>
      </c>
      <c r="P41" s="56" t="e">
        <f t="shared" si="1"/>
        <v>#N/A</v>
      </c>
      <c r="Q41" s="56">
        <f>V41*0.055/8*0.87</f>
        <v>1.8442187499999999E-2</v>
      </c>
      <c r="R41" s="57" t="e">
        <f t="shared" si="15"/>
        <v>#N/A</v>
      </c>
      <c r="S41" s="56" t="e">
        <f t="shared" si="16"/>
        <v>#N/A</v>
      </c>
      <c r="T41" s="56" t="s">
        <v>4940</v>
      </c>
      <c r="U41" s="56" t="s">
        <v>4941</v>
      </c>
      <c r="V41" s="56">
        <f>185/60</f>
        <v>3.0833333333333335</v>
      </c>
      <c r="W41" s="56" t="s">
        <v>4959</v>
      </c>
      <c r="X41" s="56">
        <f>V41*0.055/8</f>
        <v>2.1197916666666667E-2</v>
      </c>
      <c r="Y41" s="56" t="s">
        <v>2817</v>
      </c>
      <c r="Z41" s="56">
        <v>1</v>
      </c>
      <c r="AA41" s="56">
        <v>1</v>
      </c>
      <c r="AB41" s="58">
        <f>N41/1</f>
        <v>255000</v>
      </c>
      <c r="AC41" s="58" t="e">
        <f t="shared" si="2"/>
        <v>#N/A</v>
      </c>
      <c r="AD41" s="58" t="e">
        <f t="shared" si="3"/>
        <v>#N/A</v>
      </c>
      <c r="AE41" s="45">
        <v>1</v>
      </c>
      <c r="AF41" s="59">
        <f t="shared" si="4"/>
        <v>2.875</v>
      </c>
      <c r="AG41" s="59">
        <f t="shared" si="17"/>
        <v>4</v>
      </c>
      <c r="AH41" s="60">
        <f t="shared" si="18"/>
        <v>1.75</v>
      </c>
      <c r="AI41" s="45"/>
      <c r="AJ41" s="45"/>
      <c r="AK41" s="45"/>
      <c r="AL41" s="45"/>
      <c r="AM41" s="46">
        <f t="shared" si="5"/>
        <v>0</v>
      </c>
      <c r="AN41" s="45"/>
      <c r="AO41" s="45"/>
      <c r="AP41" s="45"/>
      <c r="AQ41" s="45"/>
      <c r="AR41" s="61">
        <f t="shared" si="6"/>
        <v>0</v>
      </c>
      <c r="AS41" s="64">
        <v>4</v>
      </c>
      <c r="AT41" s="45">
        <v>4</v>
      </c>
      <c r="AU41" s="45">
        <v>2</v>
      </c>
      <c r="AV41" s="45">
        <v>3</v>
      </c>
      <c r="AW41" s="46">
        <f t="shared" si="7"/>
        <v>3.25</v>
      </c>
      <c r="AX41" s="45"/>
      <c r="AY41" s="45"/>
      <c r="AZ41" s="45"/>
      <c r="BA41" s="45"/>
      <c r="BB41" s="46">
        <f t="shared" si="8"/>
        <v>0</v>
      </c>
      <c r="BC41" s="45">
        <v>4</v>
      </c>
      <c r="BD41" s="45">
        <v>4</v>
      </c>
      <c r="BE41" s="45">
        <v>1</v>
      </c>
      <c r="BF41" s="45">
        <v>1</v>
      </c>
      <c r="BG41" s="47">
        <f t="shared" si="9"/>
        <v>2.5</v>
      </c>
      <c r="BH41" s="45"/>
      <c r="BI41" s="45"/>
      <c r="BJ41" s="45"/>
      <c r="BK41" s="45"/>
      <c r="BL41" s="45"/>
      <c r="BM41" s="45"/>
      <c r="BN41" s="45"/>
      <c r="BO41" s="45"/>
      <c r="BP41" s="45"/>
      <c r="BQ41" s="46">
        <f t="shared" si="11"/>
        <v>0</v>
      </c>
      <c r="BR41" s="45"/>
      <c r="BS41" s="45"/>
      <c r="BT41" s="45"/>
      <c r="BU41" s="45"/>
      <c r="BV41" s="46">
        <f t="shared" si="12"/>
        <v>0</v>
      </c>
      <c r="BW41" s="45"/>
      <c r="BX41" s="45"/>
      <c r="BY41" s="45"/>
      <c r="BZ41" s="45"/>
      <c r="CA41" s="46">
        <f t="shared" si="13"/>
        <v>0</v>
      </c>
      <c r="CB41" s="319"/>
      <c r="CC41" s="319"/>
      <c r="CD41" s="319"/>
      <c r="CE41" s="319"/>
      <c r="CF41" s="319"/>
      <c r="CG41" s="319"/>
      <c r="CH41" s="319"/>
      <c r="CI41" s="319"/>
      <c r="CJ41" s="319"/>
      <c r="CK41" s="319"/>
    </row>
    <row r="42" spans="1:89" s="314" customFormat="1" ht="198">
      <c r="A42" s="291">
        <v>3</v>
      </c>
      <c r="B42" s="322">
        <f t="shared" si="14"/>
        <v>39</v>
      </c>
      <c r="C42" s="312" t="s">
        <v>4857</v>
      </c>
      <c r="D42" s="296" t="s">
        <v>4120</v>
      </c>
      <c r="E42" s="296" t="s">
        <v>5050</v>
      </c>
      <c r="F42" s="296" t="s">
        <v>5051</v>
      </c>
      <c r="G42" s="64" t="s">
        <v>5052</v>
      </c>
      <c r="H42" s="45" t="s">
        <v>5053</v>
      </c>
      <c r="I42" s="318" t="s">
        <v>5054</v>
      </c>
      <c r="J42" s="45" t="s">
        <v>3575</v>
      </c>
      <c r="K42" s="53"/>
      <c r="L42" s="54" t="e">
        <f>INDEX([1]Timeline!$E$10:$E$24,MATCH(A42,[1]Timeline!$C$10:$C$24,0))</f>
        <v>#N/A</v>
      </c>
      <c r="M42" s="55">
        <v>45291</v>
      </c>
      <c r="N42" s="56">
        <v>880000</v>
      </c>
      <c r="O42" s="57" t="e">
        <f t="shared" si="0"/>
        <v>#N/A</v>
      </c>
      <c r="P42" s="56" t="e">
        <f t="shared" si="1"/>
        <v>#N/A</v>
      </c>
      <c r="Q42" s="56"/>
      <c r="R42" s="57" t="e">
        <f t="shared" si="15"/>
        <v>#N/A</v>
      </c>
      <c r="S42" s="56" t="e">
        <f t="shared" si="16"/>
        <v>#N/A</v>
      </c>
      <c r="T42" s="56"/>
      <c r="U42" s="56"/>
      <c r="V42" s="56"/>
      <c r="W42" s="56"/>
      <c r="X42" s="56"/>
      <c r="Y42" s="56" t="s">
        <v>2773</v>
      </c>
      <c r="Z42" s="56">
        <v>1</v>
      </c>
      <c r="AA42" s="56">
        <v>1</v>
      </c>
      <c r="AB42" s="58">
        <f>N42/Z42</f>
        <v>880000</v>
      </c>
      <c r="AC42" s="58" t="e">
        <f t="shared" si="2"/>
        <v>#N/A</v>
      </c>
      <c r="AD42" s="58" t="e">
        <f t="shared" si="3"/>
        <v>#N/A</v>
      </c>
      <c r="AE42" s="45">
        <v>1</v>
      </c>
      <c r="AF42" s="59">
        <f t="shared" si="4"/>
        <v>2.833333333333333</v>
      </c>
      <c r="AG42" s="59">
        <f t="shared" si="17"/>
        <v>3.5</v>
      </c>
      <c r="AH42" s="60">
        <f t="shared" si="18"/>
        <v>2.1666666666666665</v>
      </c>
      <c r="AI42" s="45"/>
      <c r="AJ42" s="45"/>
      <c r="AK42" s="45"/>
      <c r="AL42" s="45"/>
      <c r="AM42" s="46">
        <f t="shared" si="5"/>
        <v>0</v>
      </c>
      <c r="AN42" s="45">
        <v>4</v>
      </c>
      <c r="AO42" s="45">
        <v>3</v>
      </c>
      <c r="AP42" s="45">
        <v>2</v>
      </c>
      <c r="AQ42" s="45">
        <v>2</v>
      </c>
      <c r="AR42" s="61">
        <f t="shared" si="6"/>
        <v>2.75</v>
      </c>
      <c r="AS42" s="103">
        <v>4</v>
      </c>
      <c r="AT42" s="102">
        <v>2</v>
      </c>
      <c r="AU42" s="102">
        <v>2</v>
      </c>
      <c r="AV42" s="102">
        <v>3</v>
      </c>
      <c r="AW42" s="46">
        <f t="shared" si="7"/>
        <v>2.75</v>
      </c>
      <c r="AX42" s="45">
        <v>4</v>
      </c>
      <c r="AY42" s="45">
        <v>4</v>
      </c>
      <c r="AZ42" s="45">
        <v>2</v>
      </c>
      <c r="BA42" s="45">
        <v>2</v>
      </c>
      <c r="BB42" s="46">
        <f t="shared" si="8"/>
        <v>3</v>
      </c>
      <c r="BC42" s="45"/>
      <c r="BD42" s="45"/>
      <c r="BE42" s="45"/>
      <c r="BF42" s="45"/>
      <c r="BG42" s="47">
        <f t="shared" si="9"/>
        <v>0</v>
      </c>
      <c r="BH42" s="45"/>
      <c r="BI42" s="45"/>
      <c r="BJ42" s="45"/>
      <c r="BK42" s="45"/>
      <c r="BL42" s="46">
        <f>IFERROR(SUM(BH42:BK42)/4,0)</f>
        <v>0</v>
      </c>
      <c r="BM42" s="45"/>
      <c r="BN42" s="45"/>
      <c r="BO42" s="45"/>
      <c r="BP42" s="45"/>
      <c r="BQ42" s="46">
        <f t="shared" si="11"/>
        <v>0</v>
      </c>
      <c r="BR42" s="45"/>
      <c r="BS42" s="45"/>
      <c r="BT42" s="45"/>
      <c r="BU42" s="45"/>
      <c r="BV42" s="46">
        <f t="shared" si="12"/>
        <v>0</v>
      </c>
      <c r="BW42" s="45"/>
      <c r="BX42" s="45"/>
      <c r="BY42" s="45"/>
      <c r="BZ42" s="45"/>
      <c r="CA42" s="46">
        <f t="shared" si="13"/>
        <v>0</v>
      </c>
      <c r="CB42" s="319"/>
      <c r="CC42" s="319"/>
      <c r="CD42" s="319"/>
      <c r="CE42" s="319"/>
      <c r="CF42" s="319"/>
      <c r="CG42" s="319"/>
      <c r="CH42" s="319"/>
      <c r="CI42" s="319"/>
      <c r="CJ42" s="319"/>
      <c r="CK42" s="319"/>
    </row>
    <row r="43" spans="1:89" ht="91.5">
      <c r="A43" s="291">
        <v>7</v>
      </c>
      <c r="B43" s="322">
        <f t="shared" si="14"/>
        <v>40</v>
      </c>
      <c r="C43" s="91" t="s">
        <v>2817</v>
      </c>
      <c r="D43" s="91" t="s">
        <v>5055</v>
      </c>
      <c r="E43" s="92" t="s">
        <v>5056</v>
      </c>
      <c r="F43" s="91" t="s">
        <v>5057</v>
      </c>
      <c r="G43" s="64" t="s">
        <v>5058</v>
      </c>
      <c r="H43" s="45" t="s">
        <v>5059</v>
      </c>
      <c r="I43" s="318" t="s">
        <v>5060</v>
      </c>
      <c r="J43" s="45" t="s">
        <v>3575</v>
      </c>
      <c r="K43" s="53"/>
      <c r="L43" s="54" t="e">
        <f>INDEX([1]Timeline!$E$10:$E$24,MATCH(A43,[1]Timeline!$C$10:$C$24,0))</f>
        <v>#N/A</v>
      </c>
      <c r="M43" s="55">
        <v>45291</v>
      </c>
      <c r="N43" s="56">
        <v>646000</v>
      </c>
      <c r="O43" s="57" t="e">
        <f t="shared" si="0"/>
        <v>#N/A</v>
      </c>
      <c r="P43" s="56" t="e">
        <f t="shared" si="1"/>
        <v>#N/A</v>
      </c>
      <c r="Q43" s="56">
        <f>V43*0.055/8*0.87</f>
        <v>4.5457499999999998E-2</v>
      </c>
      <c r="R43" s="57" t="e">
        <f t="shared" si="15"/>
        <v>#N/A</v>
      </c>
      <c r="S43" s="56" t="e">
        <f t="shared" si="16"/>
        <v>#N/A</v>
      </c>
      <c r="T43" s="56" t="s">
        <v>4940</v>
      </c>
      <c r="U43" s="56" t="s">
        <v>4941</v>
      </c>
      <c r="V43" s="56">
        <v>7.6</v>
      </c>
      <c r="W43" s="56" t="s">
        <v>4959</v>
      </c>
      <c r="X43" s="56">
        <f>V43*0.055/8</f>
        <v>5.2249999999999998E-2</v>
      </c>
      <c r="Y43" s="56" t="s">
        <v>2817</v>
      </c>
      <c r="Z43" s="56">
        <v>1</v>
      </c>
      <c r="AA43" s="56">
        <v>1</v>
      </c>
      <c r="AB43" s="58">
        <f>N43/1</f>
        <v>646000</v>
      </c>
      <c r="AC43" s="58" t="e">
        <f t="shared" si="2"/>
        <v>#N/A</v>
      </c>
      <c r="AD43" s="58" t="e">
        <f t="shared" si="3"/>
        <v>#N/A</v>
      </c>
      <c r="AE43" s="45">
        <v>1</v>
      </c>
      <c r="AF43" s="59">
        <f t="shared" si="4"/>
        <v>2.875</v>
      </c>
      <c r="AG43" s="59">
        <f t="shared" si="17"/>
        <v>4</v>
      </c>
      <c r="AH43" s="60">
        <f t="shared" si="18"/>
        <v>1.75</v>
      </c>
      <c r="AI43" s="45"/>
      <c r="AJ43" s="45"/>
      <c r="AK43" s="45"/>
      <c r="AL43" s="45"/>
      <c r="AM43" s="46">
        <f t="shared" si="5"/>
        <v>0</v>
      </c>
      <c r="AN43" s="45"/>
      <c r="AO43" s="45"/>
      <c r="AP43" s="45"/>
      <c r="AQ43" s="45"/>
      <c r="AR43" s="61">
        <f t="shared" si="6"/>
        <v>0</v>
      </c>
      <c r="AS43" s="64">
        <v>4</v>
      </c>
      <c r="AT43" s="45">
        <v>4</v>
      </c>
      <c r="AU43" s="45">
        <v>2</v>
      </c>
      <c r="AV43" s="45">
        <v>3</v>
      </c>
      <c r="AW43" s="46">
        <f t="shared" si="7"/>
        <v>3.25</v>
      </c>
      <c r="AX43" s="45"/>
      <c r="AY43" s="45"/>
      <c r="AZ43" s="45"/>
      <c r="BA43" s="45"/>
      <c r="BB43" s="46">
        <f t="shared" si="8"/>
        <v>0</v>
      </c>
      <c r="BC43" s="45">
        <v>4</v>
      </c>
      <c r="BD43" s="45">
        <v>4</v>
      </c>
      <c r="BE43" s="45">
        <v>1</v>
      </c>
      <c r="BF43" s="45">
        <v>1</v>
      </c>
      <c r="BG43" s="47">
        <f t="shared" si="9"/>
        <v>2.5</v>
      </c>
      <c r="BH43" s="45"/>
      <c r="BI43" s="45"/>
      <c r="BJ43" s="45"/>
      <c r="BK43" s="45"/>
      <c r="BL43" s="45"/>
      <c r="BM43" s="45"/>
      <c r="BN43" s="45"/>
      <c r="BO43" s="45"/>
      <c r="BP43" s="45"/>
      <c r="BQ43" s="46">
        <f t="shared" si="11"/>
        <v>0</v>
      </c>
      <c r="BR43" s="45"/>
      <c r="BS43" s="45"/>
      <c r="BT43" s="45"/>
      <c r="BU43" s="45"/>
      <c r="BV43" s="46">
        <f t="shared" si="12"/>
        <v>0</v>
      </c>
      <c r="BW43" s="45"/>
      <c r="BX43" s="45"/>
      <c r="BY43" s="45"/>
      <c r="BZ43" s="45"/>
      <c r="CA43" s="46">
        <f t="shared" si="13"/>
        <v>0</v>
      </c>
      <c r="CB43" s="291"/>
      <c r="CC43" s="291"/>
      <c r="CD43" s="291"/>
      <c r="CE43" s="291"/>
      <c r="CF43" s="291"/>
      <c r="CG43" s="291"/>
      <c r="CH43" s="291"/>
      <c r="CI43" s="291"/>
      <c r="CJ43" s="291"/>
      <c r="CK43" s="291"/>
    </row>
    <row r="44" spans="1:89" ht="200.25">
      <c r="A44" s="319">
        <v>5</v>
      </c>
      <c r="B44" s="324">
        <f t="shared" si="14"/>
        <v>41</v>
      </c>
      <c r="C44" s="325" t="s">
        <v>4591</v>
      </c>
      <c r="D44" s="325" t="s">
        <v>4840</v>
      </c>
      <c r="E44" s="326" t="s">
        <v>5061</v>
      </c>
      <c r="F44" s="327" t="s">
        <v>5062</v>
      </c>
      <c r="G44" s="328" t="s">
        <v>5063</v>
      </c>
      <c r="H44" s="262" t="s">
        <v>5064</v>
      </c>
      <c r="I44" s="329" t="s">
        <v>5065</v>
      </c>
      <c r="J44" s="262" t="s">
        <v>3575</v>
      </c>
      <c r="K44" s="303"/>
      <c r="L44" s="304" t="e">
        <f>INDEX([1]Timeline!$E$10:$E$24,MATCH(A44,[1]Timeline!$C$10:$C$24,0))</f>
        <v>#N/A</v>
      </c>
      <c r="M44" s="305">
        <v>45291</v>
      </c>
      <c r="N44" s="120">
        <v>407160</v>
      </c>
      <c r="O44" s="120" t="e">
        <f t="shared" si="0"/>
        <v>#N/A</v>
      </c>
      <c r="P44" s="120" t="e">
        <f t="shared" si="1"/>
        <v>#N/A</v>
      </c>
      <c r="Q44" s="120">
        <f>V44*0.49</f>
        <v>16.625699999999998</v>
      </c>
      <c r="R44" s="120" t="e">
        <f t="shared" si="15"/>
        <v>#N/A</v>
      </c>
      <c r="S44" s="120" t="e">
        <f t="shared" si="16"/>
        <v>#N/A</v>
      </c>
      <c r="T44" s="120" t="s">
        <v>5066</v>
      </c>
      <c r="U44" s="120" t="s">
        <v>5066</v>
      </c>
      <c r="V44" s="120">
        <v>33.93</v>
      </c>
      <c r="W44" s="120" t="s">
        <v>5067</v>
      </c>
      <c r="X44" s="120"/>
      <c r="Y44" s="120" t="s">
        <v>4220</v>
      </c>
      <c r="Z44" s="120">
        <v>1</v>
      </c>
      <c r="AA44" s="120">
        <v>1</v>
      </c>
      <c r="AB44" s="306">
        <f>N44/Z44</f>
        <v>407160</v>
      </c>
      <c r="AC44" s="306" t="e">
        <f t="shared" si="2"/>
        <v>#N/A</v>
      </c>
      <c r="AD44" s="306" t="e">
        <f t="shared" si="3"/>
        <v>#N/A</v>
      </c>
      <c r="AE44" s="262">
        <v>1</v>
      </c>
      <c r="AF44" s="267" t="e">
        <f t="shared" si="4"/>
        <v>#DIV/0!</v>
      </c>
      <c r="AG44" s="267" t="e">
        <f t="shared" si="17"/>
        <v>#DIV/0!</v>
      </c>
      <c r="AH44" s="267" t="e">
        <f t="shared" si="18"/>
        <v>#DIV/0!</v>
      </c>
      <c r="AI44" s="262"/>
      <c r="AJ44" s="262"/>
      <c r="AK44" s="262"/>
      <c r="AL44" s="262"/>
      <c r="AM44" s="307">
        <f t="shared" si="5"/>
        <v>0</v>
      </c>
      <c r="AN44" s="262"/>
      <c r="AO44" s="262"/>
      <c r="AP44" s="262"/>
      <c r="AQ44" s="262"/>
      <c r="AR44" s="308">
        <f t="shared" si="6"/>
        <v>0</v>
      </c>
      <c r="AS44" s="328"/>
      <c r="AT44" s="262"/>
      <c r="AU44" s="262"/>
      <c r="AV44" s="262"/>
      <c r="AW44" s="307">
        <f t="shared" si="7"/>
        <v>0</v>
      </c>
      <c r="AX44" s="262"/>
      <c r="AY44" s="262"/>
      <c r="AZ44" s="262"/>
      <c r="BA44" s="262"/>
      <c r="BB44" s="307">
        <f t="shared" si="8"/>
        <v>0</v>
      </c>
      <c r="BC44" s="262"/>
      <c r="BD44" s="262"/>
      <c r="BE44" s="262"/>
      <c r="BF44" s="262"/>
      <c r="BG44" s="307">
        <f t="shared" si="9"/>
        <v>0</v>
      </c>
      <c r="BH44" s="262"/>
      <c r="BI44" s="262"/>
      <c r="BJ44" s="262"/>
      <c r="BK44" s="262"/>
      <c r="BL44" s="307">
        <f>IFERROR(SUM(BH44:BK44)/4,0)</f>
        <v>0</v>
      </c>
      <c r="BM44" s="262"/>
      <c r="BN44" s="262"/>
      <c r="BO44" s="262"/>
      <c r="BP44" s="262"/>
      <c r="BQ44" s="307">
        <f t="shared" si="11"/>
        <v>0</v>
      </c>
      <c r="BR44" s="262"/>
      <c r="BS44" s="262"/>
      <c r="BT44" s="262"/>
      <c r="BU44" s="262"/>
      <c r="BV44" s="307">
        <f t="shared" si="12"/>
        <v>0</v>
      </c>
      <c r="BW44" s="262"/>
      <c r="BX44" s="262"/>
      <c r="BY44" s="262"/>
      <c r="BZ44" s="262"/>
      <c r="CA44" s="307">
        <f t="shared" si="13"/>
        <v>0</v>
      </c>
      <c r="CB44" s="291"/>
      <c r="CC44" s="291"/>
      <c r="CD44" s="291"/>
      <c r="CE44" s="291"/>
      <c r="CF44" s="291"/>
      <c r="CG44" s="291"/>
      <c r="CH44" s="291"/>
      <c r="CI44" s="291"/>
      <c r="CJ44" s="291"/>
      <c r="CK44" s="291"/>
    </row>
    <row r="45" spans="1:89" ht="91.5">
      <c r="A45" s="291">
        <v>2</v>
      </c>
      <c r="B45" s="322">
        <f t="shared" si="14"/>
        <v>42</v>
      </c>
      <c r="C45" s="312" t="s">
        <v>5068</v>
      </c>
      <c r="D45" s="296" t="s">
        <v>3871</v>
      </c>
      <c r="E45" s="330" t="s">
        <v>5069</v>
      </c>
      <c r="F45" s="330" t="s">
        <v>5070</v>
      </c>
      <c r="G45" s="331" t="s">
        <v>5071</v>
      </c>
      <c r="H45" s="74" t="s">
        <v>5072</v>
      </c>
      <c r="I45" s="318" t="s">
        <v>5073</v>
      </c>
      <c r="J45" s="45" t="s">
        <v>3575</v>
      </c>
      <c r="K45" s="53"/>
      <c r="L45" s="54" t="e">
        <f>INDEX([1]Timeline!$E$10:$E$24,MATCH(A45,[1]Timeline!$C$10:$C$24,0))</f>
        <v>#N/A</v>
      </c>
      <c r="M45" s="55">
        <v>45291</v>
      </c>
      <c r="N45" s="56">
        <v>303840</v>
      </c>
      <c r="O45" s="57" t="e">
        <f t="shared" si="0"/>
        <v>#N/A</v>
      </c>
      <c r="P45" s="56" t="e">
        <f t="shared" si="1"/>
        <v>#N/A</v>
      </c>
      <c r="Q45" s="56">
        <f>(1.56-0.78)*V45/(10^9)*739.4</f>
        <v>1.095214068E-2</v>
      </c>
      <c r="R45" s="57" t="e">
        <f t="shared" si="15"/>
        <v>#N/A</v>
      </c>
      <c r="S45" s="56" t="e">
        <f t="shared" si="16"/>
        <v>#N/A</v>
      </c>
      <c r="T45" s="56" t="s">
        <v>4991</v>
      </c>
      <c r="U45" s="56" t="s">
        <v>4991</v>
      </c>
      <c r="V45" s="56">
        <v>18990</v>
      </c>
      <c r="W45" s="56" t="s">
        <v>4992</v>
      </c>
      <c r="X45" s="56"/>
      <c r="Y45" s="56" t="s">
        <v>3871</v>
      </c>
      <c r="Z45" s="56">
        <v>1</v>
      </c>
      <c r="AA45" s="56">
        <v>1</v>
      </c>
      <c r="AB45" s="58">
        <f>N45/Z45</f>
        <v>303840</v>
      </c>
      <c r="AC45" s="58" t="e">
        <f t="shared" si="2"/>
        <v>#N/A</v>
      </c>
      <c r="AD45" s="58" t="e">
        <f t="shared" si="3"/>
        <v>#N/A</v>
      </c>
      <c r="AE45" s="45">
        <v>1</v>
      </c>
      <c r="AF45" s="59">
        <f t="shared" si="4"/>
        <v>2.3333333333333335</v>
      </c>
      <c r="AG45" s="59">
        <f t="shared" si="17"/>
        <v>2.8333333333333335</v>
      </c>
      <c r="AH45" s="60">
        <f t="shared" si="18"/>
        <v>1.8333333333333333</v>
      </c>
      <c r="AI45" s="45"/>
      <c r="AJ45" s="45"/>
      <c r="AK45" s="45"/>
      <c r="AL45" s="45"/>
      <c r="AM45" s="46">
        <f t="shared" si="5"/>
        <v>0</v>
      </c>
      <c r="AN45" s="45">
        <v>3</v>
      </c>
      <c r="AO45" s="45">
        <v>3</v>
      </c>
      <c r="AP45" s="45">
        <v>2</v>
      </c>
      <c r="AQ45" s="45">
        <v>2</v>
      </c>
      <c r="AR45" s="61">
        <f t="shared" si="6"/>
        <v>2.5</v>
      </c>
      <c r="AS45" s="103">
        <v>3</v>
      </c>
      <c r="AT45" s="102">
        <v>2</v>
      </c>
      <c r="AU45" s="102">
        <v>2</v>
      </c>
      <c r="AV45" s="102">
        <v>1</v>
      </c>
      <c r="AW45" s="46">
        <f t="shared" si="7"/>
        <v>2</v>
      </c>
      <c r="AX45" s="45">
        <v>3</v>
      </c>
      <c r="AY45" s="45">
        <v>3</v>
      </c>
      <c r="AZ45" s="45">
        <v>2</v>
      </c>
      <c r="BA45" s="45">
        <v>2</v>
      </c>
      <c r="BB45" s="46">
        <f t="shared" si="8"/>
        <v>2.5</v>
      </c>
      <c r="BC45" s="45"/>
      <c r="BD45" s="45"/>
      <c r="BE45" s="45"/>
      <c r="BF45" s="45"/>
      <c r="BG45" s="47">
        <f t="shared" si="9"/>
        <v>0</v>
      </c>
      <c r="BH45" s="45"/>
      <c r="BI45" s="45"/>
      <c r="BJ45" s="45"/>
      <c r="BK45" s="45"/>
      <c r="BL45" s="46">
        <f>IFERROR(SUM(BH45:BK45)/4,0)</f>
        <v>0</v>
      </c>
      <c r="BM45" s="45"/>
      <c r="BN45" s="45"/>
      <c r="BO45" s="45"/>
      <c r="BP45" s="45"/>
      <c r="BQ45" s="46">
        <f t="shared" si="11"/>
        <v>0</v>
      </c>
      <c r="BR45" s="45"/>
      <c r="BS45" s="45"/>
      <c r="BT45" s="45"/>
      <c r="BU45" s="45"/>
      <c r="BV45" s="46">
        <f t="shared" si="12"/>
        <v>0</v>
      </c>
      <c r="BW45" s="45"/>
      <c r="BX45" s="45"/>
      <c r="BY45" s="45"/>
      <c r="BZ45" s="45"/>
      <c r="CA45" s="46">
        <f t="shared" si="13"/>
        <v>0</v>
      </c>
      <c r="CB45" s="291"/>
      <c r="CC45" s="291"/>
      <c r="CD45" s="291"/>
      <c r="CE45" s="291"/>
      <c r="CF45" s="291"/>
      <c r="CG45" s="291"/>
      <c r="CH45" s="291"/>
      <c r="CI45" s="291"/>
      <c r="CJ45" s="291"/>
      <c r="CK45" s="291"/>
    </row>
    <row r="46" spans="1:89" ht="137.25">
      <c r="A46" s="291">
        <v>11</v>
      </c>
      <c r="B46" s="322">
        <f t="shared" si="14"/>
        <v>43</v>
      </c>
      <c r="C46" s="312" t="s">
        <v>4654</v>
      </c>
      <c r="D46" s="296" t="s">
        <v>3871</v>
      </c>
      <c r="E46" s="296" t="s">
        <v>5074</v>
      </c>
      <c r="F46" s="296" t="s">
        <v>5075</v>
      </c>
      <c r="G46" s="64" t="s">
        <v>5076</v>
      </c>
      <c r="H46" s="45" t="s">
        <v>5077</v>
      </c>
      <c r="I46" s="318" t="s">
        <v>5078</v>
      </c>
      <c r="J46" s="45" t="s">
        <v>3575</v>
      </c>
      <c r="K46" s="53"/>
      <c r="L46" s="54" t="e">
        <f>INDEX([1]Timeline!$E$10:$E$24,MATCH(A46,[1]Timeline!$C$10:$C$24,0))</f>
        <v>#N/A</v>
      </c>
      <c r="M46" s="55">
        <v>45291</v>
      </c>
      <c r="N46" s="56">
        <v>3920266.666666667</v>
      </c>
      <c r="O46" s="57" t="e">
        <f t="shared" si="0"/>
        <v>#N/A</v>
      </c>
      <c r="P46" s="56" t="e">
        <f t="shared" si="1"/>
        <v>#N/A</v>
      </c>
      <c r="Q46" s="56">
        <v>39.866219999999998</v>
      </c>
      <c r="R46" s="57" t="e">
        <f t="shared" si="15"/>
        <v>#N/A</v>
      </c>
      <c r="S46" s="56" t="e">
        <f t="shared" si="16"/>
        <v>#N/A</v>
      </c>
      <c r="T46" s="56" t="s">
        <v>4991</v>
      </c>
      <c r="U46" s="56" t="s">
        <v>5079</v>
      </c>
      <c r="V46" s="56">
        <v>36210</v>
      </c>
      <c r="W46" s="56" t="s">
        <v>4992</v>
      </c>
      <c r="X46" s="56"/>
      <c r="Y46" s="56" t="s">
        <v>3871</v>
      </c>
      <c r="Z46" s="56">
        <v>1</v>
      </c>
      <c r="AA46" s="56">
        <v>1</v>
      </c>
      <c r="AB46" s="58">
        <f>N46/1</f>
        <v>3920266.666666667</v>
      </c>
      <c r="AC46" s="58" t="e">
        <f t="shared" si="2"/>
        <v>#N/A</v>
      </c>
      <c r="AD46" s="58" t="e">
        <f t="shared" si="3"/>
        <v>#N/A</v>
      </c>
      <c r="AE46" s="45">
        <v>1</v>
      </c>
      <c r="AF46" s="59">
        <f t="shared" si="4"/>
        <v>3</v>
      </c>
      <c r="AG46" s="59">
        <f t="shared" si="17"/>
        <v>3.5833333333333335</v>
      </c>
      <c r="AH46" s="60">
        <f t="shared" si="18"/>
        <v>2.4166666666666665</v>
      </c>
      <c r="AI46" s="45">
        <v>3</v>
      </c>
      <c r="AJ46" s="45">
        <v>3</v>
      </c>
      <c r="AK46" s="45">
        <v>2</v>
      </c>
      <c r="AL46" s="45">
        <v>1</v>
      </c>
      <c r="AM46" s="46">
        <f t="shared" si="5"/>
        <v>2.25</v>
      </c>
      <c r="AN46" s="45">
        <v>3</v>
      </c>
      <c r="AO46" s="45">
        <v>3</v>
      </c>
      <c r="AP46" s="45">
        <v>2</v>
      </c>
      <c r="AQ46" s="96">
        <v>2</v>
      </c>
      <c r="AR46" s="61">
        <f t="shared" si="6"/>
        <v>2.5</v>
      </c>
      <c r="AS46" s="64"/>
      <c r="AT46" s="45"/>
      <c r="AU46" s="45"/>
      <c r="AV46" s="45"/>
      <c r="AW46" s="46">
        <f t="shared" si="7"/>
        <v>0</v>
      </c>
      <c r="AX46" s="45"/>
      <c r="AY46" s="45"/>
      <c r="AZ46" s="45"/>
      <c r="BA46" s="45"/>
      <c r="BB46" s="46">
        <f t="shared" si="8"/>
        <v>0</v>
      </c>
      <c r="BC46" s="45">
        <v>4</v>
      </c>
      <c r="BD46" s="45">
        <v>4</v>
      </c>
      <c r="BE46" s="45">
        <v>2</v>
      </c>
      <c r="BF46" s="45">
        <v>3</v>
      </c>
      <c r="BG46" s="47">
        <f t="shared" si="9"/>
        <v>3.25</v>
      </c>
      <c r="BH46" s="45">
        <v>4</v>
      </c>
      <c r="BI46" s="45">
        <v>3</v>
      </c>
      <c r="BJ46" s="45">
        <v>2</v>
      </c>
      <c r="BK46" s="45">
        <v>2</v>
      </c>
      <c r="BL46" s="46">
        <f>IFERROR(SUM(BH46:BK46)/4,0)</f>
        <v>2.75</v>
      </c>
      <c r="BM46" s="45">
        <v>4</v>
      </c>
      <c r="BN46" s="45">
        <v>4</v>
      </c>
      <c r="BO46" s="45">
        <v>3</v>
      </c>
      <c r="BP46" s="45">
        <v>4</v>
      </c>
      <c r="BQ46" s="46">
        <f t="shared" si="11"/>
        <v>3.75</v>
      </c>
      <c r="BR46" s="45">
        <v>4</v>
      </c>
      <c r="BS46" s="45">
        <v>4</v>
      </c>
      <c r="BT46" s="45">
        <v>2</v>
      </c>
      <c r="BU46" s="45">
        <v>4</v>
      </c>
      <c r="BV46" s="46">
        <f t="shared" si="12"/>
        <v>3.5</v>
      </c>
      <c r="BW46" s="45"/>
      <c r="BX46" s="45"/>
      <c r="BY46" s="45"/>
      <c r="BZ46" s="45"/>
      <c r="CA46" s="46">
        <f t="shared" si="13"/>
        <v>0</v>
      </c>
      <c r="CB46" s="291"/>
      <c r="CC46" s="291"/>
      <c r="CD46" s="291"/>
      <c r="CE46" s="291"/>
      <c r="CF46" s="291"/>
      <c r="CG46" s="291"/>
      <c r="CH46" s="291"/>
      <c r="CI46" s="291"/>
      <c r="CJ46" s="291"/>
      <c r="CK46" s="291"/>
    </row>
    <row r="47" spans="1:89" s="314" customFormat="1" ht="137.25">
      <c r="A47" s="319">
        <v>5</v>
      </c>
      <c r="B47" s="324">
        <f t="shared" si="14"/>
        <v>44</v>
      </c>
      <c r="C47" s="325" t="s">
        <v>3457</v>
      </c>
      <c r="D47" s="325" t="s">
        <v>5080</v>
      </c>
      <c r="E47" s="319" t="s">
        <v>5081</v>
      </c>
      <c r="F47" s="319" t="s">
        <v>5082</v>
      </c>
      <c r="G47" s="328" t="s">
        <v>5083</v>
      </c>
      <c r="H47" s="262" t="s">
        <v>5084</v>
      </c>
      <c r="I47" s="332" t="s">
        <v>5085</v>
      </c>
      <c r="J47" s="262" t="s">
        <v>3575</v>
      </c>
      <c r="K47" s="303"/>
      <c r="L47" s="304" t="e">
        <f>INDEX([1]Timeline!$E$10:$E$24,MATCH(A47,[1]Timeline!$C$10:$C$24,0))</f>
        <v>#N/A</v>
      </c>
      <c r="M47" s="305">
        <v>45291</v>
      </c>
      <c r="N47" s="120">
        <v>134666</v>
      </c>
      <c r="O47" s="120" t="e">
        <f t="shared" si="0"/>
        <v>#N/A</v>
      </c>
      <c r="P47" s="120" t="e">
        <f t="shared" si="1"/>
        <v>#N/A</v>
      </c>
      <c r="Q47" s="120"/>
      <c r="R47" s="120" t="e">
        <f t="shared" si="15"/>
        <v>#N/A</v>
      </c>
      <c r="S47" s="120" t="e">
        <f t="shared" si="16"/>
        <v>#N/A</v>
      </c>
      <c r="T47" s="120"/>
      <c r="U47" s="120"/>
      <c r="V47" s="120"/>
      <c r="W47" s="120"/>
      <c r="X47" s="120"/>
      <c r="Y47" s="120" t="s">
        <v>4082</v>
      </c>
      <c r="Z47" s="120">
        <v>1</v>
      </c>
      <c r="AA47" s="120">
        <v>1</v>
      </c>
      <c r="AB47" s="306">
        <f>N47/Z47</f>
        <v>134666</v>
      </c>
      <c r="AC47" s="306" t="e">
        <f t="shared" si="2"/>
        <v>#N/A</v>
      </c>
      <c r="AD47" s="306" t="e">
        <f t="shared" si="3"/>
        <v>#N/A</v>
      </c>
      <c r="AE47" s="262">
        <v>1</v>
      </c>
      <c r="AF47" s="267" t="e">
        <f t="shared" si="4"/>
        <v>#DIV/0!</v>
      </c>
      <c r="AG47" s="267" t="e">
        <f t="shared" si="17"/>
        <v>#DIV/0!</v>
      </c>
      <c r="AH47" s="267" t="e">
        <f t="shared" si="18"/>
        <v>#DIV/0!</v>
      </c>
      <c r="AI47" s="262"/>
      <c r="AJ47" s="262"/>
      <c r="AK47" s="262"/>
      <c r="AL47" s="262"/>
      <c r="AM47" s="307">
        <f t="shared" si="5"/>
        <v>0</v>
      </c>
      <c r="AN47" s="262"/>
      <c r="AO47" s="262"/>
      <c r="AP47" s="262"/>
      <c r="AQ47" s="262"/>
      <c r="AR47" s="308">
        <f t="shared" si="6"/>
        <v>0</v>
      </c>
      <c r="AS47" s="328"/>
      <c r="AT47" s="262"/>
      <c r="AU47" s="262"/>
      <c r="AV47" s="262"/>
      <c r="AW47" s="307">
        <f t="shared" si="7"/>
        <v>0</v>
      </c>
      <c r="AX47" s="262"/>
      <c r="AY47" s="262"/>
      <c r="AZ47" s="262"/>
      <c r="BA47" s="262"/>
      <c r="BB47" s="307">
        <f t="shared" si="8"/>
        <v>0</v>
      </c>
      <c r="BC47" s="262"/>
      <c r="BD47" s="262"/>
      <c r="BE47" s="262"/>
      <c r="BF47" s="262"/>
      <c r="BG47" s="307">
        <f t="shared" si="9"/>
        <v>0</v>
      </c>
      <c r="BH47" s="262"/>
      <c r="BI47" s="262"/>
      <c r="BJ47" s="262"/>
      <c r="BK47" s="262"/>
      <c r="BL47" s="307">
        <f>IFERROR(SUM(BH47:BK47)/4,0)</f>
        <v>0</v>
      </c>
      <c r="BM47" s="262"/>
      <c r="BN47" s="262"/>
      <c r="BO47" s="262"/>
      <c r="BP47" s="262"/>
      <c r="BQ47" s="307">
        <f t="shared" si="11"/>
        <v>0</v>
      </c>
      <c r="BR47" s="262"/>
      <c r="BS47" s="262"/>
      <c r="BT47" s="262"/>
      <c r="BU47" s="262"/>
      <c r="BV47" s="307">
        <f t="shared" si="12"/>
        <v>0</v>
      </c>
      <c r="BW47" s="262"/>
      <c r="BX47" s="262"/>
      <c r="BY47" s="262"/>
      <c r="BZ47" s="262"/>
      <c r="CA47" s="307">
        <f t="shared" si="13"/>
        <v>0</v>
      </c>
      <c r="CB47" s="319"/>
      <c r="CC47" s="319"/>
      <c r="CD47" s="319"/>
      <c r="CE47" s="319"/>
      <c r="CF47" s="319"/>
      <c r="CG47" s="319"/>
      <c r="CH47" s="319"/>
      <c r="CI47" s="319"/>
      <c r="CJ47" s="319"/>
      <c r="CK47" s="319"/>
    </row>
    <row r="48" spans="1:89" s="314" customFormat="1" ht="91.5">
      <c r="A48" s="291">
        <v>7</v>
      </c>
      <c r="B48" s="322">
        <f t="shared" si="14"/>
        <v>45</v>
      </c>
      <c r="C48" s="91" t="s">
        <v>5086</v>
      </c>
      <c r="D48" s="91" t="s">
        <v>5087</v>
      </c>
      <c r="E48" s="92" t="s">
        <v>5088</v>
      </c>
      <c r="F48" s="91" t="s">
        <v>5089</v>
      </c>
      <c r="G48" s="64" t="s">
        <v>5090</v>
      </c>
      <c r="H48" s="45" t="s">
        <v>5091</v>
      </c>
      <c r="I48" s="318" t="s">
        <v>5092</v>
      </c>
      <c r="J48" s="45" t="s">
        <v>3575</v>
      </c>
      <c r="K48" s="53"/>
      <c r="L48" s="54" t="e">
        <f>INDEX([1]Timeline!$E$10:$E$24,MATCH(A48,[1]Timeline!$C$10:$C$24,0))</f>
        <v>#N/A</v>
      </c>
      <c r="M48" s="55">
        <v>45291</v>
      </c>
      <c r="N48" s="56">
        <v>612089</v>
      </c>
      <c r="O48" s="57" t="e">
        <f t="shared" si="0"/>
        <v>#N/A</v>
      </c>
      <c r="P48" s="56" t="e">
        <f t="shared" si="1"/>
        <v>#N/A</v>
      </c>
      <c r="Q48" s="56">
        <f>V48*0.055/8*0.87</f>
        <v>9.1513125000000001E-2</v>
      </c>
      <c r="R48" s="57" t="e">
        <f t="shared" si="15"/>
        <v>#N/A</v>
      </c>
      <c r="S48" s="56" t="e">
        <f t="shared" si="16"/>
        <v>#N/A</v>
      </c>
      <c r="T48" s="56" t="s">
        <v>4940</v>
      </c>
      <c r="U48" s="56" t="s">
        <v>4941</v>
      </c>
      <c r="V48" s="56">
        <v>15.3</v>
      </c>
      <c r="W48" s="56" t="s">
        <v>4959</v>
      </c>
      <c r="X48" s="56">
        <f>V48*0.055/8</f>
        <v>0.1051875</v>
      </c>
      <c r="Y48" s="56" t="s">
        <v>2817</v>
      </c>
      <c r="Z48" s="56">
        <v>1</v>
      </c>
      <c r="AA48" s="56">
        <v>1</v>
      </c>
      <c r="AB48" s="58">
        <f>N48/1</f>
        <v>612089</v>
      </c>
      <c r="AC48" s="58" t="e">
        <f t="shared" si="2"/>
        <v>#N/A</v>
      </c>
      <c r="AD48" s="58" t="e">
        <f t="shared" si="3"/>
        <v>#N/A</v>
      </c>
      <c r="AE48" s="45">
        <v>1</v>
      </c>
      <c r="AF48" s="59">
        <f t="shared" si="4"/>
        <v>2.875</v>
      </c>
      <c r="AG48" s="59">
        <f t="shared" si="17"/>
        <v>3.25</v>
      </c>
      <c r="AH48" s="60">
        <f t="shared" si="18"/>
        <v>2.5</v>
      </c>
      <c r="AI48" s="45"/>
      <c r="AJ48" s="45"/>
      <c r="AK48" s="45"/>
      <c r="AL48" s="45"/>
      <c r="AM48" s="46">
        <f t="shared" si="5"/>
        <v>0</v>
      </c>
      <c r="AN48" s="45"/>
      <c r="AO48" s="96"/>
      <c r="AP48" s="45"/>
      <c r="AQ48" s="45"/>
      <c r="AR48" s="61">
        <f t="shared" si="6"/>
        <v>0</v>
      </c>
      <c r="AS48" s="64">
        <v>4</v>
      </c>
      <c r="AT48" s="45">
        <v>3</v>
      </c>
      <c r="AU48" s="45">
        <v>3</v>
      </c>
      <c r="AV48" s="45">
        <v>3</v>
      </c>
      <c r="AW48" s="46">
        <f t="shared" si="7"/>
        <v>3.25</v>
      </c>
      <c r="AX48" s="45"/>
      <c r="AY48" s="45"/>
      <c r="AZ48" s="45"/>
      <c r="BA48" s="45"/>
      <c r="BB48" s="46">
        <f t="shared" si="8"/>
        <v>0</v>
      </c>
      <c r="BC48" s="45">
        <v>3</v>
      </c>
      <c r="BD48" s="45">
        <v>3</v>
      </c>
      <c r="BE48" s="45">
        <v>1</v>
      </c>
      <c r="BF48" s="45">
        <v>3</v>
      </c>
      <c r="BG48" s="47">
        <f t="shared" si="9"/>
        <v>2.5</v>
      </c>
      <c r="BH48" s="45"/>
      <c r="BI48" s="45"/>
      <c r="BJ48" s="45"/>
      <c r="BK48" s="45"/>
      <c r="BL48" s="45"/>
      <c r="BM48" s="45"/>
      <c r="BN48" s="45"/>
      <c r="BO48" s="45"/>
      <c r="BP48" s="45"/>
      <c r="BQ48" s="46">
        <f t="shared" si="11"/>
        <v>0</v>
      </c>
      <c r="BR48" s="45"/>
      <c r="BS48" s="45"/>
      <c r="BT48" s="45"/>
      <c r="BU48" s="45"/>
      <c r="BV48" s="46">
        <f t="shared" si="12"/>
        <v>0</v>
      </c>
      <c r="BW48" s="45"/>
      <c r="BX48" s="45"/>
      <c r="BY48" s="45"/>
      <c r="BZ48" s="45"/>
      <c r="CA48" s="46">
        <f t="shared" si="13"/>
        <v>0</v>
      </c>
      <c r="CB48" s="319"/>
      <c r="CC48" s="319"/>
      <c r="CD48" s="319"/>
      <c r="CE48" s="319"/>
      <c r="CF48" s="319"/>
      <c r="CG48" s="319"/>
      <c r="CH48" s="319"/>
      <c r="CI48" s="319"/>
      <c r="CJ48" s="319"/>
      <c r="CK48" s="319"/>
    </row>
    <row r="49" spans="1:89" ht="336">
      <c r="A49" s="291">
        <v>1</v>
      </c>
      <c r="B49" s="322">
        <f t="shared" si="14"/>
        <v>46</v>
      </c>
      <c r="C49" s="312" t="s">
        <v>4857</v>
      </c>
      <c r="D49" s="296" t="s">
        <v>5093</v>
      </c>
      <c r="E49" s="296" t="s">
        <v>5094</v>
      </c>
      <c r="F49" s="296" t="s">
        <v>5095</v>
      </c>
      <c r="G49" s="64" t="s">
        <v>5096</v>
      </c>
      <c r="H49" s="45" t="s">
        <v>5097</v>
      </c>
      <c r="I49" s="318" t="s">
        <v>5098</v>
      </c>
      <c r="J49" s="45" t="s">
        <v>3575</v>
      </c>
      <c r="K49" s="53"/>
      <c r="L49" s="54" t="e">
        <f>INDEX([1]Timeline!$E$10:$E$24,MATCH(A49,[1]Timeline!$C$10:$C$24,0))</f>
        <v>#N/A</v>
      </c>
      <c r="M49" s="55">
        <v>45291</v>
      </c>
      <c r="N49" s="56">
        <v>4740750</v>
      </c>
      <c r="O49" s="57" t="e">
        <f t="shared" si="0"/>
        <v>#N/A</v>
      </c>
      <c r="P49" s="56" t="e">
        <f t="shared" si="1"/>
        <v>#N/A</v>
      </c>
      <c r="Q49" s="56">
        <f>V49*0.055/8*0.87</f>
        <v>0.81016031249999987</v>
      </c>
      <c r="R49" s="57" t="e">
        <f t="shared" si="15"/>
        <v>#N/A</v>
      </c>
      <c r="S49" s="56" t="e">
        <f t="shared" si="16"/>
        <v>#N/A</v>
      </c>
      <c r="T49" s="56" t="s">
        <v>4940</v>
      </c>
      <c r="U49" s="56" t="s">
        <v>4941</v>
      </c>
      <c r="V49" s="56">
        <f>126*129/3600*30</f>
        <v>135.44999999999999</v>
      </c>
      <c r="W49" s="56" t="s">
        <v>4959</v>
      </c>
      <c r="X49" s="56">
        <f>V49*0.055/8</f>
        <v>0.93121874999999987</v>
      </c>
      <c r="Y49" s="56" t="s">
        <v>2773</v>
      </c>
      <c r="Z49" s="56">
        <v>1</v>
      </c>
      <c r="AA49" s="56">
        <v>1</v>
      </c>
      <c r="AB49" s="58">
        <f>N49/Z49</f>
        <v>4740750</v>
      </c>
      <c r="AC49" s="58" t="e">
        <f t="shared" si="2"/>
        <v>#N/A</v>
      </c>
      <c r="AD49" s="58" t="e">
        <f t="shared" si="3"/>
        <v>#N/A</v>
      </c>
      <c r="AE49" s="45">
        <v>1</v>
      </c>
      <c r="AF49" s="59">
        <f t="shared" si="4"/>
        <v>2.8125</v>
      </c>
      <c r="AG49" s="59">
        <f t="shared" si="17"/>
        <v>3.5</v>
      </c>
      <c r="AH49" s="60">
        <f t="shared" si="18"/>
        <v>2.125</v>
      </c>
      <c r="AI49" s="45"/>
      <c r="AJ49" s="45"/>
      <c r="AK49" s="45"/>
      <c r="AL49" s="45"/>
      <c r="AM49" s="46">
        <f t="shared" si="5"/>
        <v>0</v>
      </c>
      <c r="AN49" s="45">
        <v>4</v>
      </c>
      <c r="AO49" s="45">
        <v>3</v>
      </c>
      <c r="AP49" s="45">
        <v>2</v>
      </c>
      <c r="AQ49" s="45">
        <v>2</v>
      </c>
      <c r="AR49" s="61">
        <f t="shared" si="6"/>
        <v>2.75</v>
      </c>
      <c r="AS49" s="103">
        <v>4</v>
      </c>
      <c r="AT49" s="102">
        <v>4</v>
      </c>
      <c r="AU49" s="102">
        <v>1</v>
      </c>
      <c r="AV49" s="102">
        <v>2</v>
      </c>
      <c r="AW49" s="46">
        <f t="shared" si="7"/>
        <v>2.75</v>
      </c>
      <c r="AX49" s="45">
        <v>4</v>
      </c>
      <c r="AY49" s="45">
        <v>3</v>
      </c>
      <c r="AZ49" s="45">
        <v>2</v>
      </c>
      <c r="BA49" s="45">
        <v>2</v>
      </c>
      <c r="BB49" s="46">
        <f t="shared" si="8"/>
        <v>2.75</v>
      </c>
      <c r="BC49" s="45"/>
      <c r="BD49" s="45"/>
      <c r="BE49" s="45"/>
      <c r="BF49" s="45"/>
      <c r="BG49" s="47">
        <f t="shared" si="9"/>
        <v>0</v>
      </c>
      <c r="BH49" s="45"/>
      <c r="BI49" s="45"/>
      <c r="BJ49" s="45"/>
      <c r="BK49" s="45"/>
      <c r="BL49" s="46">
        <f t="shared" ref="BL49:BL58" si="21">IFERROR(SUM(BH49:BK49)/4,0)</f>
        <v>0</v>
      </c>
      <c r="BM49" s="45">
        <v>3</v>
      </c>
      <c r="BN49" s="45">
        <v>3</v>
      </c>
      <c r="BO49" s="45">
        <v>3</v>
      </c>
      <c r="BP49" s="45">
        <v>3</v>
      </c>
      <c r="BQ49" s="46">
        <f t="shared" si="11"/>
        <v>3</v>
      </c>
      <c r="BR49" s="45"/>
      <c r="BS49" s="45"/>
      <c r="BT49" s="45"/>
      <c r="BU49" s="45"/>
      <c r="BV49" s="46">
        <f t="shared" si="12"/>
        <v>0</v>
      </c>
      <c r="BW49" s="45"/>
      <c r="BX49" s="45"/>
      <c r="BY49" s="45"/>
      <c r="BZ49" s="45"/>
      <c r="CA49" s="46">
        <f t="shared" si="13"/>
        <v>0</v>
      </c>
      <c r="CB49" s="291"/>
      <c r="CC49" s="291"/>
      <c r="CD49" s="291"/>
      <c r="CE49" s="291"/>
      <c r="CF49" s="291"/>
      <c r="CG49" s="291"/>
      <c r="CH49" s="291"/>
      <c r="CI49" s="291"/>
      <c r="CJ49" s="291"/>
      <c r="CK49" s="291"/>
    </row>
    <row r="50" spans="1:89" ht="91.5">
      <c r="A50" s="291">
        <v>11</v>
      </c>
      <c r="B50" s="322">
        <f t="shared" si="14"/>
        <v>47</v>
      </c>
      <c r="C50" s="312" t="s">
        <v>4785</v>
      </c>
      <c r="D50" s="296" t="s">
        <v>3452</v>
      </c>
      <c r="E50" s="296" t="s">
        <v>5099</v>
      </c>
      <c r="F50" s="296" t="s">
        <v>5100</v>
      </c>
      <c r="G50" s="64" t="s">
        <v>5101</v>
      </c>
      <c r="H50" s="45" t="s">
        <v>5102</v>
      </c>
      <c r="I50" s="318" t="s">
        <v>5103</v>
      </c>
      <c r="J50" s="45" t="s">
        <v>3575</v>
      </c>
      <c r="K50" s="53"/>
      <c r="L50" s="54" t="e">
        <f>INDEX([1]Timeline!$E$10:$E$24,MATCH(A50,[1]Timeline!$C$10:$C$24,0))</f>
        <v>#N/A</v>
      </c>
      <c r="M50" s="55">
        <v>45291</v>
      </c>
      <c r="N50" s="56">
        <v>1688010</v>
      </c>
      <c r="O50" s="57" t="e">
        <f t="shared" si="0"/>
        <v>#N/A</v>
      </c>
      <c r="P50" s="56" t="e">
        <f t="shared" si="1"/>
        <v>#N/A</v>
      </c>
      <c r="Q50" s="56">
        <v>0</v>
      </c>
      <c r="R50" s="57" t="e">
        <f t="shared" si="15"/>
        <v>#N/A</v>
      </c>
      <c r="S50" s="56" t="e">
        <f t="shared" si="16"/>
        <v>#N/A</v>
      </c>
      <c r="T50" s="56"/>
      <c r="U50" s="56"/>
      <c r="V50" s="56"/>
      <c r="W50" s="56"/>
      <c r="X50" s="56"/>
      <c r="Y50" s="56" t="s">
        <v>3452</v>
      </c>
      <c r="Z50" s="56">
        <v>1</v>
      </c>
      <c r="AA50" s="56">
        <v>1</v>
      </c>
      <c r="AB50" s="58">
        <f>N50/1</f>
        <v>1688010</v>
      </c>
      <c r="AC50" s="58" t="e">
        <f t="shared" si="2"/>
        <v>#N/A</v>
      </c>
      <c r="AD50" s="58" t="e">
        <f t="shared" si="3"/>
        <v>#N/A</v>
      </c>
      <c r="AE50" s="45">
        <v>1</v>
      </c>
      <c r="AF50" s="59">
        <f t="shared" si="4"/>
        <v>3.7083333333333335</v>
      </c>
      <c r="AG50" s="59">
        <f t="shared" si="17"/>
        <v>3.25</v>
      </c>
      <c r="AH50" s="60">
        <f t="shared" si="18"/>
        <v>4.166666666666667</v>
      </c>
      <c r="AI50" s="45">
        <v>3</v>
      </c>
      <c r="AJ50" s="45">
        <v>3</v>
      </c>
      <c r="AK50" s="45">
        <v>2</v>
      </c>
      <c r="AL50" s="45">
        <v>2</v>
      </c>
      <c r="AM50" s="46">
        <f t="shared" si="5"/>
        <v>2.5</v>
      </c>
      <c r="AN50" s="45">
        <v>3</v>
      </c>
      <c r="AO50" s="45">
        <v>3</v>
      </c>
      <c r="AP50" s="45">
        <v>2</v>
      </c>
      <c r="AQ50" s="45">
        <v>3</v>
      </c>
      <c r="AR50" s="61">
        <f t="shared" si="6"/>
        <v>2.75</v>
      </c>
      <c r="AS50" s="64"/>
      <c r="AT50" s="45"/>
      <c r="AU50" s="45"/>
      <c r="AV50" s="45"/>
      <c r="AW50" s="46">
        <f t="shared" si="7"/>
        <v>0</v>
      </c>
      <c r="AX50" s="45"/>
      <c r="AY50" s="45"/>
      <c r="AZ50" s="45"/>
      <c r="BA50" s="45"/>
      <c r="BB50" s="46">
        <f t="shared" si="8"/>
        <v>0</v>
      </c>
      <c r="BC50" s="45">
        <v>3</v>
      </c>
      <c r="BD50" s="45">
        <v>3</v>
      </c>
      <c r="BE50" s="45">
        <v>2</v>
      </c>
      <c r="BF50" s="45">
        <v>4</v>
      </c>
      <c r="BG50" s="47">
        <f t="shared" si="9"/>
        <v>3</v>
      </c>
      <c r="BH50" s="45">
        <v>4</v>
      </c>
      <c r="BI50" s="45">
        <v>4</v>
      </c>
      <c r="BJ50" s="45">
        <v>2</v>
      </c>
      <c r="BK50" s="45">
        <v>2</v>
      </c>
      <c r="BL50" s="46">
        <f t="shared" si="21"/>
        <v>3</v>
      </c>
      <c r="BM50" s="45">
        <v>2</v>
      </c>
      <c r="BN50" s="45">
        <v>3</v>
      </c>
      <c r="BO50" s="45">
        <v>2</v>
      </c>
      <c r="BP50" s="45">
        <v>3</v>
      </c>
      <c r="BQ50" s="46">
        <f t="shared" si="11"/>
        <v>2.5</v>
      </c>
      <c r="BR50" s="45">
        <v>4</v>
      </c>
      <c r="BS50" s="45">
        <v>4</v>
      </c>
      <c r="BT50" s="45">
        <v>2</v>
      </c>
      <c r="BU50" s="45">
        <v>24</v>
      </c>
      <c r="BV50" s="46">
        <f t="shared" si="12"/>
        <v>8.5</v>
      </c>
      <c r="BW50" s="45"/>
      <c r="BX50" s="45"/>
      <c r="BY50" s="45"/>
      <c r="BZ50" s="45"/>
      <c r="CA50" s="46">
        <f t="shared" si="13"/>
        <v>0</v>
      </c>
      <c r="CB50" s="291"/>
      <c r="CC50" s="291"/>
      <c r="CD50" s="291"/>
      <c r="CE50" s="291"/>
      <c r="CF50" s="291"/>
      <c r="CG50" s="291"/>
      <c r="CH50" s="291"/>
      <c r="CI50" s="291"/>
      <c r="CJ50" s="291"/>
      <c r="CK50" s="291"/>
    </row>
    <row r="51" spans="1:89" ht="76.5">
      <c r="A51" s="291">
        <v>11</v>
      </c>
      <c r="B51" s="322">
        <f t="shared" si="14"/>
        <v>48</v>
      </c>
      <c r="C51" s="312" t="s">
        <v>2817</v>
      </c>
      <c r="D51" s="296" t="s">
        <v>3217</v>
      </c>
      <c r="E51" s="296" t="s">
        <v>5104</v>
      </c>
      <c r="F51" s="296" t="s">
        <v>5105</v>
      </c>
      <c r="G51" s="64" t="s">
        <v>5106</v>
      </c>
      <c r="H51" s="45" t="s">
        <v>5107</v>
      </c>
      <c r="I51" s="318" t="s">
        <v>5108</v>
      </c>
      <c r="J51" s="45" t="s">
        <v>3575</v>
      </c>
      <c r="K51" s="53"/>
      <c r="L51" s="54" t="e">
        <f>INDEX([1]Timeline!$E$10:$E$24,MATCH(A51,[1]Timeline!$C$10:$C$24,0))</f>
        <v>#N/A</v>
      </c>
      <c r="M51" s="55">
        <v>45291</v>
      </c>
      <c r="N51" s="56">
        <v>600000</v>
      </c>
      <c r="O51" s="57" t="e">
        <f t="shared" si="0"/>
        <v>#N/A</v>
      </c>
      <c r="P51" s="56" t="e">
        <f t="shared" si="1"/>
        <v>#N/A</v>
      </c>
      <c r="Q51" s="56">
        <f>V51*0.055/8*0.87</f>
        <v>8.9898187500000004E-2</v>
      </c>
      <c r="R51" s="57" t="e">
        <f t="shared" si="15"/>
        <v>#N/A</v>
      </c>
      <c r="S51" s="56" t="e">
        <f t="shared" si="16"/>
        <v>#N/A</v>
      </c>
      <c r="T51" s="56" t="s">
        <v>4940</v>
      </c>
      <c r="U51" s="56" t="s">
        <v>4941</v>
      </c>
      <c r="V51" s="56">
        <v>15.03</v>
      </c>
      <c r="W51" s="56" t="s">
        <v>4959</v>
      </c>
      <c r="X51" s="56">
        <f>V51*0.055/8</f>
        <v>0.10333125</v>
      </c>
      <c r="Y51" s="56" t="s">
        <v>2817</v>
      </c>
      <c r="Z51" s="56">
        <v>1</v>
      </c>
      <c r="AA51" s="56">
        <v>1</v>
      </c>
      <c r="AB51" s="58">
        <f>N51/1</f>
        <v>600000</v>
      </c>
      <c r="AC51" s="58" t="e">
        <f t="shared" si="2"/>
        <v>#N/A</v>
      </c>
      <c r="AD51" s="58" t="e">
        <f t="shared" si="3"/>
        <v>#N/A</v>
      </c>
      <c r="AE51" s="45">
        <v>1</v>
      </c>
      <c r="AF51" s="59">
        <f t="shared" si="4"/>
        <v>2.3333333333333335</v>
      </c>
      <c r="AG51" s="59">
        <f t="shared" si="17"/>
        <v>3</v>
      </c>
      <c r="AH51" s="60">
        <f t="shared" si="18"/>
        <v>1.6666666666666667</v>
      </c>
      <c r="AI51" s="45">
        <v>3</v>
      </c>
      <c r="AJ51" s="45">
        <v>3</v>
      </c>
      <c r="AK51" s="45">
        <v>1</v>
      </c>
      <c r="AL51" s="45">
        <v>2</v>
      </c>
      <c r="AM51" s="46">
        <f t="shared" si="5"/>
        <v>2.25</v>
      </c>
      <c r="AN51" s="45">
        <v>3</v>
      </c>
      <c r="AO51" s="45">
        <v>3</v>
      </c>
      <c r="AP51" s="45">
        <v>1</v>
      </c>
      <c r="AQ51" s="45">
        <v>2</v>
      </c>
      <c r="AR51" s="61">
        <f t="shared" si="6"/>
        <v>2.25</v>
      </c>
      <c r="AS51" s="64"/>
      <c r="AT51" s="45"/>
      <c r="AU51" s="45"/>
      <c r="AV51" s="45"/>
      <c r="AW51" s="46">
        <f t="shared" si="7"/>
        <v>0</v>
      </c>
      <c r="AX51" s="45"/>
      <c r="AY51" s="45"/>
      <c r="AZ51" s="45"/>
      <c r="BA51" s="45"/>
      <c r="BB51" s="46">
        <f t="shared" si="8"/>
        <v>0</v>
      </c>
      <c r="BC51" s="45">
        <v>3</v>
      </c>
      <c r="BD51" s="45">
        <v>3</v>
      </c>
      <c r="BE51" s="45">
        <v>1</v>
      </c>
      <c r="BF51" s="45">
        <v>2</v>
      </c>
      <c r="BG51" s="47">
        <f t="shared" si="9"/>
        <v>2.25</v>
      </c>
      <c r="BH51" s="45">
        <v>3</v>
      </c>
      <c r="BI51" s="45">
        <v>3</v>
      </c>
      <c r="BJ51" s="45">
        <v>2</v>
      </c>
      <c r="BK51" s="45">
        <v>1</v>
      </c>
      <c r="BL51" s="46">
        <f t="shared" si="21"/>
        <v>2.25</v>
      </c>
      <c r="BM51" s="45">
        <v>2</v>
      </c>
      <c r="BN51" s="45">
        <v>2</v>
      </c>
      <c r="BO51" s="45">
        <v>2</v>
      </c>
      <c r="BP51" s="45">
        <v>2</v>
      </c>
      <c r="BQ51" s="46">
        <f t="shared" si="11"/>
        <v>2</v>
      </c>
      <c r="BR51" s="45">
        <v>4</v>
      </c>
      <c r="BS51" s="45">
        <v>4</v>
      </c>
      <c r="BT51" s="45">
        <v>2</v>
      </c>
      <c r="BU51" s="45">
        <v>2</v>
      </c>
      <c r="BV51" s="46">
        <f t="shared" si="12"/>
        <v>3</v>
      </c>
      <c r="BW51" s="45"/>
      <c r="BX51" s="45"/>
      <c r="BY51" s="45"/>
      <c r="BZ51" s="45"/>
      <c r="CA51" s="46">
        <f t="shared" si="13"/>
        <v>0</v>
      </c>
      <c r="CB51" s="291"/>
      <c r="CC51" s="291"/>
      <c r="CD51" s="291"/>
      <c r="CE51" s="291"/>
      <c r="CF51" s="291"/>
      <c r="CG51" s="291"/>
      <c r="CH51" s="291"/>
      <c r="CI51" s="291"/>
      <c r="CJ51" s="291"/>
      <c r="CK51" s="291"/>
    </row>
    <row r="52" spans="1:89" ht="106.5">
      <c r="A52" s="291">
        <v>2</v>
      </c>
      <c r="B52" s="322">
        <f t="shared" si="14"/>
        <v>49</v>
      </c>
      <c r="C52" s="91" t="s">
        <v>5109</v>
      </c>
      <c r="D52" s="91" t="s">
        <v>5110</v>
      </c>
      <c r="E52" s="296" t="s">
        <v>5111</v>
      </c>
      <c r="F52" s="296" t="s">
        <v>5112</v>
      </c>
      <c r="G52" s="64" t="s">
        <v>5113</v>
      </c>
      <c r="H52" s="45" t="s">
        <v>5114</v>
      </c>
      <c r="I52" s="318" t="s">
        <v>5115</v>
      </c>
      <c r="J52" s="45" t="s">
        <v>3575</v>
      </c>
      <c r="K52" s="53"/>
      <c r="L52" s="54" t="e">
        <f>INDEX([1]Timeline!$E$10:$E$24,MATCH(A52,[1]Timeline!$C$10:$C$24,0))</f>
        <v>#N/A</v>
      </c>
      <c r="M52" s="55">
        <v>45291</v>
      </c>
      <c r="N52" s="56">
        <v>700000</v>
      </c>
      <c r="O52" s="57" t="e">
        <f t="shared" si="0"/>
        <v>#N/A</v>
      </c>
      <c r="P52" s="56" t="e">
        <f t="shared" si="1"/>
        <v>#N/A</v>
      </c>
      <c r="Q52" s="56">
        <f>V52*0.055/8*0.87</f>
        <v>0.11962500000000001</v>
      </c>
      <c r="R52" s="57" t="e">
        <f t="shared" si="15"/>
        <v>#N/A</v>
      </c>
      <c r="S52" s="56" t="e">
        <f t="shared" si="16"/>
        <v>#N/A</v>
      </c>
      <c r="T52" s="56" t="s">
        <v>4940</v>
      </c>
      <c r="U52" s="56" t="s">
        <v>4941</v>
      </c>
      <c r="V52" s="56">
        <v>20</v>
      </c>
      <c r="W52" s="56" t="s">
        <v>4959</v>
      </c>
      <c r="X52" s="56">
        <f>V52*0.055/8</f>
        <v>0.13750000000000001</v>
      </c>
      <c r="Y52" s="56" t="s">
        <v>2817</v>
      </c>
      <c r="Z52" s="56">
        <v>1</v>
      </c>
      <c r="AA52" s="56">
        <v>1</v>
      </c>
      <c r="AB52" s="58">
        <f>N52/Z52</f>
        <v>700000</v>
      </c>
      <c r="AC52" s="58" t="e">
        <f t="shared" si="2"/>
        <v>#N/A</v>
      </c>
      <c r="AD52" s="58" t="e">
        <f t="shared" si="3"/>
        <v>#N/A</v>
      </c>
      <c r="AE52" s="45">
        <v>1</v>
      </c>
      <c r="AF52" s="59">
        <f t="shared" si="4"/>
        <v>2.5</v>
      </c>
      <c r="AG52" s="59">
        <f t="shared" si="17"/>
        <v>2.8333333333333335</v>
      </c>
      <c r="AH52" s="60">
        <f t="shared" si="18"/>
        <v>2.1666666666666665</v>
      </c>
      <c r="AI52" s="45"/>
      <c r="AJ52" s="45"/>
      <c r="AK52" s="45"/>
      <c r="AL52" s="45"/>
      <c r="AM52" s="46">
        <f t="shared" si="5"/>
        <v>0</v>
      </c>
      <c r="AN52" s="45">
        <v>3</v>
      </c>
      <c r="AO52" s="45">
        <v>3</v>
      </c>
      <c r="AP52" s="45">
        <v>2</v>
      </c>
      <c r="AQ52" s="45">
        <v>2</v>
      </c>
      <c r="AR52" s="61">
        <f t="shared" si="6"/>
        <v>2.5</v>
      </c>
      <c r="AS52" s="103">
        <v>3</v>
      </c>
      <c r="AT52" s="102">
        <v>2</v>
      </c>
      <c r="AU52" s="102">
        <v>2</v>
      </c>
      <c r="AV52" s="102">
        <v>2</v>
      </c>
      <c r="AW52" s="46">
        <f t="shared" si="7"/>
        <v>2.25</v>
      </c>
      <c r="AX52" s="45">
        <v>3</v>
      </c>
      <c r="AY52" s="45">
        <v>3</v>
      </c>
      <c r="AZ52" s="45">
        <v>2</v>
      </c>
      <c r="BA52" s="45">
        <v>3</v>
      </c>
      <c r="BB52" s="46">
        <f t="shared" si="8"/>
        <v>2.75</v>
      </c>
      <c r="BC52" s="45"/>
      <c r="BD52" s="45"/>
      <c r="BE52" s="45"/>
      <c r="BF52" s="45"/>
      <c r="BG52" s="47">
        <f t="shared" si="9"/>
        <v>0</v>
      </c>
      <c r="BH52" s="45"/>
      <c r="BI52" s="45"/>
      <c r="BJ52" s="45"/>
      <c r="BK52" s="45"/>
      <c r="BL52" s="46">
        <f t="shared" si="21"/>
        <v>0</v>
      </c>
      <c r="BM52" s="45"/>
      <c r="BN52" s="45"/>
      <c r="BO52" s="45"/>
      <c r="BP52" s="45"/>
      <c r="BQ52" s="46">
        <f t="shared" si="11"/>
        <v>0</v>
      </c>
      <c r="BR52" s="45"/>
      <c r="BS52" s="45"/>
      <c r="BT52" s="45"/>
      <c r="BU52" s="45"/>
      <c r="BV52" s="46">
        <f t="shared" si="12"/>
        <v>0</v>
      </c>
      <c r="BW52" s="45"/>
      <c r="BX52" s="45"/>
      <c r="BY52" s="45"/>
      <c r="BZ52" s="45"/>
      <c r="CA52" s="46">
        <f t="shared" si="13"/>
        <v>0</v>
      </c>
      <c r="CB52" s="291"/>
      <c r="CC52" s="291"/>
      <c r="CD52" s="291"/>
      <c r="CE52" s="291"/>
      <c r="CF52" s="291"/>
      <c r="CG52" s="291"/>
      <c r="CH52" s="291"/>
      <c r="CI52" s="291"/>
      <c r="CJ52" s="291"/>
      <c r="CK52" s="291"/>
    </row>
    <row r="53" spans="1:89" ht="137.25">
      <c r="A53" s="291">
        <v>13</v>
      </c>
      <c r="B53" s="322">
        <f t="shared" si="14"/>
        <v>50</v>
      </c>
      <c r="C53" s="312" t="s">
        <v>4785</v>
      </c>
      <c r="D53" s="296" t="s">
        <v>3871</v>
      </c>
      <c r="E53" s="296" t="s">
        <v>5116</v>
      </c>
      <c r="F53" s="296" t="s">
        <v>5117</v>
      </c>
      <c r="G53" s="64" t="s">
        <v>5118</v>
      </c>
      <c r="H53" s="45" t="s">
        <v>5119</v>
      </c>
      <c r="I53" s="318" t="s">
        <v>5120</v>
      </c>
      <c r="J53" s="45" t="s">
        <v>3575</v>
      </c>
      <c r="K53" s="53"/>
      <c r="L53" s="54" t="e">
        <f>INDEX([1]Timeline!$E$10:$E$24,MATCH(A53,[1]Timeline!$C$10:$C$24,0))</f>
        <v>#N/A</v>
      </c>
      <c r="M53" s="55">
        <v>45291</v>
      </c>
      <c r="N53" s="56">
        <f>1071000-270000/12</f>
        <v>1048500</v>
      </c>
      <c r="O53" s="57" t="e">
        <f t="shared" si="0"/>
        <v>#N/A</v>
      </c>
      <c r="P53" s="56" t="e">
        <f t="shared" si="1"/>
        <v>#N/A</v>
      </c>
      <c r="Q53" s="56">
        <v>0</v>
      </c>
      <c r="R53" s="57" t="e">
        <f t="shared" si="15"/>
        <v>#N/A</v>
      </c>
      <c r="S53" s="56" t="e">
        <f t="shared" si="16"/>
        <v>#N/A</v>
      </c>
      <c r="T53" s="56"/>
      <c r="U53" s="56"/>
      <c r="V53" s="56"/>
      <c r="W53" s="56"/>
      <c r="X53" s="56"/>
      <c r="Y53" s="56" t="s">
        <v>3871</v>
      </c>
      <c r="Z53" s="56">
        <v>1</v>
      </c>
      <c r="AA53" s="56">
        <v>1</v>
      </c>
      <c r="AB53" s="58">
        <f>N53/1</f>
        <v>1048500</v>
      </c>
      <c r="AC53" s="58" t="e">
        <f t="shared" si="2"/>
        <v>#N/A</v>
      </c>
      <c r="AD53" s="58" t="e">
        <f t="shared" si="3"/>
        <v>#N/A</v>
      </c>
      <c r="AE53" s="45">
        <v>1</v>
      </c>
      <c r="AF53" s="59" t="e">
        <f t="shared" si="4"/>
        <v>#DIV/0!</v>
      </c>
      <c r="AG53" s="59" t="e">
        <f t="shared" si="17"/>
        <v>#DIV/0!</v>
      </c>
      <c r="AH53" s="60" t="e">
        <f t="shared" si="18"/>
        <v>#DIV/0!</v>
      </c>
      <c r="AI53" s="45"/>
      <c r="AJ53" s="45"/>
      <c r="AK53" s="45"/>
      <c r="AL53" s="45"/>
      <c r="AM53" s="46">
        <f t="shared" si="5"/>
        <v>0</v>
      </c>
      <c r="AN53" s="45"/>
      <c r="AO53" s="45"/>
      <c r="AP53" s="45"/>
      <c r="AQ53" s="45"/>
      <c r="AR53" s="61">
        <f t="shared" si="6"/>
        <v>0</v>
      </c>
      <c r="AS53" s="64"/>
      <c r="AT53" s="45"/>
      <c r="AU53" s="45"/>
      <c r="AV53" s="45"/>
      <c r="AW53" s="46">
        <f t="shared" si="7"/>
        <v>0</v>
      </c>
      <c r="AX53" s="45"/>
      <c r="AY53" s="45"/>
      <c r="AZ53" s="45"/>
      <c r="BA53" s="45"/>
      <c r="BB53" s="46">
        <f t="shared" si="8"/>
        <v>0</v>
      </c>
      <c r="BC53" s="45"/>
      <c r="BD53" s="45"/>
      <c r="BE53" s="45"/>
      <c r="BF53" s="45"/>
      <c r="BG53" s="47">
        <f t="shared" si="9"/>
        <v>0</v>
      </c>
      <c r="BH53" s="45"/>
      <c r="BI53" s="45"/>
      <c r="BJ53" s="45"/>
      <c r="BK53" s="45"/>
      <c r="BL53" s="46">
        <f t="shared" si="21"/>
        <v>0</v>
      </c>
      <c r="BM53" s="45"/>
      <c r="BN53" s="45"/>
      <c r="BO53" s="45"/>
      <c r="BP53" s="45"/>
      <c r="BQ53" s="46">
        <f t="shared" si="11"/>
        <v>0</v>
      </c>
      <c r="BR53" s="45"/>
      <c r="BS53" s="45"/>
      <c r="BT53" s="45"/>
      <c r="BU53" s="45"/>
      <c r="BV53" s="46">
        <f t="shared" si="12"/>
        <v>0</v>
      </c>
      <c r="BW53" s="45"/>
      <c r="BX53" s="45"/>
      <c r="BY53" s="45"/>
      <c r="BZ53" s="45"/>
      <c r="CA53" s="46">
        <f t="shared" si="13"/>
        <v>0</v>
      </c>
      <c r="CB53" s="291"/>
      <c r="CC53" s="291"/>
      <c r="CD53" s="291"/>
      <c r="CE53" s="291"/>
      <c r="CF53" s="291"/>
      <c r="CG53" s="291"/>
      <c r="CH53" s="291"/>
      <c r="CI53" s="291"/>
      <c r="CJ53" s="291"/>
      <c r="CK53" s="291"/>
    </row>
    <row r="54" spans="1:89" s="314" customFormat="1" ht="121.5">
      <c r="A54" s="291">
        <v>12</v>
      </c>
      <c r="B54" s="322">
        <f t="shared" si="14"/>
        <v>51</v>
      </c>
      <c r="C54" s="312" t="s">
        <v>4654</v>
      </c>
      <c r="D54" s="296" t="s">
        <v>3871</v>
      </c>
      <c r="E54" s="296" t="s">
        <v>5121</v>
      </c>
      <c r="F54" s="296" t="s">
        <v>5122</v>
      </c>
      <c r="G54" s="64" t="s">
        <v>5123</v>
      </c>
      <c r="H54" s="45" t="s">
        <v>5124</v>
      </c>
      <c r="I54" s="318" t="s">
        <v>5125</v>
      </c>
      <c r="J54" s="45" t="s">
        <v>3575</v>
      </c>
      <c r="K54" s="53"/>
      <c r="L54" s="54" t="e">
        <f>INDEX([1]Timeline!$E$10:$E$24,MATCH(A54,[1]Timeline!$C$10:$C$24,0))</f>
        <v>#N/A</v>
      </c>
      <c r="M54" s="55">
        <v>45291</v>
      </c>
      <c r="N54" s="56">
        <f>2326222-810000/12</f>
        <v>2258722</v>
      </c>
      <c r="O54" s="57" t="e">
        <f t="shared" si="0"/>
        <v>#N/A</v>
      </c>
      <c r="P54" s="56" t="e">
        <f t="shared" si="1"/>
        <v>#N/A</v>
      </c>
      <c r="Q54" s="56">
        <v>0</v>
      </c>
      <c r="R54" s="57" t="e">
        <f t="shared" si="15"/>
        <v>#N/A</v>
      </c>
      <c r="S54" s="56" t="e">
        <f t="shared" si="16"/>
        <v>#N/A</v>
      </c>
      <c r="T54" s="56"/>
      <c r="U54" s="56"/>
      <c r="V54" s="56"/>
      <c r="W54" s="56"/>
      <c r="X54" s="56"/>
      <c r="Y54" s="56" t="s">
        <v>3871</v>
      </c>
      <c r="Z54" s="56">
        <v>1</v>
      </c>
      <c r="AA54" s="56">
        <v>1</v>
      </c>
      <c r="AB54" s="58">
        <f>N54/1</f>
        <v>2258722</v>
      </c>
      <c r="AC54" s="58" t="e">
        <f t="shared" si="2"/>
        <v>#N/A</v>
      </c>
      <c r="AD54" s="58" t="e">
        <f t="shared" si="3"/>
        <v>#N/A</v>
      </c>
      <c r="AE54" s="45">
        <v>1</v>
      </c>
      <c r="AF54" s="59" t="e">
        <f t="shared" si="4"/>
        <v>#DIV/0!</v>
      </c>
      <c r="AG54" s="59" t="e">
        <f t="shared" si="17"/>
        <v>#DIV/0!</v>
      </c>
      <c r="AH54" s="60" t="e">
        <f t="shared" si="18"/>
        <v>#DIV/0!</v>
      </c>
      <c r="AI54" s="45"/>
      <c r="AJ54" s="45"/>
      <c r="AK54" s="45"/>
      <c r="AL54" s="45"/>
      <c r="AM54" s="46">
        <f t="shared" si="5"/>
        <v>0</v>
      </c>
      <c r="AN54" s="45"/>
      <c r="AO54" s="45"/>
      <c r="AP54" s="45"/>
      <c r="AQ54" s="45"/>
      <c r="AR54" s="61">
        <f t="shared" si="6"/>
        <v>0</v>
      </c>
      <c r="AS54" s="64"/>
      <c r="AT54" s="45"/>
      <c r="AU54" s="45"/>
      <c r="AV54" s="45"/>
      <c r="AW54" s="46">
        <f t="shared" si="7"/>
        <v>0</v>
      </c>
      <c r="AX54" s="45"/>
      <c r="AY54" s="45"/>
      <c r="AZ54" s="45"/>
      <c r="BA54" s="45"/>
      <c r="BB54" s="46">
        <f t="shared" si="8"/>
        <v>0</v>
      </c>
      <c r="BC54" s="45"/>
      <c r="BD54" s="45"/>
      <c r="BE54" s="45"/>
      <c r="BF54" s="45"/>
      <c r="BG54" s="47">
        <f t="shared" si="9"/>
        <v>0</v>
      </c>
      <c r="BH54" s="45"/>
      <c r="BI54" s="45"/>
      <c r="BJ54" s="45"/>
      <c r="BK54" s="45"/>
      <c r="BL54" s="46">
        <f t="shared" si="21"/>
        <v>0</v>
      </c>
      <c r="BM54" s="45"/>
      <c r="BN54" s="45"/>
      <c r="BO54" s="45"/>
      <c r="BP54" s="45"/>
      <c r="BQ54" s="46">
        <f t="shared" si="11"/>
        <v>0</v>
      </c>
      <c r="BR54" s="45"/>
      <c r="BS54" s="45"/>
      <c r="BT54" s="45"/>
      <c r="BU54" s="45"/>
      <c r="BV54" s="46">
        <f t="shared" si="12"/>
        <v>0</v>
      </c>
      <c r="BW54" s="45"/>
      <c r="BX54" s="45"/>
      <c r="BY54" s="45"/>
      <c r="BZ54" s="45"/>
      <c r="CA54" s="46">
        <f t="shared" si="13"/>
        <v>0</v>
      </c>
      <c r="CB54" s="319"/>
      <c r="CC54" s="319"/>
      <c r="CD54" s="319"/>
      <c r="CE54" s="319"/>
      <c r="CF54" s="319"/>
      <c r="CG54" s="319"/>
      <c r="CH54" s="319"/>
      <c r="CI54" s="319"/>
      <c r="CJ54" s="319"/>
      <c r="CK54" s="319"/>
    </row>
    <row r="55" spans="1:89" ht="91.5">
      <c r="A55" s="291">
        <v>8</v>
      </c>
      <c r="B55" s="322">
        <f t="shared" si="14"/>
        <v>52</v>
      </c>
      <c r="C55" s="333" t="s">
        <v>4857</v>
      </c>
      <c r="D55" s="291" t="s">
        <v>5126</v>
      </c>
      <c r="E55" s="291" t="s">
        <v>5127</v>
      </c>
      <c r="F55" s="291" t="s">
        <v>5128</v>
      </c>
      <c r="G55" s="64" t="s">
        <v>5129</v>
      </c>
      <c r="H55" s="74" t="s">
        <v>5130</v>
      </c>
      <c r="I55" s="318" t="s">
        <v>5131</v>
      </c>
      <c r="J55" s="45" t="s">
        <v>3575</v>
      </c>
      <c r="K55" s="53"/>
      <c r="L55" s="54" t="e">
        <f>INDEX([1]Timeline!$E$10:$E$24,MATCH(A55,[1]Timeline!$C$10:$C$24,0))</f>
        <v>#N/A</v>
      </c>
      <c r="M55" s="55">
        <v>45291</v>
      </c>
      <c r="N55" s="56">
        <v>45023</v>
      </c>
      <c r="O55" s="57" t="e">
        <f t="shared" si="0"/>
        <v>#N/A</v>
      </c>
      <c r="P55" s="56" t="e">
        <f t="shared" si="1"/>
        <v>#N/A</v>
      </c>
      <c r="Q55" s="56">
        <f>0.037845*1000</f>
        <v>37.844999999999999</v>
      </c>
      <c r="R55" s="57" t="e">
        <f t="shared" si="15"/>
        <v>#N/A</v>
      </c>
      <c r="S55" s="56" t="e">
        <f t="shared" si="16"/>
        <v>#N/A</v>
      </c>
      <c r="T55" s="56" t="s">
        <v>4940</v>
      </c>
      <c r="U55" s="56" t="s">
        <v>4940</v>
      </c>
      <c r="V55" s="56">
        <v>43.5</v>
      </c>
      <c r="W55" s="56" t="s">
        <v>4948</v>
      </c>
      <c r="X55" s="56"/>
      <c r="Y55" s="56" t="s">
        <v>2773</v>
      </c>
      <c r="Z55" s="56">
        <v>1</v>
      </c>
      <c r="AA55" s="56">
        <v>1</v>
      </c>
      <c r="AB55" s="58">
        <f>N55/1</f>
        <v>45023</v>
      </c>
      <c r="AC55" s="58" t="e">
        <f t="shared" si="2"/>
        <v>#N/A</v>
      </c>
      <c r="AD55" s="58" t="e">
        <f t="shared" si="3"/>
        <v>#N/A</v>
      </c>
      <c r="AE55" s="45">
        <v>1</v>
      </c>
      <c r="AF55" s="59">
        <f t="shared" si="4"/>
        <v>3</v>
      </c>
      <c r="AG55" s="59">
        <f t="shared" si="17"/>
        <v>3.7142857142857144</v>
      </c>
      <c r="AH55" s="60">
        <f t="shared" si="18"/>
        <v>2.2857142857142856</v>
      </c>
      <c r="AI55" s="45">
        <v>4</v>
      </c>
      <c r="AJ55" s="45">
        <v>4</v>
      </c>
      <c r="AK55" s="45">
        <v>1</v>
      </c>
      <c r="AL55" s="45">
        <v>2</v>
      </c>
      <c r="AM55" s="46">
        <f t="shared" si="5"/>
        <v>2.75</v>
      </c>
      <c r="AN55" s="45">
        <v>4</v>
      </c>
      <c r="AO55" s="45">
        <v>4</v>
      </c>
      <c r="AP55" s="45">
        <v>1</v>
      </c>
      <c r="AQ55" s="45">
        <v>2</v>
      </c>
      <c r="AR55" s="61">
        <f t="shared" si="6"/>
        <v>2.75</v>
      </c>
      <c r="AS55" s="64">
        <v>4</v>
      </c>
      <c r="AT55" s="45">
        <v>4</v>
      </c>
      <c r="AU55" s="45">
        <v>1</v>
      </c>
      <c r="AV55" s="45">
        <v>1</v>
      </c>
      <c r="AW55" s="46">
        <f t="shared" si="7"/>
        <v>2.5</v>
      </c>
      <c r="AX55" s="45"/>
      <c r="AY55" s="45"/>
      <c r="AZ55" s="45"/>
      <c r="BA55" s="45"/>
      <c r="BB55" s="46">
        <f t="shared" si="8"/>
        <v>0</v>
      </c>
      <c r="BC55" s="45">
        <v>4</v>
      </c>
      <c r="BD55" s="45">
        <v>4</v>
      </c>
      <c r="BE55" s="45">
        <v>4</v>
      </c>
      <c r="BF55" s="45">
        <v>2</v>
      </c>
      <c r="BG55" s="47">
        <f t="shared" si="9"/>
        <v>3.5</v>
      </c>
      <c r="BH55" s="45">
        <v>3</v>
      </c>
      <c r="BI55" s="45">
        <v>3</v>
      </c>
      <c r="BJ55" s="45">
        <v>2</v>
      </c>
      <c r="BK55" s="45">
        <v>2</v>
      </c>
      <c r="BL55" s="46">
        <f t="shared" si="21"/>
        <v>2.5</v>
      </c>
      <c r="BM55" s="45">
        <v>2</v>
      </c>
      <c r="BN55" s="45">
        <v>4</v>
      </c>
      <c r="BO55" s="45">
        <v>4</v>
      </c>
      <c r="BP55" s="45">
        <v>4</v>
      </c>
      <c r="BQ55" s="46">
        <f t="shared" si="11"/>
        <v>3.5</v>
      </c>
      <c r="BR55" s="45">
        <v>4</v>
      </c>
      <c r="BS55" s="45">
        <v>4</v>
      </c>
      <c r="BT55" s="45">
        <v>4</v>
      </c>
      <c r="BU55" s="45">
        <v>2</v>
      </c>
      <c r="BV55" s="46">
        <f t="shared" si="12"/>
        <v>3.5</v>
      </c>
      <c r="BW55" s="45"/>
      <c r="BX55" s="45"/>
      <c r="BY55" s="45"/>
      <c r="BZ55" s="45"/>
      <c r="CA55" s="46">
        <f t="shared" si="13"/>
        <v>0</v>
      </c>
      <c r="CB55" s="291"/>
      <c r="CC55" s="291"/>
      <c r="CD55" s="291"/>
      <c r="CE55" s="291"/>
      <c r="CF55" s="291"/>
      <c r="CG55" s="291"/>
      <c r="CH55" s="291"/>
      <c r="CI55" s="291"/>
      <c r="CJ55" s="291"/>
      <c r="CK55" s="291"/>
    </row>
    <row r="56" spans="1:89" ht="167.25">
      <c r="A56" s="291">
        <v>4</v>
      </c>
      <c r="B56" s="322">
        <f t="shared" si="14"/>
        <v>53</v>
      </c>
      <c r="C56" s="91" t="s">
        <v>4857</v>
      </c>
      <c r="D56" s="91" t="s">
        <v>3602</v>
      </c>
      <c r="E56" s="296" t="s">
        <v>5132</v>
      </c>
      <c r="F56" s="291" t="s">
        <v>5133</v>
      </c>
      <c r="G56" s="14" t="s">
        <v>5134</v>
      </c>
      <c r="H56" s="45" t="s">
        <v>5135</v>
      </c>
      <c r="I56" s="52" t="s">
        <v>5136</v>
      </c>
      <c r="J56" s="45" t="s">
        <v>3575</v>
      </c>
      <c r="K56" s="53"/>
      <c r="L56" s="54" t="e">
        <f>INDEX([1]Timeline!$E$10:$E$24,MATCH(A56,[1]Timeline!$C$10:$C$24,0))</f>
        <v>#N/A</v>
      </c>
      <c r="M56" s="55">
        <v>45291</v>
      </c>
      <c r="N56" s="56">
        <v>706605</v>
      </c>
      <c r="O56" s="57" t="e">
        <f t="shared" si="0"/>
        <v>#N/A</v>
      </c>
      <c r="P56" s="56" t="e">
        <f t="shared" si="1"/>
        <v>#N/A</v>
      </c>
      <c r="Q56" s="56">
        <f>23*0.6*30</f>
        <v>413.99999999999994</v>
      </c>
      <c r="R56" s="57" t="e">
        <f t="shared" si="15"/>
        <v>#N/A</v>
      </c>
      <c r="S56" s="56" t="e">
        <f t="shared" si="16"/>
        <v>#N/A</v>
      </c>
      <c r="T56" s="56" t="s">
        <v>4940</v>
      </c>
      <c r="U56" s="56" t="s">
        <v>4940</v>
      </c>
      <c r="V56" s="56">
        <v>682.71</v>
      </c>
      <c r="W56" s="56" t="s">
        <v>4948</v>
      </c>
      <c r="X56" s="56"/>
      <c r="Y56" s="56" t="s">
        <v>2773</v>
      </c>
      <c r="Z56" s="56">
        <v>1</v>
      </c>
      <c r="AA56" s="56">
        <v>1</v>
      </c>
      <c r="AB56" s="58">
        <f>N56/Z56</f>
        <v>706605</v>
      </c>
      <c r="AC56" s="58" t="e">
        <f t="shared" si="2"/>
        <v>#N/A</v>
      </c>
      <c r="AD56" s="58" t="e">
        <f t="shared" si="3"/>
        <v>#N/A</v>
      </c>
      <c r="AE56" s="45">
        <v>1</v>
      </c>
      <c r="AF56" s="59">
        <f t="shared" si="4"/>
        <v>2.9375</v>
      </c>
      <c r="AG56" s="59">
        <f t="shared" si="17"/>
        <v>3.625</v>
      </c>
      <c r="AH56" s="60">
        <f t="shared" si="18"/>
        <v>2.25</v>
      </c>
      <c r="AI56" s="45">
        <v>4</v>
      </c>
      <c r="AJ56" s="45">
        <v>4</v>
      </c>
      <c r="AK56" s="45">
        <v>1</v>
      </c>
      <c r="AL56" s="45">
        <v>2</v>
      </c>
      <c r="AM56" s="46">
        <f t="shared" si="5"/>
        <v>2.75</v>
      </c>
      <c r="AN56" s="45"/>
      <c r="AO56" s="45"/>
      <c r="AP56" s="45"/>
      <c r="AQ56" s="45"/>
      <c r="AR56" s="61">
        <f t="shared" si="6"/>
        <v>0</v>
      </c>
      <c r="AS56" s="64">
        <v>3</v>
      </c>
      <c r="AT56" s="45">
        <v>3</v>
      </c>
      <c r="AU56" s="45">
        <v>4</v>
      </c>
      <c r="AV56" s="45">
        <v>3</v>
      </c>
      <c r="AW56" s="46">
        <f t="shared" si="7"/>
        <v>3.25</v>
      </c>
      <c r="AX56" s="45">
        <v>3</v>
      </c>
      <c r="AY56" s="45">
        <v>4</v>
      </c>
      <c r="AZ56" s="45">
        <v>2</v>
      </c>
      <c r="BA56" s="45">
        <v>2</v>
      </c>
      <c r="BB56" s="46">
        <f t="shared" si="8"/>
        <v>2.75</v>
      </c>
      <c r="BC56" s="45">
        <v>4</v>
      </c>
      <c r="BD56" s="45">
        <v>4</v>
      </c>
      <c r="BE56" s="45">
        <v>2</v>
      </c>
      <c r="BF56" s="45">
        <v>2</v>
      </c>
      <c r="BG56" s="47">
        <f t="shared" si="9"/>
        <v>3</v>
      </c>
      <c r="BH56" s="45"/>
      <c r="BI56" s="45"/>
      <c r="BJ56" s="45"/>
      <c r="BK56" s="45"/>
      <c r="BL56" s="46">
        <f t="shared" si="21"/>
        <v>0</v>
      </c>
      <c r="BM56" s="45"/>
      <c r="BN56" s="45"/>
      <c r="BO56" s="45"/>
      <c r="BP56" s="45"/>
      <c r="BQ56" s="46">
        <f t="shared" si="11"/>
        <v>0</v>
      </c>
      <c r="BR56" s="45"/>
      <c r="BS56" s="45"/>
      <c r="BT56" s="45"/>
      <c r="BU56" s="45"/>
      <c r="BV56" s="46">
        <f t="shared" si="12"/>
        <v>0</v>
      </c>
      <c r="BW56" s="45"/>
      <c r="BX56" s="45"/>
      <c r="BY56" s="45"/>
      <c r="BZ56" s="45"/>
      <c r="CA56" s="46">
        <f t="shared" si="13"/>
        <v>0</v>
      </c>
      <c r="CB56" s="291"/>
      <c r="CC56" s="291"/>
      <c r="CD56" s="291"/>
      <c r="CE56" s="291"/>
      <c r="CF56" s="291"/>
      <c r="CG56" s="291"/>
      <c r="CH56" s="291"/>
      <c r="CI56" s="291"/>
      <c r="CJ56" s="291"/>
      <c r="CK56" s="291"/>
    </row>
    <row r="57" spans="1:89" ht="126.75" customHeight="1">
      <c r="A57" s="291">
        <v>11</v>
      </c>
      <c r="B57" s="322">
        <f t="shared" si="14"/>
        <v>54</v>
      </c>
      <c r="C57" s="312" t="s">
        <v>4857</v>
      </c>
      <c r="D57" s="296" t="s">
        <v>4120</v>
      </c>
      <c r="E57" s="296" t="s">
        <v>5137</v>
      </c>
      <c r="F57" s="296" t="s">
        <v>5138</v>
      </c>
      <c r="G57" s="64" t="s">
        <v>5139</v>
      </c>
      <c r="H57" s="45" t="s">
        <v>5140</v>
      </c>
      <c r="I57" s="52" t="s">
        <v>5141</v>
      </c>
      <c r="J57" s="45" t="s">
        <v>3575</v>
      </c>
      <c r="K57" s="53"/>
      <c r="L57" s="54" t="e">
        <f>INDEX([1]Timeline!$E$10:$E$24,MATCH(A57,[1]Timeline!$C$10:$C$24,0))</f>
        <v>#N/A</v>
      </c>
      <c r="M57" s="55">
        <v>45291</v>
      </c>
      <c r="N57" s="56">
        <v>1258571</v>
      </c>
      <c r="O57" s="57" t="e">
        <f t="shared" si="0"/>
        <v>#N/A</v>
      </c>
      <c r="P57" s="56" t="e">
        <f t="shared" si="1"/>
        <v>#N/A</v>
      </c>
      <c r="Q57" s="56">
        <v>0</v>
      </c>
      <c r="R57" s="57" t="e">
        <f t="shared" si="15"/>
        <v>#N/A</v>
      </c>
      <c r="S57" s="56" t="e">
        <f t="shared" si="16"/>
        <v>#N/A</v>
      </c>
      <c r="T57" s="56"/>
      <c r="U57" s="56"/>
      <c r="V57" s="56"/>
      <c r="W57" s="56"/>
      <c r="X57" s="56"/>
      <c r="Y57" s="56" t="s">
        <v>2773</v>
      </c>
      <c r="Z57" s="56">
        <v>1</v>
      </c>
      <c r="AA57" s="56">
        <v>1</v>
      </c>
      <c r="AB57" s="58">
        <f>N57/1</f>
        <v>1258571</v>
      </c>
      <c r="AC57" s="58" t="e">
        <f t="shared" si="2"/>
        <v>#N/A</v>
      </c>
      <c r="AD57" s="58" t="e">
        <f t="shared" si="3"/>
        <v>#N/A</v>
      </c>
      <c r="AE57" s="45">
        <v>1</v>
      </c>
      <c r="AF57" s="59">
        <f t="shared" si="4"/>
        <v>3.333333333333333</v>
      </c>
      <c r="AG57" s="59">
        <f t="shared" si="17"/>
        <v>3.75</v>
      </c>
      <c r="AH57" s="60">
        <f t="shared" si="18"/>
        <v>2.9166666666666665</v>
      </c>
      <c r="AI57" s="45">
        <v>3</v>
      </c>
      <c r="AJ57" s="45">
        <v>3</v>
      </c>
      <c r="AK57" s="45">
        <v>4</v>
      </c>
      <c r="AL57" s="45">
        <v>4</v>
      </c>
      <c r="AM57" s="46">
        <f t="shared" si="5"/>
        <v>3.5</v>
      </c>
      <c r="AN57" s="45">
        <v>4</v>
      </c>
      <c r="AO57" s="45">
        <v>3</v>
      </c>
      <c r="AP57" s="45">
        <v>3</v>
      </c>
      <c r="AQ57" s="45">
        <v>3</v>
      </c>
      <c r="AR57" s="61">
        <f t="shared" si="6"/>
        <v>3.25</v>
      </c>
      <c r="AS57" s="64"/>
      <c r="AT57" s="45"/>
      <c r="AU57" s="45"/>
      <c r="AV57" s="45"/>
      <c r="AW57" s="46">
        <f t="shared" si="7"/>
        <v>0</v>
      </c>
      <c r="AX57" s="45"/>
      <c r="AY57" s="45"/>
      <c r="AZ57" s="45"/>
      <c r="BA57" s="45"/>
      <c r="BB57" s="46">
        <f t="shared" si="8"/>
        <v>0</v>
      </c>
      <c r="BC57" s="45">
        <v>4</v>
      </c>
      <c r="BD57" s="45">
        <v>4</v>
      </c>
      <c r="BE57" s="45">
        <v>3</v>
      </c>
      <c r="BF57" s="45">
        <v>3</v>
      </c>
      <c r="BG57" s="47">
        <f t="shared" si="9"/>
        <v>3.5</v>
      </c>
      <c r="BH57" s="45">
        <v>4</v>
      </c>
      <c r="BI57" s="45">
        <v>4</v>
      </c>
      <c r="BJ57" s="45">
        <v>2</v>
      </c>
      <c r="BK57" s="45">
        <v>2</v>
      </c>
      <c r="BL57" s="46">
        <f t="shared" si="21"/>
        <v>3</v>
      </c>
      <c r="BM57" s="45">
        <v>4</v>
      </c>
      <c r="BN57" s="45">
        <v>4</v>
      </c>
      <c r="BO57" s="45">
        <v>4</v>
      </c>
      <c r="BP57" s="45">
        <v>4</v>
      </c>
      <c r="BQ57" s="46">
        <f t="shared" si="11"/>
        <v>4</v>
      </c>
      <c r="BR57" s="45">
        <v>4</v>
      </c>
      <c r="BS57" s="45">
        <v>4</v>
      </c>
      <c r="BT57" s="45">
        <v>2</v>
      </c>
      <c r="BU57" s="45">
        <v>1</v>
      </c>
      <c r="BV57" s="46">
        <f t="shared" si="12"/>
        <v>2.75</v>
      </c>
      <c r="BW57" s="45"/>
      <c r="BX57" s="45"/>
      <c r="BY57" s="45"/>
      <c r="BZ57" s="45"/>
      <c r="CA57" s="46">
        <f t="shared" si="13"/>
        <v>0</v>
      </c>
      <c r="CB57" s="291"/>
      <c r="CC57" s="291"/>
      <c r="CD57" s="291"/>
      <c r="CE57" s="291"/>
      <c r="CF57" s="291"/>
      <c r="CG57" s="291"/>
      <c r="CH57" s="291"/>
      <c r="CI57" s="291"/>
      <c r="CJ57" s="291"/>
      <c r="CK57" s="291"/>
    </row>
    <row r="58" spans="1:89" ht="91.5">
      <c r="A58" s="291">
        <v>2</v>
      </c>
      <c r="B58" s="322">
        <f t="shared" si="14"/>
        <v>55</v>
      </c>
      <c r="C58" s="312" t="s">
        <v>5142</v>
      </c>
      <c r="D58" s="296" t="s">
        <v>5143</v>
      </c>
      <c r="E58" s="334" t="s">
        <v>5144</v>
      </c>
      <c r="F58" s="312" t="s">
        <v>5145</v>
      </c>
      <c r="G58" s="64" t="s">
        <v>5146</v>
      </c>
      <c r="H58" s="74" t="s">
        <v>5147</v>
      </c>
      <c r="I58" s="52" t="s">
        <v>5148</v>
      </c>
      <c r="J58" s="45" t="s">
        <v>3575</v>
      </c>
      <c r="K58" s="53"/>
      <c r="L58" s="54" t="e">
        <f>INDEX([1]Timeline!$E$10:$E$24,MATCH(A58,[1]Timeline!$C$10:$C$24,0))</f>
        <v>#N/A</v>
      </c>
      <c r="M58" s="55">
        <v>45291</v>
      </c>
      <c r="N58" s="56">
        <v>918120</v>
      </c>
      <c r="O58" s="57" t="e">
        <f t="shared" si="0"/>
        <v>#N/A</v>
      </c>
      <c r="P58" s="56" t="e">
        <f t="shared" si="1"/>
        <v>#N/A</v>
      </c>
      <c r="Q58" s="56">
        <f>(1.2*V58/(10^9)*919)-(0.78*V58/(10^9)*739.4)</f>
        <v>1.3793502960000002E-2</v>
      </c>
      <c r="R58" s="57" t="e">
        <f t="shared" si="15"/>
        <v>#N/A</v>
      </c>
      <c r="S58" s="56" t="e">
        <f t="shared" si="16"/>
        <v>#N/A</v>
      </c>
      <c r="T58" s="56" t="s">
        <v>4991</v>
      </c>
      <c r="U58" s="56" t="s">
        <v>4991</v>
      </c>
      <c r="V58" s="56">
        <v>26220</v>
      </c>
      <c r="W58" s="56" t="s">
        <v>4992</v>
      </c>
      <c r="X58" s="56"/>
      <c r="Y58" s="56" t="s">
        <v>3871</v>
      </c>
      <c r="Z58" s="56">
        <v>1</v>
      </c>
      <c r="AA58" s="56">
        <v>1</v>
      </c>
      <c r="AB58" s="58">
        <f>N58/Z58</f>
        <v>918120</v>
      </c>
      <c r="AC58" s="58" t="e">
        <f t="shared" si="2"/>
        <v>#N/A</v>
      </c>
      <c r="AD58" s="58" t="e">
        <f t="shared" si="3"/>
        <v>#N/A</v>
      </c>
      <c r="AE58" s="45">
        <v>1</v>
      </c>
      <c r="AF58" s="59">
        <f t="shared" si="4"/>
        <v>2.6666666666666665</v>
      </c>
      <c r="AG58" s="59">
        <f t="shared" si="17"/>
        <v>3.1666666666666665</v>
      </c>
      <c r="AH58" s="60">
        <f t="shared" si="18"/>
        <v>2.1666666666666665</v>
      </c>
      <c r="AI58" s="45"/>
      <c r="AJ58" s="45"/>
      <c r="AK58" s="45"/>
      <c r="AL58" s="45"/>
      <c r="AM58" s="46">
        <f t="shared" si="5"/>
        <v>0</v>
      </c>
      <c r="AN58" s="45">
        <v>4</v>
      </c>
      <c r="AO58" s="45">
        <v>2</v>
      </c>
      <c r="AP58" s="45">
        <v>2</v>
      </c>
      <c r="AQ58" s="45">
        <v>2</v>
      </c>
      <c r="AR58" s="61">
        <f t="shared" si="6"/>
        <v>2.5</v>
      </c>
      <c r="AS58" s="103">
        <v>4</v>
      </c>
      <c r="AT58" s="102">
        <v>2</v>
      </c>
      <c r="AU58" s="102">
        <v>2</v>
      </c>
      <c r="AV58" s="102">
        <v>3</v>
      </c>
      <c r="AW58" s="46">
        <f t="shared" si="7"/>
        <v>2.75</v>
      </c>
      <c r="AX58" s="45">
        <v>4</v>
      </c>
      <c r="AY58" s="45">
        <v>3</v>
      </c>
      <c r="AZ58" s="45">
        <v>2</v>
      </c>
      <c r="BA58" s="45">
        <v>2</v>
      </c>
      <c r="BB58" s="46">
        <f t="shared" si="8"/>
        <v>2.75</v>
      </c>
      <c r="BC58" s="45"/>
      <c r="BD58" s="45"/>
      <c r="BE58" s="45"/>
      <c r="BF58" s="45"/>
      <c r="BG58" s="47">
        <f t="shared" si="9"/>
        <v>0</v>
      </c>
      <c r="BH58" s="45"/>
      <c r="BI58" s="45"/>
      <c r="BJ58" s="45"/>
      <c r="BK58" s="45"/>
      <c r="BL58" s="46">
        <f t="shared" si="21"/>
        <v>0</v>
      </c>
      <c r="BM58" s="45"/>
      <c r="BN58" s="45"/>
      <c r="BO58" s="45"/>
      <c r="BP58" s="45"/>
      <c r="BQ58" s="46">
        <f t="shared" si="11"/>
        <v>0</v>
      </c>
      <c r="BR58" s="45"/>
      <c r="BS58" s="45"/>
      <c r="BT58" s="45"/>
      <c r="BU58" s="45"/>
      <c r="BV58" s="46">
        <f t="shared" si="12"/>
        <v>0</v>
      </c>
      <c r="BW58" s="45"/>
      <c r="BX58" s="45"/>
      <c r="BY58" s="45"/>
      <c r="BZ58" s="45"/>
      <c r="CA58" s="46">
        <f t="shared" si="13"/>
        <v>0</v>
      </c>
      <c r="CB58" s="291"/>
      <c r="CC58" s="291"/>
      <c r="CD58" s="291"/>
      <c r="CE58" s="291"/>
      <c r="CF58" s="291"/>
      <c r="CG58" s="291"/>
      <c r="CH58" s="291"/>
      <c r="CI58" s="291"/>
      <c r="CJ58" s="291"/>
      <c r="CK58" s="291"/>
    </row>
    <row r="59" spans="1:89" ht="91.5">
      <c r="A59" s="291">
        <v>6</v>
      </c>
      <c r="B59" s="322">
        <f t="shared" si="14"/>
        <v>56</v>
      </c>
      <c r="C59" s="91" t="s">
        <v>4857</v>
      </c>
      <c r="D59" s="91" t="s">
        <v>3998</v>
      </c>
      <c r="E59" s="335" t="s">
        <v>5149</v>
      </c>
      <c r="F59" s="323" t="s">
        <v>5150</v>
      </c>
      <c r="G59" s="64" t="s">
        <v>5151</v>
      </c>
      <c r="H59" s="45" t="s">
        <v>5152</v>
      </c>
      <c r="I59" s="52" t="s">
        <v>5153</v>
      </c>
      <c r="J59" s="45" t="s">
        <v>3575</v>
      </c>
      <c r="K59" s="53"/>
      <c r="L59" s="54" t="e">
        <f>INDEX([1]Timeline!$E$10:$E$24,MATCH(A59,[1]Timeline!$C$10:$C$24,0))</f>
        <v>#N/A</v>
      </c>
      <c r="M59" s="55">
        <v>45291</v>
      </c>
      <c r="N59" s="56">
        <v>2181000</v>
      </c>
      <c r="O59" s="57" t="e">
        <f t="shared" si="0"/>
        <v>#N/A</v>
      </c>
      <c r="P59" s="56" t="e">
        <f t="shared" si="1"/>
        <v>#N/A</v>
      </c>
      <c r="Q59" s="56">
        <f>V59*0.055/8*0.87</f>
        <v>0.32597812500000001</v>
      </c>
      <c r="R59" s="57" t="e">
        <f t="shared" si="15"/>
        <v>#N/A</v>
      </c>
      <c r="S59" s="56" t="e">
        <f t="shared" si="16"/>
        <v>#N/A</v>
      </c>
      <c r="T59" s="56" t="s">
        <v>4940</v>
      </c>
      <c r="U59" s="56" t="s">
        <v>4941</v>
      </c>
      <c r="V59" s="56">
        <f>2180*90/3600</f>
        <v>54.5</v>
      </c>
      <c r="W59" s="56" t="s">
        <v>4959</v>
      </c>
      <c r="X59" s="56">
        <f>V59*0.055/8</f>
        <v>0.37468750000000001</v>
      </c>
      <c r="Y59" s="56" t="s">
        <v>2773</v>
      </c>
      <c r="Z59" s="56">
        <v>1</v>
      </c>
      <c r="AA59" s="56">
        <v>1</v>
      </c>
      <c r="AB59" s="58">
        <f>N59/1</f>
        <v>2181000</v>
      </c>
      <c r="AC59" s="58" t="e">
        <f t="shared" si="2"/>
        <v>#N/A</v>
      </c>
      <c r="AD59" s="58" t="e">
        <f t="shared" si="3"/>
        <v>#N/A</v>
      </c>
      <c r="AE59" s="45">
        <v>1</v>
      </c>
      <c r="AF59" s="59">
        <f t="shared" si="4"/>
        <v>3.125</v>
      </c>
      <c r="AG59" s="59">
        <f t="shared" si="17"/>
        <v>3.75</v>
      </c>
      <c r="AH59" s="60">
        <f t="shared" si="18"/>
        <v>2.5</v>
      </c>
      <c r="AI59" s="45"/>
      <c r="AJ59" s="45"/>
      <c r="AK59" s="45"/>
      <c r="AL59" s="45"/>
      <c r="AM59" s="46">
        <f t="shared" si="5"/>
        <v>0</v>
      </c>
      <c r="AN59" s="45"/>
      <c r="AO59" s="45"/>
      <c r="AP59" s="45"/>
      <c r="AQ59" s="45"/>
      <c r="AR59" s="61">
        <f t="shared" si="6"/>
        <v>0</v>
      </c>
      <c r="AS59" s="64">
        <v>4</v>
      </c>
      <c r="AT59" s="45">
        <v>3</v>
      </c>
      <c r="AU59" s="45">
        <v>3</v>
      </c>
      <c r="AV59" s="45">
        <v>2</v>
      </c>
      <c r="AW59" s="46">
        <f t="shared" si="7"/>
        <v>3</v>
      </c>
      <c r="AX59" s="45"/>
      <c r="AY59" s="45"/>
      <c r="AZ59" s="45"/>
      <c r="BA59" s="45"/>
      <c r="BB59" s="46">
        <f t="shared" si="8"/>
        <v>0</v>
      </c>
      <c r="BC59" s="45">
        <v>4</v>
      </c>
      <c r="BD59" s="45">
        <v>4</v>
      </c>
      <c r="BE59" s="45">
        <v>2</v>
      </c>
      <c r="BF59" s="45">
        <v>3</v>
      </c>
      <c r="BG59" s="47">
        <f t="shared" si="9"/>
        <v>3.25</v>
      </c>
      <c r="BH59" s="45"/>
      <c r="BI59" s="45"/>
      <c r="BJ59" s="45"/>
      <c r="BK59" s="45"/>
      <c r="BL59" s="45"/>
      <c r="BM59" s="45"/>
      <c r="BN59" s="45"/>
      <c r="BO59" s="45"/>
      <c r="BP59" s="45"/>
      <c r="BQ59" s="46">
        <f t="shared" si="11"/>
        <v>0</v>
      </c>
      <c r="BR59" s="45"/>
      <c r="BS59" s="45"/>
      <c r="BT59" s="45"/>
      <c r="BU59" s="45"/>
      <c r="BV59" s="46">
        <f t="shared" si="12"/>
        <v>0</v>
      </c>
      <c r="BW59" s="45"/>
      <c r="BX59" s="45"/>
      <c r="BY59" s="45"/>
      <c r="BZ59" s="45"/>
      <c r="CA59" s="46">
        <f t="shared" si="13"/>
        <v>0</v>
      </c>
      <c r="CB59" s="291"/>
      <c r="CC59" s="291"/>
      <c r="CD59" s="291"/>
      <c r="CE59" s="291"/>
      <c r="CF59" s="291"/>
      <c r="CG59" s="291"/>
      <c r="CH59" s="291"/>
      <c r="CI59" s="291"/>
      <c r="CJ59" s="291"/>
      <c r="CK59" s="291"/>
    </row>
    <row r="60" spans="1:89" ht="117">
      <c r="A60" s="291">
        <v>6</v>
      </c>
      <c r="B60" s="322">
        <f t="shared" si="14"/>
        <v>57</v>
      </c>
      <c r="C60" s="323" t="s">
        <v>4857</v>
      </c>
      <c r="D60" s="323" t="s">
        <v>5154</v>
      </c>
      <c r="E60" s="335" t="s">
        <v>5155</v>
      </c>
      <c r="F60" s="323" t="s">
        <v>5156</v>
      </c>
      <c r="G60" s="331" t="s">
        <v>5157</v>
      </c>
      <c r="H60" s="74" t="s">
        <v>5158</v>
      </c>
      <c r="I60" s="52" t="s">
        <v>5159</v>
      </c>
      <c r="J60" s="45" t="s">
        <v>3575</v>
      </c>
      <c r="K60" s="53"/>
      <c r="L60" s="54" t="e">
        <f>INDEX([1]Timeline!$E$10:$E$24,MATCH(A60,[1]Timeline!$C$10:$C$24,0))</f>
        <v>#N/A</v>
      </c>
      <c r="M60" s="55">
        <v>45291</v>
      </c>
      <c r="N60" s="56">
        <v>274796</v>
      </c>
      <c r="O60" s="57" t="e">
        <f t="shared" si="0"/>
        <v>#N/A</v>
      </c>
      <c r="P60" s="56" t="e">
        <f t="shared" si="1"/>
        <v>#N/A</v>
      </c>
      <c r="Q60" s="56"/>
      <c r="R60" s="57" t="e">
        <f t="shared" si="15"/>
        <v>#N/A</v>
      </c>
      <c r="S60" s="56" t="e">
        <f t="shared" si="16"/>
        <v>#N/A</v>
      </c>
      <c r="T60" s="56"/>
      <c r="U60" s="56"/>
      <c r="V60" s="56"/>
      <c r="W60" s="56"/>
      <c r="X60" s="56"/>
      <c r="Y60" s="56" t="s">
        <v>2773</v>
      </c>
      <c r="Z60" s="56">
        <v>1</v>
      </c>
      <c r="AA60" s="56">
        <v>1</v>
      </c>
      <c r="AB60" s="58">
        <f>N60/1</f>
        <v>274796</v>
      </c>
      <c r="AC60" s="58" t="e">
        <f t="shared" si="2"/>
        <v>#N/A</v>
      </c>
      <c r="AD60" s="58" t="e">
        <f t="shared" si="3"/>
        <v>#N/A</v>
      </c>
      <c r="AE60" s="45">
        <v>1</v>
      </c>
      <c r="AF60" s="59">
        <f t="shared" si="4"/>
        <v>3.125</v>
      </c>
      <c r="AG60" s="59">
        <f t="shared" si="17"/>
        <v>3.5</v>
      </c>
      <c r="AH60" s="60">
        <f t="shared" si="18"/>
        <v>2.75</v>
      </c>
      <c r="AI60" s="45"/>
      <c r="AJ60" s="45"/>
      <c r="AK60" s="45"/>
      <c r="AL60" s="45"/>
      <c r="AM60" s="46">
        <f t="shared" si="5"/>
        <v>0</v>
      </c>
      <c r="AN60" s="45"/>
      <c r="AO60" s="45"/>
      <c r="AP60" s="45"/>
      <c r="AQ60" s="45"/>
      <c r="AR60" s="61">
        <f t="shared" si="6"/>
        <v>0</v>
      </c>
      <c r="AS60" s="64">
        <v>4</v>
      </c>
      <c r="AT60" s="45">
        <v>2</v>
      </c>
      <c r="AU60" s="45">
        <v>3</v>
      </c>
      <c r="AV60" s="45">
        <v>2</v>
      </c>
      <c r="AW60" s="46">
        <f t="shared" si="7"/>
        <v>2.75</v>
      </c>
      <c r="AX60" s="45"/>
      <c r="AY60" s="45"/>
      <c r="AZ60" s="45"/>
      <c r="BA60" s="45"/>
      <c r="BB60" s="46">
        <f t="shared" si="8"/>
        <v>0</v>
      </c>
      <c r="BC60" s="45">
        <v>4</v>
      </c>
      <c r="BD60" s="45">
        <v>4</v>
      </c>
      <c r="BE60" s="45">
        <v>2</v>
      </c>
      <c r="BF60" s="45">
        <v>4</v>
      </c>
      <c r="BG60" s="47">
        <f t="shared" si="9"/>
        <v>3.5</v>
      </c>
      <c r="BH60" s="45"/>
      <c r="BI60" s="45"/>
      <c r="BJ60" s="45"/>
      <c r="BK60" s="45"/>
      <c r="BL60" s="45"/>
      <c r="BM60" s="45"/>
      <c r="BN60" s="45"/>
      <c r="BO60" s="45"/>
      <c r="BP60" s="45"/>
      <c r="BQ60" s="46">
        <f t="shared" si="11"/>
        <v>0</v>
      </c>
      <c r="BR60" s="45"/>
      <c r="BS60" s="45"/>
      <c r="BT60" s="45"/>
      <c r="BU60" s="45"/>
      <c r="BV60" s="46">
        <f t="shared" si="12"/>
        <v>0</v>
      </c>
      <c r="BW60" s="45"/>
      <c r="BX60" s="45"/>
      <c r="BY60" s="45"/>
      <c r="BZ60" s="45"/>
      <c r="CA60" s="46">
        <f t="shared" si="13"/>
        <v>0</v>
      </c>
      <c r="CB60" s="291"/>
      <c r="CC60" s="291"/>
      <c r="CD60" s="291"/>
      <c r="CE60" s="291"/>
      <c r="CF60" s="291"/>
      <c r="CG60" s="291"/>
      <c r="CH60" s="291"/>
      <c r="CI60" s="291"/>
      <c r="CJ60" s="291"/>
      <c r="CK60" s="291"/>
    </row>
    <row r="61" spans="1:89" ht="198">
      <c r="A61" s="291">
        <v>2</v>
      </c>
      <c r="B61" s="291">
        <v>19</v>
      </c>
      <c r="C61" s="91" t="s">
        <v>4857</v>
      </c>
      <c r="D61" s="91" t="s">
        <v>5160</v>
      </c>
      <c r="E61" s="296" t="s">
        <v>5161</v>
      </c>
      <c r="F61" s="296" t="s">
        <v>5162</v>
      </c>
      <c r="G61" s="64" t="s">
        <v>5163</v>
      </c>
      <c r="H61" s="45" t="s">
        <v>5164</v>
      </c>
      <c r="I61" s="52" t="s">
        <v>5165</v>
      </c>
      <c r="J61" s="45" t="s">
        <v>3575</v>
      </c>
      <c r="K61" s="53"/>
      <c r="L61" s="54" t="e">
        <f>INDEX([1]Timeline!$E$10:$E$24,MATCH(A61,[1]Timeline!$C$10:$C$24,0))</f>
        <v>#N/A</v>
      </c>
      <c r="M61" s="55">
        <v>45291</v>
      </c>
      <c r="N61" s="56">
        <v>477463</v>
      </c>
      <c r="O61" s="57" t="e">
        <f t="shared" si="0"/>
        <v>#N/A</v>
      </c>
      <c r="P61" s="56" t="e">
        <f t="shared" si="1"/>
        <v>#N/A</v>
      </c>
      <c r="Q61" s="56">
        <f>V61*0.055/8*0.87</f>
        <v>6.0211249999999994E-2</v>
      </c>
      <c r="R61" s="57" t="e">
        <f t="shared" si="15"/>
        <v>#N/A</v>
      </c>
      <c r="S61" s="56" t="e">
        <f t="shared" si="16"/>
        <v>#N/A</v>
      </c>
      <c r="T61" s="56" t="s">
        <v>4940</v>
      </c>
      <c r="U61" s="56" t="s">
        <v>4941</v>
      </c>
      <c r="V61" s="56">
        <f>240*151/3600</f>
        <v>10.066666666666666</v>
      </c>
      <c r="W61" s="56" t="s">
        <v>4959</v>
      </c>
      <c r="X61" s="56">
        <f>V61*0.055/8</f>
        <v>6.920833333333333E-2</v>
      </c>
      <c r="Y61" s="56" t="s">
        <v>2773</v>
      </c>
      <c r="Z61" s="56">
        <v>1</v>
      </c>
      <c r="AA61" s="56">
        <v>1</v>
      </c>
      <c r="AB61" s="58">
        <f>N61/Z61</f>
        <v>477463</v>
      </c>
      <c r="AC61" s="58" t="e">
        <f t="shared" si="2"/>
        <v>#N/A</v>
      </c>
      <c r="AD61" s="58" t="e">
        <f t="shared" si="3"/>
        <v>#N/A</v>
      </c>
      <c r="AE61" s="45">
        <v>1</v>
      </c>
      <c r="AF61" s="59">
        <f t="shared" si="4"/>
        <v>2.75</v>
      </c>
      <c r="AG61" s="59">
        <f t="shared" si="17"/>
        <v>3.8333333333333335</v>
      </c>
      <c r="AH61" s="60">
        <f t="shared" si="18"/>
        <v>1.6666666666666667</v>
      </c>
      <c r="AI61" s="45"/>
      <c r="AJ61" s="45"/>
      <c r="AK61" s="45"/>
      <c r="AL61" s="45"/>
      <c r="AM61" s="46">
        <f t="shared" si="5"/>
        <v>0</v>
      </c>
      <c r="AN61" s="45">
        <v>4</v>
      </c>
      <c r="AO61" s="45">
        <v>4</v>
      </c>
      <c r="AP61" s="45">
        <v>1</v>
      </c>
      <c r="AQ61" s="45">
        <v>2</v>
      </c>
      <c r="AR61" s="61">
        <f t="shared" si="6"/>
        <v>2.75</v>
      </c>
      <c r="AS61" s="103">
        <v>4</v>
      </c>
      <c r="AT61" s="102">
        <v>3</v>
      </c>
      <c r="AU61" s="102">
        <v>2</v>
      </c>
      <c r="AV61" s="102">
        <v>2</v>
      </c>
      <c r="AW61" s="46">
        <f t="shared" si="7"/>
        <v>2.75</v>
      </c>
      <c r="AX61" s="45">
        <v>4</v>
      </c>
      <c r="AY61" s="45">
        <v>4</v>
      </c>
      <c r="AZ61" s="45">
        <v>1</v>
      </c>
      <c r="BA61" s="45">
        <v>2</v>
      </c>
      <c r="BB61" s="46">
        <f t="shared" si="8"/>
        <v>2.75</v>
      </c>
      <c r="BC61" s="45"/>
      <c r="BD61" s="45"/>
      <c r="BE61" s="45"/>
      <c r="BF61" s="45"/>
      <c r="BG61" s="47">
        <f t="shared" si="9"/>
        <v>0</v>
      </c>
      <c r="BH61" s="45"/>
      <c r="BI61" s="45"/>
      <c r="BJ61" s="45"/>
      <c r="BK61" s="45"/>
      <c r="BL61" s="46">
        <f t="shared" ref="BL61:BL68" si="22">IFERROR(SUM(BH61:BK61)/4,0)</f>
        <v>0</v>
      </c>
      <c r="BM61" s="45"/>
      <c r="BN61" s="45"/>
      <c r="BO61" s="45"/>
      <c r="BP61" s="45"/>
      <c r="BQ61" s="46">
        <f t="shared" si="11"/>
        <v>0</v>
      </c>
      <c r="BR61" s="45"/>
      <c r="BS61" s="45"/>
      <c r="BT61" s="45"/>
      <c r="BU61" s="45"/>
      <c r="BV61" s="46">
        <f t="shared" si="12"/>
        <v>0</v>
      </c>
      <c r="BW61" s="45"/>
      <c r="BX61" s="45"/>
      <c r="BY61" s="45"/>
      <c r="BZ61" s="45"/>
      <c r="CA61" s="46">
        <f t="shared" si="13"/>
        <v>0</v>
      </c>
      <c r="CB61" s="291"/>
      <c r="CC61" s="291"/>
      <c r="CD61" s="291"/>
      <c r="CE61" s="291"/>
      <c r="CF61" s="291"/>
      <c r="CG61" s="291"/>
      <c r="CH61" s="291"/>
      <c r="CI61" s="291"/>
      <c r="CJ61" s="291"/>
      <c r="CK61" s="291"/>
    </row>
    <row r="62" spans="1:89" ht="91.5">
      <c r="A62" s="291">
        <v>12</v>
      </c>
      <c r="B62" s="322">
        <f t="shared" ref="B62:B69" si="23">IFERROR(B61+1,1)</f>
        <v>20</v>
      </c>
      <c r="C62" s="312" t="s">
        <v>4857</v>
      </c>
      <c r="D62" s="296" t="s">
        <v>3737</v>
      </c>
      <c r="E62" s="296" t="s">
        <v>5166</v>
      </c>
      <c r="F62" s="296" t="s">
        <v>5167</v>
      </c>
      <c r="G62" s="64" t="s">
        <v>5168</v>
      </c>
      <c r="H62" s="45" t="s">
        <v>5169</v>
      </c>
      <c r="I62" s="52" t="s">
        <v>5170</v>
      </c>
      <c r="J62" s="45" t="s">
        <v>3575</v>
      </c>
      <c r="K62" s="53"/>
      <c r="L62" s="54" t="e">
        <f>INDEX([1]Timeline!$E$10:$E$24,MATCH(A62,[1]Timeline!$C$10:$C$24,0))</f>
        <v>#N/A</v>
      </c>
      <c r="M62" s="55">
        <v>45291</v>
      </c>
      <c r="N62" s="56">
        <v>560000</v>
      </c>
      <c r="O62" s="57" t="e">
        <f t="shared" si="0"/>
        <v>#N/A</v>
      </c>
      <c r="P62" s="56" t="e">
        <f t="shared" si="1"/>
        <v>#N/A</v>
      </c>
      <c r="Q62" s="56">
        <f>V62*0.055/8*0.87</f>
        <v>8.3737500000000006E-2</v>
      </c>
      <c r="R62" s="57" t="e">
        <f t="shared" si="15"/>
        <v>#N/A</v>
      </c>
      <c r="S62" s="56" t="e">
        <f t="shared" si="16"/>
        <v>#N/A</v>
      </c>
      <c r="T62" s="56" t="s">
        <v>4940</v>
      </c>
      <c r="U62" s="56" t="s">
        <v>4941</v>
      </c>
      <c r="V62" s="56">
        <f>120*14*30/3600</f>
        <v>14</v>
      </c>
      <c r="W62" s="56" t="s">
        <v>4959</v>
      </c>
      <c r="X62" s="56">
        <f>V62*0.055/8</f>
        <v>9.6250000000000002E-2</v>
      </c>
      <c r="Y62" s="56" t="s">
        <v>2773</v>
      </c>
      <c r="Z62" s="56">
        <v>1</v>
      </c>
      <c r="AA62" s="56">
        <v>1</v>
      </c>
      <c r="AB62" s="58">
        <f>N62/1</f>
        <v>560000</v>
      </c>
      <c r="AC62" s="58" t="e">
        <f t="shared" si="2"/>
        <v>#N/A</v>
      </c>
      <c r="AD62" s="58" t="e">
        <f t="shared" si="3"/>
        <v>#N/A</v>
      </c>
      <c r="AE62" s="45">
        <v>1</v>
      </c>
      <c r="AF62" s="59" t="e">
        <f t="shared" si="4"/>
        <v>#DIV/0!</v>
      </c>
      <c r="AG62" s="59" t="e">
        <f t="shared" si="17"/>
        <v>#DIV/0!</v>
      </c>
      <c r="AH62" s="60" t="e">
        <f t="shared" si="18"/>
        <v>#DIV/0!</v>
      </c>
      <c r="AI62" s="45"/>
      <c r="AJ62" s="45"/>
      <c r="AK62" s="45"/>
      <c r="AL62" s="45"/>
      <c r="AM62" s="46">
        <f t="shared" si="5"/>
        <v>0</v>
      </c>
      <c r="AN62" s="45"/>
      <c r="AO62" s="45"/>
      <c r="AP62" s="45"/>
      <c r="AQ62" s="45"/>
      <c r="AR62" s="61">
        <f t="shared" si="6"/>
        <v>0</v>
      </c>
      <c r="AS62" s="64"/>
      <c r="AT62" s="45"/>
      <c r="AU62" s="45"/>
      <c r="AV62" s="45"/>
      <c r="AW62" s="46">
        <f t="shared" si="7"/>
        <v>0</v>
      </c>
      <c r="AX62" s="45"/>
      <c r="AY62" s="45"/>
      <c r="AZ62" s="45"/>
      <c r="BA62" s="45"/>
      <c r="BB62" s="46">
        <f t="shared" si="8"/>
        <v>0</v>
      </c>
      <c r="BC62" s="45"/>
      <c r="BD62" s="45"/>
      <c r="BE62" s="45"/>
      <c r="BF62" s="45"/>
      <c r="BG62" s="47">
        <f t="shared" si="9"/>
        <v>0</v>
      </c>
      <c r="BH62" s="45"/>
      <c r="BI62" s="45"/>
      <c r="BJ62" s="45"/>
      <c r="BK62" s="45"/>
      <c r="BL62" s="46">
        <f t="shared" si="22"/>
        <v>0</v>
      </c>
      <c r="BM62" s="45"/>
      <c r="BN62" s="45"/>
      <c r="BO62" s="45"/>
      <c r="BP62" s="45"/>
      <c r="BQ62" s="46">
        <f t="shared" si="11"/>
        <v>0</v>
      </c>
      <c r="BR62" s="45"/>
      <c r="BS62" s="45"/>
      <c r="BT62" s="45"/>
      <c r="BU62" s="45"/>
      <c r="BV62" s="46">
        <f t="shared" si="12"/>
        <v>0</v>
      </c>
      <c r="BW62" s="45"/>
      <c r="BX62" s="45"/>
      <c r="BY62" s="45"/>
      <c r="BZ62" s="45"/>
      <c r="CA62" s="46">
        <f t="shared" si="13"/>
        <v>0</v>
      </c>
      <c r="CB62" s="291"/>
      <c r="CC62" s="291"/>
      <c r="CD62" s="291"/>
      <c r="CE62" s="291"/>
      <c r="CF62" s="291"/>
      <c r="CG62" s="291"/>
      <c r="CH62" s="291"/>
      <c r="CI62" s="291"/>
      <c r="CJ62" s="291"/>
      <c r="CK62" s="291"/>
    </row>
    <row r="63" spans="1:89" ht="137.25">
      <c r="A63" s="291">
        <v>5</v>
      </c>
      <c r="B63" s="322">
        <f t="shared" si="23"/>
        <v>21</v>
      </c>
      <c r="C63" s="91" t="s">
        <v>4785</v>
      </c>
      <c r="D63" s="91" t="s">
        <v>3871</v>
      </c>
      <c r="E63" s="92" t="s">
        <v>5171</v>
      </c>
      <c r="F63" s="296" t="s">
        <v>5172</v>
      </c>
      <c r="G63" s="331" t="s">
        <v>5173</v>
      </c>
      <c r="H63" s="74" t="s">
        <v>5174</v>
      </c>
      <c r="I63" s="52" t="s">
        <v>5175</v>
      </c>
      <c r="J63" s="45" t="s">
        <v>3575</v>
      </c>
      <c r="K63" s="53"/>
      <c r="L63" s="54" t="e">
        <f>INDEX([1]Timeline!$E$10:$E$24,MATCH(A63,[1]Timeline!$C$10:$C$24,0))</f>
        <v>#N/A</v>
      </c>
      <c r="M63" s="55">
        <v>45291</v>
      </c>
      <c r="N63" s="56">
        <v>2970000</v>
      </c>
      <c r="O63" s="57" t="e">
        <f t="shared" si="0"/>
        <v>#N/A</v>
      </c>
      <c r="P63" s="56" t="e">
        <f t="shared" si="1"/>
        <v>#N/A</v>
      </c>
      <c r="Q63" s="56"/>
      <c r="R63" s="57" t="e">
        <f t="shared" si="15"/>
        <v>#N/A</v>
      </c>
      <c r="S63" s="56" t="e">
        <f t="shared" si="16"/>
        <v>#N/A</v>
      </c>
      <c r="T63" s="56"/>
      <c r="U63" s="56"/>
      <c r="V63" s="56"/>
      <c r="W63" s="56"/>
      <c r="X63" s="56"/>
      <c r="Y63" s="56" t="s">
        <v>3871</v>
      </c>
      <c r="Z63" s="56">
        <v>1</v>
      </c>
      <c r="AA63" s="56">
        <v>1</v>
      </c>
      <c r="AB63" s="58">
        <f t="shared" ref="AB63:AB68" si="24">N63/Z63</f>
        <v>2970000</v>
      </c>
      <c r="AC63" s="58" t="e">
        <f t="shared" si="2"/>
        <v>#N/A</v>
      </c>
      <c r="AD63" s="58" t="e">
        <f t="shared" si="3"/>
        <v>#N/A</v>
      </c>
      <c r="AE63" s="45">
        <v>1</v>
      </c>
      <c r="AF63" s="59">
        <f t="shared" si="4"/>
        <v>3</v>
      </c>
      <c r="AG63" s="59">
        <f t="shared" si="17"/>
        <v>3.1666666666666665</v>
      </c>
      <c r="AH63" s="60">
        <f t="shared" si="18"/>
        <v>2.8333333333333335</v>
      </c>
      <c r="AI63" s="45">
        <v>3</v>
      </c>
      <c r="AJ63" s="45">
        <v>3</v>
      </c>
      <c r="AK63" s="45">
        <v>2</v>
      </c>
      <c r="AL63" s="45">
        <v>2</v>
      </c>
      <c r="AM63" s="46">
        <f t="shared" si="5"/>
        <v>2.5</v>
      </c>
      <c r="AN63" s="45"/>
      <c r="AO63" s="45"/>
      <c r="AP63" s="45"/>
      <c r="AQ63" s="45"/>
      <c r="AR63" s="61">
        <f t="shared" si="6"/>
        <v>0</v>
      </c>
      <c r="AS63" s="64">
        <v>3</v>
      </c>
      <c r="AT63" s="45">
        <v>3</v>
      </c>
      <c r="AU63" s="45">
        <v>4</v>
      </c>
      <c r="AV63" s="45">
        <v>3</v>
      </c>
      <c r="AW63" s="46">
        <f t="shared" si="7"/>
        <v>3.25</v>
      </c>
      <c r="AX63" s="45"/>
      <c r="AY63" s="45"/>
      <c r="AZ63" s="45"/>
      <c r="BA63" s="45"/>
      <c r="BB63" s="46">
        <f t="shared" si="8"/>
        <v>0</v>
      </c>
      <c r="BC63" s="45">
        <v>4</v>
      </c>
      <c r="BD63" s="45">
        <v>3</v>
      </c>
      <c r="BE63" s="45">
        <v>2</v>
      </c>
      <c r="BF63" s="45">
        <v>4</v>
      </c>
      <c r="BG63" s="47">
        <f t="shared" si="9"/>
        <v>3.25</v>
      </c>
      <c r="BH63" s="45"/>
      <c r="BI63" s="45"/>
      <c r="BJ63" s="45"/>
      <c r="BK63" s="45"/>
      <c r="BL63" s="46">
        <f t="shared" si="22"/>
        <v>0</v>
      </c>
      <c r="BM63" s="45"/>
      <c r="BN63" s="45"/>
      <c r="BO63" s="45"/>
      <c r="BP63" s="45"/>
      <c r="BQ63" s="46">
        <f t="shared" si="11"/>
        <v>0</v>
      </c>
      <c r="BR63" s="45"/>
      <c r="BS63" s="45"/>
      <c r="BT63" s="45"/>
      <c r="BU63" s="45"/>
      <c r="BV63" s="46">
        <f t="shared" si="12"/>
        <v>0</v>
      </c>
      <c r="BW63" s="45"/>
      <c r="BX63" s="45"/>
      <c r="BY63" s="45"/>
      <c r="BZ63" s="45"/>
      <c r="CA63" s="46">
        <f t="shared" si="13"/>
        <v>0</v>
      </c>
      <c r="CB63" s="291"/>
      <c r="CC63" s="291"/>
      <c r="CD63" s="291"/>
      <c r="CE63" s="291"/>
      <c r="CF63" s="291"/>
      <c r="CG63" s="291"/>
      <c r="CH63" s="291"/>
      <c r="CI63" s="291"/>
      <c r="CJ63" s="291"/>
      <c r="CK63" s="291"/>
    </row>
    <row r="64" spans="1:89" ht="137.25">
      <c r="A64" s="291">
        <v>3</v>
      </c>
      <c r="B64" s="322">
        <f t="shared" si="23"/>
        <v>22</v>
      </c>
      <c r="C64" s="91" t="s">
        <v>2817</v>
      </c>
      <c r="D64" s="91" t="s">
        <v>5176</v>
      </c>
      <c r="E64" s="296" t="s">
        <v>5177</v>
      </c>
      <c r="F64" s="296" t="s">
        <v>5178</v>
      </c>
      <c r="G64" s="64" t="s">
        <v>5179</v>
      </c>
      <c r="H64" s="45" t="s">
        <v>5180</v>
      </c>
      <c r="I64" s="52" t="s">
        <v>5181</v>
      </c>
      <c r="J64" s="45" t="s">
        <v>3575</v>
      </c>
      <c r="K64" s="53"/>
      <c r="L64" s="54" t="e">
        <f>INDEX([1]Timeline!$E$10:$E$24,MATCH(A64,[1]Timeline!$C$10:$C$24,0))</f>
        <v>#N/A</v>
      </c>
      <c r="M64" s="55">
        <v>45291</v>
      </c>
      <c r="N64" s="56">
        <v>1428000</v>
      </c>
      <c r="O64" s="57" t="e">
        <f t="shared" si="0"/>
        <v>#N/A</v>
      </c>
      <c r="P64" s="56" t="e">
        <f t="shared" si="1"/>
        <v>#N/A</v>
      </c>
      <c r="Q64" s="56">
        <f>V64*0.055/8*0.87</f>
        <v>0.100485</v>
      </c>
      <c r="R64" s="57" t="e">
        <f t="shared" si="15"/>
        <v>#N/A</v>
      </c>
      <c r="S64" s="56" t="e">
        <f t="shared" si="16"/>
        <v>#N/A</v>
      </c>
      <c r="T64" s="56" t="s">
        <v>4940</v>
      </c>
      <c r="U64" s="56" t="s">
        <v>4941</v>
      </c>
      <c r="V64" s="56">
        <v>16.8</v>
      </c>
      <c r="W64" s="56" t="s">
        <v>4959</v>
      </c>
      <c r="X64" s="56">
        <f>V64*0.055/8</f>
        <v>0.11550000000000001</v>
      </c>
      <c r="Y64" s="56" t="s">
        <v>2817</v>
      </c>
      <c r="Z64" s="56">
        <v>1</v>
      </c>
      <c r="AA64" s="56">
        <v>1</v>
      </c>
      <c r="AB64" s="58">
        <f t="shared" si="24"/>
        <v>1428000</v>
      </c>
      <c r="AC64" s="58" t="e">
        <f t="shared" si="2"/>
        <v>#N/A</v>
      </c>
      <c r="AD64" s="58" t="e">
        <f t="shared" si="3"/>
        <v>#N/A</v>
      </c>
      <c r="AE64" s="45">
        <v>1</v>
      </c>
      <c r="AF64" s="59">
        <f t="shared" si="4"/>
        <v>2.625</v>
      </c>
      <c r="AG64" s="59">
        <f t="shared" si="17"/>
        <v>3.5</v>
      </c>
      <c r="AH64" s="60">
        <f t="shared" si="18"/>
        <v>1.75</v>
      </c>
      <c r="AI64" s="45"/>
      <c r="AJ64" s="45"/>
      <c r="AK64" s="45"/>
      <c r="AL64" s="45"/>
      <c r="AM64" s="46">
        <f t="shared" si="5"/>
        <v>0</v>
      </c>
      <c r="AN64" s="45">
        <v>4</v>
      </c>
      <c r="AO64" s="45">
        <v>4</v>
      </c>
      <c r="AP64" s="45">
        <v>1</v>
      </c>
      <c r="AQ64" s="45">
        <v>2</v>
      </c>
      <c r="AR64" s="61">
        <f t="shared" si="6"/>
        <v>2.75</v>
      </c>
      <c r="AS64" s="103">
        <v>3</v>
      </c>
      <c r="AT64" s="102">
        <v>3</v>
      </c>
      <c r="AU64" s="102">
        <v>2</v>
      </c>
      <c r="AV64" s="102">
        <v>2</v>
      </c>
      <c r="AW64" s="46">
        <f t="shared" si="7"/>
        <v>2.5</v>
      </c>
      <c r="AX64" s="45"/>
      <c r="AY64" s="45"/>
      <c r="AZ64" s="45"/>
      <c r="BA64" s="45"/>
      <c r="BB64" s="46">
        <f t="shared" si="8"/>
        <v>0</v>
      </c>
      <c r="BC64" s="45"/>
      <c r="BD64" s="45"/>
      <c r="BE64" s="45"/>
      <c r="BF64" s="45"/>
      <c r="BG64" s="47">
        <f t="shared" si="9"/>
        <v>0</v>
      </c>
      <c r="BH64" s="45"/>
      <c r="BI64" s="45"/>
      <c r="BJ64" s="45"/>
      <c r="BK64" s="45"/>
      <c r="BL64" s="46">
        <f t="shared" si="22"/>
        <v>0</v>
      </c>
      <c r="BM64" s="45"/>
      <c r="BN64" s="45"/>
      <c r="BO64" s="45"/>
      <c r="BP64" s="45"/>
      <c r="BQ64" s="46">
        <f t="shared" si="11"/>
        <v>0</v>
      </c>
      <c r="BR64" s="45"/>
      <c r="BS64" s="45"/>
      <c r="BT64" s="45"/>
      <c r="BU64" s="45"/>
      <c r="BV64" s="46">
        <f t="shared" si="12"/>
        <v>0</v>
      </c>
      <c r="BW64" s="45"/>
      <c r="BX64" s="45"/>
      <c r="BY64" s="45"/>
      <c r="BZ64" s="45"/>
      <c r="CA64" s="46">
        <f t="shared" si="13"/>
        <v>0</v>
      </c>
      <c r="CB64" s="291"/>
      <c r="CC64" s="291"/>
      <c r="CD64" s="291"/>
      <c r="CE64" s="291"/>
      <c r="CF64" s="291"/>
      <c r="CG64" s="291"/>
      <c r="CH64" s="291"/>
      <c r="CI64" s="291"/>
      <c r="CJ64" s="291"/>
      <c r="CK64" s="291"/>
    </row>
    <row r="65" spans="1:89" ht="150.75">
      <c r="A65" s="291">
        <v>1</v>
      </c>
      <c r="B65" s="322">
        <f t="shared" si="23"/>
        <v>23</v>
      </c>
      <c r="C65" s="312" t="s">
        <v>5182</v>
      </c>
      <c r="D65" s="296" t="s">
        <v>3900</v>
      </c>
      <c r="E65" s="296" t="s">
        <v>5183</v>
      </c>
      <c r="F65" s="296" t="s">
        <v>5184</v>
      </c>
      <c r="G65" s="336" t="s">
        <v>5185</v>
      </c>
      <c r="H65" s="45" t="s">
        <v>5186</v>
      </c>
      <c r="I65" s="52" t="s">
        <v>5187</v>
      </c>
      <c r="J65" s="45" t="s">
        <v>3575</v>
      </c>
      <c r="K65" s="53"/>
      <c r="L65" s="54" t="e">
        <f>INDEX([1]Timeline!$E$10:$E$24,MATCH(A65,[1]Timeline!$C$10:$C$24,0))</f>
        <v>#N/A</v>
      </c>
      <c r="M65" s="55">
        <v>45291</v>
      </c>
      <c r="N65" s="56">
        <v>300000</v>
      </c>
      <c r="O65" s="57" t="e">
        <f t="shared" si="0"/>
        <v>#N/A</v>
      </c>
      <c r="P65" s="56" t="e">
        <f t="shared" si="1"/>
        <v>#N/A</v>
      </c>
      <c r="Q65" s="56"/>
      <c r="R65" s="57" t="e">
        <f t="shared" si="15"/>
        <v>#N/A</v>
      </c>
      <c r="S65" s="56" t="e">
        <f t="shared" si="16"/>
        <v>#N/A</v>
      </c>
      <c r="T65" s="56"/>
      <c r="U65" s="56"/>
      <c r="V65" s="56"/>
      <c r="W65" s="56"/>
      <c r="X65" s="56"/>
      <c r="Y65" s="56" t="s">
        <v>3900</v>
      </c>
      <c r="Z65" s="56">
        <v>1</v>
      </c>
      <c r="AA65" s="56">
        <v>1</v>
      </c>
      <c r="AB65" s="58">
        <f t="shared" si="24"/>
        <v>300000</v>
      </c>
      <c r="AC65" s="58" t="e">
        <f t="shared" si="2"/>
        <v>#N/A</v>
      </c>
      <c r="AD65" s="58" t="e">
        <f t="shared" si="3"/>
        <v>#N/A</v>
      </c>
      <c r="AE65" s="45">
        <v>1</v>
      </c>
      <c r="AF65" s="59">
        <f t="shared" si="4"/>
        <v>2.35</v>
      </c>
      <c r="AG65" s="59">
        <f t="shared" si="17"/>
        <v>2.7</v>
      </c>
      <c r="AH65" s="60">
        <f t="shared" si="18"/>
        <v>2</v>
      </c>
      <c r="AI65" s="45"/>
      <c r="AJ65" s="45"/>
      <c r="AK65" s="45"/>
      <c r="AL65" s="45"/>
      <c r="AM65" s="46">
        <f t="shared" si="5"/>
        <v>0</v>
      </c>
      <c r="AN65" s="45">
        <v>3</v>
      </c>
      <c r="AO65" s="45">
        <v>2</v>
      </c>
      <c r="AP65" s="45">
        <v>2</v>
      </c>
      <c r="AQ65" s="45">
        <v>2</v>
      </c>
      <c r="AR65" s="61">
        <f t="shared" si="6"/>
        <v>2.25</v>
      </c>
      <c r="AS65" s="103">
        <v>3</v>
      </c>
      <c r="AT65" s="102">
        <v>2</v>
      </c>
      <c r="AU65" s="102">
        <v>2</v>
      </c>
      <c r="AV65" s="102">
        <v>1</v>
      </c>
      <c r="AW65" s="46">
        <f t="shared" si="7"/>
        <v>2</v>
      </c>
      <c r="AX65" s="45">
        <v>2</v>
      </c>
      <c r="AY65" s="45">
        <v>2</v>
      </c>
      <c r="AZ65" s="45">
        <v>2</v>
      </c>
      <c r="BA65" s="45">
        <v>2</v>
      </c>
      <c r="BB65" s="46">
        <f t="shared" si="8"/>
        <v>2</v>
      </c>
      <c r="BC65" s="45"/>
      <c r="BD65" s="45"/>
      <c r="BE65" s="45"/>
      <c r="BF65" s="45"/>
      <c r="BG65" s="47">
        <f t="shared" si="9"/>
        <v>0</v>
      </c>
      <c r="BH65" s="45"/>
      <c r="BI65" s="45"/>
      <c r="BJ65" s="45"/>
      <c r="BK65" s="45"/>
      <c r="BL65" s="46">
        <f t="shared" si="22"/>
        <v>0</v>
      </c>
      <c r="BM65" s="45">
        <v>3</v>
      </c>
      <c r="BN65" s="45">
        <v>3</v>
      </c>
      <c r="BO65" s="45">
        <v>3</v>
      </c>
      <c r="BP65" s="45">
        <v>3</v>
      </c>
      <c r="BQ65" s="46">
        <f t="shared" si="11"/>
        <v>3</v>
      </c>
      <c r="BR65" s="45">
        <v>4</v>
      </c>
      <c r="BS65" s="45">
        <v>3</v>
      </c>
      <c r="BT65" s="45">
        <v>2</v>
      </c>
      <c r="BU65" s="45">
        <v>1</v>
      </c>
      <c r="BV65" s="46">
        <f t="shared" si="12"/>
        <v>2.5</v>
      </c>
      <c r="BW65" s="45"/>
      <c r="BX65" s="45"/>
      <c r="BY65" s="45"/>
      <c r="BZ65" s="45"/>
      <c r="CA65" s="46">
        <f t="shared" si="13"/>
        <v>0</v>
      </c>
      <c r="CB65" s="291"/>
      <c r="CC65" s="291"/>
      <c r="CD65" s="291"/>
      <c r="CE65" s="291"/>
      <c r="CF65" s="291"/>
      <c r="CG65" s="291"/>
      <c r="CH65" s="291"/>
      <c r="CI65" s="291"/>
      <c r="CJ65" s="291"/>
      <c r="CK65" s="291"/>
    </row>
    <row r="66" spans="1:89" s="314" customFormat="1" ht="198">
      <c r="A66" s="291">
        <v>1</v>
      </c>
      <c r="B66" s="322">
        <f t="shared" si="23"/>
        <v>24</v>
      </c>
      <c r="C66" s="312" t="s">
        <v>4857</v>
      </c>
      <c r="D66" s="296" t="s">
        <v>5188</v>
      </c>
      <c r="E66" s="296" t="s">
        <v>5189</v>
      </c>
      <c r="F66" s="296" t="s">
        <v>5190</v>
      </c>
      <c r="G66" s="64" t="s">
        <v>5191</v>
      </c>
      <c r="H66" s="45" t="s">
        <v>5192</v>
      </c>
      <c r="I66" s="52" t="s">
        <v>5193</v>
      </c>
      <c r="J66" s="45" t="s">
        <v>3575</v>
      </c>
      <c r="K66" s="53"/>
      <c r="L66" s="54" t="e">
        <f>INDEX([1]Timeline!$E$10:$E$24,MATCH(A66,[1]Timeline!$C$10:$C$24,0))</f>
        <v>#N/A</v>
      </c>
      <c r="M66" s="55">
        <v>45291</v>
      </c>
      <c r="N66" s="56">
        <v>510000</v>
      </c>
      <c r="O66" s="57" t="e">
        <f t="shared" si="0"/>
        <v>#N/A</v>
      </c>
      <c r="P66" s="56" t="e">
        <f t="shared" si="1"/>
        <v>#N/A</v>
      </c>
      <c r="Q66" s="56">
        <f>V66*0.055/8*0.87</f>
        <v>3.5887500000000003E-2</v>
      </c>
      <c r="R66" s="57" t="e">
        <f t="shared" si="15"/>
        <v>#N/A</v>
      </c>
      <c r="S66" s="56" t="e">
        <f t="shared" si="16"/>
        <v>#N/A</v>
      </c>
      <c r="T66" s="56" t="s">
        <v>4940</v>
      </c>
      <c r="U66" s="56" t="s">
        <v>4941</v>
      </c>
      <c r="V66" s="56">
        <f>21600/3600</f>
        <v>6</v>
      </c>
      <c r="W66" s="56" t="s">
        <v>4959</v>
      </c>
      <c r="X66" s="56">
        <f>V66*0.055/8</f>
        <v>4.1250000000000002E-2</v>
      </c>
      <c r="Y66" s="56" t="s">
        <v>2773</v>
      </c>
      <c r="Z66" s="56">
        <v>1</v>
      </c>
      <c r="AA66" s="56">
        <v>1</v>
      </c>
      <c r="AB66" s="58">
        <f t="shared" si="24"/>
        <v>510000</v>
      </c>
      <c r="AC66" s="58" t="e">
        <f t="shared" si="2"/>
        <v>#N/A</v>
      </c>
      <c r="AD66" s="58" t="e">
        <f t="shared" si="3"/>
        <v>#N/A</v>
      </c>
      <c r="AE66" s="45">
        <v>1</v>
      </c>
      <c r="AF66" s="59">
        <f t="shared" si="4"/>
        <v>2.5499999999999998</v>
      </c>
      <c r="AG66" s="59">
        <f t="shared" si="17"/>
        <v>3.5</v>
      </c>
      <c r="AH66" s="60">
        <f t="shared" si="18"/>
        <v>1.6</v>
      </c>
      <c r="AI66" s="45"/>
      <c r="AJ66" s="45"/>
      <c r="AK66" s="45"/>
      <c r="AL66" s="45"/>
      <c r="AM66" s="46">
        <f t="shared" si="5"/>
        <v>0</v>
      </c>
      <c r="AN66" s="45">
        <v>4</v>
      </c>
      <c r="AO66" s="45">
        <v>3</v>
      </c>
      <c r="AP66" s="45">
        <v>1</v>
      </c>
      <c r="AQ66" s="45">
        <v>1</v>
      </c>
      <c r="AR66" s="61">
        <f t="shared" si="6"/>
        <v>2.25</v>
      </c>
      <c r="AS66" s="103">
        <v>3</v>
      </c>
      <c r="AT66" s="102">
        <v>3</v>
      </c>
      <c r="AU66" s="102">
        <v>2</v>
      </c>
      <c r="AV66" s="102">
        <v>2</v>
      </c>
      <c r="AW66" s="46">
        <f t="shared" si="7"/>
        <v>2.5</v>
      </c>
      <c r="AX66" s="45">
        <v>4</v>
      </c>
      <c r="AY66" s="45">
        <v>3</v>
      </c>
      <c r="AZ66" s="45">
        <v>1</v>
      </c>
      <c r="BA66" s="45">
        <v>1</v>
      </c>
      <c r="BB66" s="46">
        <f t="shared" si="8"/>
        <v>2.25</v>
      </c>
      <c r="BC66" s="45"/>
      <c r="BD66" s="45"/>
      <c r="BE66" s="45"/>
      <c r="BF66" s="45"/>
      <c r="BG66" s="47">
        <f t="shared" si="9"/>
        <v>0</v>
      </c>
      <c r="BH66" s="45"/>
      <c r="BI66" s="45"/>
      <c r="BJ66" s="45"/>
      <c r="BK66" s="45"/>
      <c r="BL66" s="46">
        <f t="shared" si="22"/>
        <v>0</v>
      </c>
      <c r="BM66" s="45">
        <v>4</v>
      </c>
      <c r="BN66" s="45">
        <v>4</v>
      </c>
      <c r="BO66" s="45">
        <v>3</v>
      </c>
      <c r="BP66" s="45">
        <v>3</v>
      </c>
      <c r="BQ66" s="46">
        <f t="shared" si="11"/>
        <v>3.5</v>
      </c>
      <c r="BR66" s="45">
        <v>4</v>
      </c>
      <c r="BS66" s="45">
        <v>3</v>
      </c>
      <c r="BT66" s="45">
        <v>1</v>
      </c>
      <c r="BU66" s="45">
        <v>1</v>
      </c>
      <c r="BV66" s="46">
        <f t="shared" si="12"/>
        <v>2.25</v>
      </c>
      <c r="BW66" s="45"/>
      <c r="BX66" s="45"/>
      <c r="BY66" s="45"/>
      <c r="BZ66" s="45"/>
      <c r="CA66" s="46">
        <f t="shared" si="13"/>
        <v>0</v>
      </c>
      <c r="CB66" s="319"/>
      <c r="CC66" s="319"/>
      <c r="CD66" s="319"/>
      <c r="CE66" s="319"/>
      <c r="CF66" s="319"/>
      <c r="CG66" s="319"/>
      <c r="CH66" s="319"/>
      <c r="CI66" s="319"/>
      <c r="CJ66" s="319"/>
      <c r="CK66" s="319"/>
    </row>
    <row r="67" spans="1:89" s="314" customFormat="1" ht="183">
      <c r="A67" s="291">
        <v>1</v>
      </c>
      <c r="B67" s="322">
        <f t="shared" si="23"/>
        <v>25</v>
      </c>
      <c r="C67" s="312" t="s">
        <v>5194</v>
      </c>
      <c r="D67" s="296" t="s">
        <v>3620</v>
      </c>
      <c r="E67" s="296" t="s">
        <v>5195</v>
      </c>
      <c r="F67" s="296" t="s">
        <v>5196</v>
      </c>
      <c r="G67" s="64" t="s">
        <v>5197</v>
      </c>
      <c r="H67" s="45" t="s">
        <v>5198</v>
      </c>
      <c r="I67" s="52" t="s">
        <v>5199</v>
      </c>
      <c r="J67" s="45" t="s">
        <v>3575</v>
      </c>
      <c r="K67" s="53"/>
      <c r="L67" s="54" t="e">
        <f>INDEX([1]Timeline!$E$10:$E$24,MATCH(A67,[1]Timeline!$C$10:$C$24,0))</f>
        <v>#N/A</v>
      </c>
      <c r="M67" s="55">
        <v>45291</v>
      </c>
      <c r="N67" s="56">
        <v>920000</v>
      </c>
      <c r="O67" s="57" t="e">
        <f t="shared" si="0"/>
        <v>#N/A</v>
      </c>
      <c r="P67" s="56" t="e">
        <f t="shared" si="1"/>
        <v>#N/A</v>
      </c>
      <c r="Q67" s="56">
        <f>V67*0.055/8*0.87</f>
        <v>0.13602359375</v>
      </c>
      <c r="R67" s="57" t="e">
        <f t="shared" si="15"/>
        <v>#N/A</v>
      </c>
      <c r="S67" s="56" t="e">
        <f t="shared" si="16"/>
        <v>#N/A</v>
      </c>
      <c r="T67" s="56" t="s">
        <v>4940</v>
      </c>
      <c r="U67" s="56" t="s">
        <v>4941</v>
      </c>
      <c r="V67" s="56">
        <f>2729*30/3600</f>
        <v>22.741666666666667</v>
      </c>
      <c r="W67" s="56" t="s">
        <v>4959</v>
      </c>
      <c r="X67" s="56">
        <f>V67*0.055/8</f>
        <v>0.15634895833333334</v>
      </c>
      <c r="Y67" s="56" t="s">
        <v>2817</v>
      </c>
      <c r="Z67" s="56">
        <v>1</v>
      </c>
      <c r="AA67" s="56">
        <v>1</v>
      </c>
      <c r="AB67" s="58">
        <f t="shared" si="24"/>
        <v>920000</v>
      </c>
      <c r="AC67" s="58" t="e">
        <f t="shared" si="2"/>
        <v>#N/A</v>
      </c>
      <c r="AD67" s="58" t="e">
        <f t="shared" si="3"/>
        <v>#N/A</v>
      </c>
      <c r="AE67" s="45">
        <v>1</v>
      </c>
      <c r="AF67" s="59">
        <f t="shared" si="4"/>
        <v>2.0833333333333335</v>
      </c>
      <c r="AG67" s="59">
        <f t="shared" si="17"/>
        <v>3</v>
      </c>
      <c r="AH67" s="60">
        <f t="shared" si="18"/>
        <v>1.1666666666666667</v>
      </c>
      <c r="AI67" s="45"/>
      <c r="AJ67" s="45"/>
      <c r="AK67" s="45"/>
      <c r="AL67" s="45"/>
      <c r="AM67" s="46">
        <f t="shared" si="5"/>
        <v>0</v>
      </c>
      <c r="AN67" s="45">
        <v>3</v>
      </c>
      <c r="AO67" s="45">
        <v>3</v>
      </c>
      <c r="AP67" s="45">
        <v>1</v>
      </c>
      <c r="AQ67" s="45">
        <v>1</v>
      </c>
      <c r="AR67" s="61">
        <f t="shared" si="6"/>
        <v>2</v>
      </c>
      <c r="AS67" s="103">
        <v>3</v>
      </c>
      <c r="AT67" s="102">
        <v>3</v>
      </c>
      <c r="AU67" s="102">
        <v>2</v>
      </c>
      <c r="AV67" s="102">
        <v>1</v>
      </c>
      <c r="AW67" s="46">
        <f t="shared" si="7"/>
        <v>2.25</v>
      </c>
      <c r="AX67" s="45">
        <v>3</v>
      </c>
      <c r="AY67" s="45">
        <v>3</v>
      </c>
      <c r="AZ67" s="45">
        <v>1</v>
      </c>
      <c r="BA67" s="45">
        <v>1</v>
      </c>
      <c r="BB67" s="46">
        <f t="shared" si="8"/>
        <v>2</v>
      </c>
      <c r="BC67" s="45"/>
      <c r="BD67" s="45"/>
      <c r="BE67" s="45"/>
      <c r="BF67" s="45"/>
      <c r="BG67" s="47">
        <f t="shared" si="9"/>
        <v>0</v>
      </c>
      <c r="BH67" s="45"/>
      <c r="BI67" s="45"/>
      <c r="BJ67" s="45"/>
      <c r="BK67" s="45"/>
      <c r="BL67" s="46">
        <f t="shared" si="22"/>
        <v>0</v>
      </c>
      <c r="BM67" s="45"/>
      <c r="BN67" s="45"/>
      <c r="BO67" s="45"/>
      <c r="BP67" s="45"/>
      <c r="BQ67" s="46">
        <f t="shared" si="11"/>
        <v>0</v>
      </c>
      <c r="BR67" s="45"/>
      <c r="BS67" s="45"/>
      <c r="BT67" s="45"/>
      <c r="BU67" s="45"/>
      <c r="BV67" s="46">
        <f t="shared" si="12"/>
        <v>0</v>
      </c>
      <c r="BW67" s="45"/>
      <c r="BX67" s="45"/>
      <c r="BY67" s="45"/>
      <c r="BZ67" s="45"/>
      <c r="CA67" s="46">
        <f t="shared" si="13"/>
        <v>0</v>
      </c>
      <c r="CB67" s="319"/>
      <c r="CC67" s="319"/>
      <c r="CD67" s="319"/>
      <c r="CE67" s="319"/>
      <c r="CF67" s="319"/>
      <c r="CG67" s="319"/>
      <c r="CH67" s="319"/>
      <c r="CI67" s="319"/>
      <c r="CJ67" s="319"/>
      <c r="CK67" s="319"/>
    </row>
    <row r="68" spans="1:89" ht="351">
      <c r="A68" s="291">
        <v>2</v>
      </c>
      <c r="B68" s="322">
        <f t="shared" si="23"/>
        <v>26</v>
      </c>
      <c r="C68" s="337" t="s">
        <v>4857</v>
      </c>
      <c r="D68" s="337" t="s">
        <v>5200</v>
      </c>
      <c r="E68" s="338" t="s">
        <v>5201</v>
      </c>
      <c r="F68" s="291" t="s">
        <v>5202</v>
      </c>
      <c r="G68" s="64" t="s">
        <v>5203</v>
      </c>
      <c r="H68" s="45" t="s">
        <v>5204</v>
      </c>
      <c r="I68" s="339" t="s">
        <v>5205</v>
      </c>
      <c r="J68" s="45" t="s">
        <v>3575</v>
      </c>
      <c r="K68" s="53"/>
      <c r="L68" s="54" t="e">
        <f>INDEX([1]Timeline!$E$10:$E$24,MATCH(A68,[1]Timeline!$C$10:$C$24,0))</f>
        <v>#N/A</v>
      </c>
      <c r="M68" s="55">
        <v>45291</v>
      </c>
      <c r="N68" s="56">
        <v>2282389</v>
      </c>
      <c r="O68" s="57" t="e">
        <f t="shared" ref="O68:O123" si="25">MAX((6-MONTH(L68)+1)*N68,0)</f>
        <v>#N/A</v>
      </c>
      <c r="P68" s="56" t="e">
        <f t="shared" ref="P68:P114" si="26">(MONTH(M68)-MONTH(L68)+1)*N68</f>
        <v>#N/A</v>
      </c>
      <c r="Q68" s="56">
        <f>V68*0.055/8*0.87</f>
        <v>0.34093125000000002</v>
      </c>
      <c r="R68" s="57" t="e">
        <f t="shared" si="15"/>
        <v>#N/A</v>
      </c>
      <c r="S68" s="56" t="e">
        <f t="shared" si="16"/>
        <v>#N/A</v>
      </c>
      <c r="T68" s="56" t="s">
        <v>4940</v>
      </c>
      <c r="U68" s="56" t="s">
        <v>4941</v>
      </c>
      <c r="V68" s="56">
        <v>57</v>
      </c>
      <c r="W68" s="56" t="s">
        <v>4959</v>
      </c>
      <c r="X68" s="56">
        <f>V68*0.055/8</f>
        <v>0.39187500000000003</v>
      </c>
      <c r="Y68" s="56" t="s">
        <v>2773</v>
      </c>
      <c r="Z68" s="56">
        <v>1</v>
      </c>
      <c r="AA68" s="56">
        <v>1</v>
      </c>
      <c r="AB68" s="58">
        <f t="shared" si="24"/>
        <v>2282389</v>
      </c>
      <c r="AC68" s="58" t="e">
        <f t="shared" ref="AC68:AC120" si="27">MAX(0,(6-MONTH(L68)+1)*AB68)</f>
        <v>#N/A</v>
      </c>
      <c r="AD68" s="58" t="e">
        <f t="shared" ref="AD68:AD120" si="28">(MONTH(M68)-MONTH(L68)+1)*AB68</f>
        <v>#N/A</v>
      </c>
      <c r="AE68" s="45">
        <v>1</v>
      </c>
      <c r="AF68" s="59">
        <f t="shared" ref="AF68:AF120" si="29">AVERAGE(AG68:AH68)</f>
        <v>2.0625</v>
      </c>
      <c r="AG68" s="59">
        <f t="shared" si="17"/>
        <v>3.125</v>
      </c>
      <c r="AH68" s="60">
        <f t="shared" si="18"/>
        <v>1</v>
      </c>
      <c r="AI68" s="45"/>
      <c r="AJ68" s="45"/>
      <c r="AK68" s="45"/>
      <c r="AL68" s="45"/>
      <c r="AM68" s="46">
        <f t="shared" ref="AM68:AM120" si="30">IFERROR(SUM(AI68:AL68)/4,0)</f>
        <v>0</v>
      </c>
      <c r="AN68" s="45">
        <v>3</v>
      </c>
      <c r="AO68" s="45">
        <v>3</v>
      </c>
      <c r="AP68" s="45">
        <v>1</v>
      </c>
      <c r="AQ68" s="45">
        <v>1</v>
      </c>
      <c r="AR68" s="61">
        <f t="shared" ref="AR68:AR120" si="31">IFERROR(SUM(AN68:AQ68)/4,0)</f>
        <v>2</v>
      </c>
      <c r="AS68" s="103">
        <v>3</v>
      </c>
      <c r="AT68" s="102">
        <v>2</v>
      </c>
      <c r="AU68" s="102">
        <v>1</v>
      </c>
      <c r="AV68" s="102">
        <v>1</v>
      </c>
      <c r="AW68" s="46">
        <f t="shared" ref="AW68:AW120" si="32">IFERROR(SUM(AS68:AV68)/4,0)</f>
        <v>1.75</v>
      </c>
      <c r="AX68" s="45">
        <v>3</v>
      </c>
      <c r="AY68" s="45">
        <v>3</v>
      </c>
      <c r="AZ68" s="45">
        <v>1</v>
      </c>
      <c r="BA68" s="45">
        <v>1</v>
      </c>
      <c r="BB68" s="46">
        <f t="shared" ref="BB68:BB120" si="33">IFERROR(SUM(AX68:BA68)/4,0)</f>
        <v>2</v>
      </c>
      <c r="BC68" s="45"/>
      <c r="BD68" s="45"/>
      <c r="BE68" s="45"/>
      <c r="BF68" s="45"/>
      <c r="BG68" s="47">
        <f t="shared" ref="BG68:BG120" si="34">IFERROR(SUM(BC68:BF68)/4,0)</f>
        <v>0</v>
      </c>
      <c r="BH68" s="45"/>
      <c r="BI68" s="45"/>
      <c r="BJ68" s="45"/>
      <c r="BK68" s="45"/>
      <c r="BL68" s="46">
        <f t="shared" si="22"/>
        <v>0</v>
      </c>
      <c r="BM68" s="45"/>
      <c r="BN68" s="45"/>
      <c r="BO68" s="45"/>
      <c r="BP68" s="45"/>
      <c r="BQ68" s="46">
        <f t="shared" ref="BQ68:BQ120" si="35">IFERROR(SUM(BM68:BP68)/4,0)</f>
        <v>0</v>
      </c>
      <c r="BR68" s="45"/>
      <c r="BS68" s="45"/>
      <c r="BT68" s="45"/>
      <c r="BU68" s="45"/>
      <c r="BV68" s="46">
        <f t="shared" ref="BV68:BV120" si="36">IFERROR(SUM(BR68:BU68)/4,0)</f>
        <v>0</v>
      </c>
      <c r="BW68" s="45"/>
      <c r="BX68" s="45"/>
      <c r="BY68" s="45"/>
      <c r="BZ68" s="45"/>
      <c r="CA68" s="46">
        <f t="shared" ref="CA68:CA120" si="37">IFERROR(SUM(BW68:BZ68)/4,0)</f>
        <v>0</v>
      </c>
      <c r="CB68" s="291">
        <v>4</v>
      </c>
      <c r="CC68" s="291">
        <v>4</v>
      </c>
      <c r="CD68" s="291">
        <v>1</v>
      </c>
      <c r="CE68" s="291">
        <v>1</v>
      </c>
      <c r="CF68" s="46">
        <f t="shared" ref="CF68:CF100" si="38">IFERROR(SUM(CB68:CE68)/4,0)</f>
        <v>2.5</v>
      </c>
      <c r="CG68" s="291"/>
      <c r="CH68" s="291"/>
      <c r="CI68" s="291"/>
      <c r="CJ68" s="291"/>
      <c r="CK68" s="291"/>
    </row>
    <row r="69" spans="1:89" ht="134.25">
      <c r="A69" s="291">
        <v>7</v>
      </c>
      <c r="B69" s="322">
        <f t="shared" si="23"/>
        <v>27</v>
      </c>
      <c r="C69" s="337" t="s">
        <v>4654</v>
      </c>
      <c r="D69" s="337" t="s">
        <v>5206</v>
      </c>
      <c r="E69" s="340" t="s">
        <v>5207</v>
      </c>
      <c r="F69" s="337" t="s">
        <v>5208</v>
      </c>
      <c r="G69" s="331" t="s">
        <v>5209</v>
      </c>
      <c r="H69" s="74" t="s">
        <v>5210</v>
      </c>
      <c r="I69" s="52" t="s">
        <v>5211</v>
      </c>
      <c r="J69" s="45" t="s">
        <v>3575</v>
      </c>
      <c r="K69" s="53"/>
      <c r="L69" s="54" t="e">
        <f>INDEX([1]Timeline!$E$10:$E$24,MATCH(A69,[1]Timeline!$C$10:$C$24,0))</f>
        <v>#N/A</v>
      </c>
      <c r="M69" s="55">
        <v>45291</v>
      </c>
      <c r="N69" s="56">
        <v>1815000</v>
      </c>
      <c r="O69" s="57" t="e">
        <f t="shared" si="25"/>
        <v>#N/A</v>
      </c>
      <c r="P69" s="56" t="e">
        <f t="shared" si="26"/>
        <v>#N/A</v>
      </c>
      <c r="Q69" s="56"/>
      <c r="R69" s="57" t="e">
        <f t="shared" ref="R69:R120" si="39">MAX((6-MONTH($L69)+1)*Q69,0)</f>
        <v>#N/A</v>
      </c>
      <c r="S69" s="56" t="e">
        <f t="shared" ref="S69:S120" si="40">(MONTH($M69)-MONTH($L69)+1)*Q69</f>
        <v>#N/A</v>
      </c>
      <c r="T69" s="56"/>
      <c r="U69" s="56"/>
      <c r="V69" s="56"/>
      <c r="W69" s="56"/>
      <c r="X69" s="56"/>
      <c r="Y69" s="56" t="s">
        <v>3871</v>
      </c>
      <c r="Z69" s="56">
        <v>1</v>
      </c>
      <c r="AA69" s="56">
        <v>1</v>
      </c>
      <c r="AB69" s="58">
        <f>N69/1</f>
        <v>1815000</v>
      </c>
      <c r="AC69" s="58" t="e">
        <f t="shared" si="27"/>
        <v>#N/A</v>
      </c>
      <c r="AD69" s="58" t="e">
        <f t="shared" si="28"/>
        <v>#N/A</v>
      </c>
      <c r="AE69" s="45">
        <v>1</v>
      </c>
      <c r="AF69" s="59">
        <f t="shared" si="29"/>
        <v>3.083333333333333</v>
      </c>
      <c r="AG69" s="59">
        <f t="shared" ref="AG69:AG120" si="41">IF(AE69&gt;0,AVERAGE(AI69:AJ69,AN69:AO69,AS69:AT69,AX69:AY69,BC69:BD69,BH69:BI69,BM69:BN69,BR69:BS69,BY69:BZ69,CB69:CC69),0)</f>
        <v>3.6666666666666665</v>
      </c>
      <c r="AH69" s="60">
        <f t="shared" ref="AH69:AH120" si="42">IF(AE69&gt;0,AVERAGE(AK69:AL69,AP69:AQ69,AU69:AV69,AZ69:BA69,BE69:BF69,BJ69:BK69,BO69:BP69,BT69:BU69,BY69:BZ69,CD69:CE69),0)</f>
        <v>2.5</v>
      </c>
      <c r="AI69" s="45"/>
      <c r="AJ69" s="45"/>
      <c r="AK69" s="45"/>
      <c r="AL69" s="45"/>
      <c r="AM69" s="46">
        <f t="shared" si="30"/>
        <v>0</v>
      </c>
      <c r="AN69" s="45"/>
      <c r="AO69" s="45"/>
      <c r="AP69" s="45"/>
      <c r="AQ69" s="45"/>
      <c r="AR69" s="61">
        <f t="shared" si="31"/>
        <v>0</v>
      </c>
      <c r="AS69" s="64">
        <v>3</v>
      </c>
      <c r="AT69" s="45">
        <v>3</v>
      </c>
      <c r="AU69" s="45">
        <v>4</v>
      </c>
      <c r="AV69" s="45">
        <v>3</v>
      </c>
      <c r="AW69" s="46">
        <f t="shared" si="32"/>
        <v>3.25</v>
      </c>
      <c r="AX69" s="45"/>
      <c r="AY69" s="45"/>
      <c r="AZ69" s="45"/>
      <c r="BA69" s="45"/>
      <c r="BB69" s="46">
        <f t="shared" si="33"/>
        <v>0</v>
      </c>
      <c r="BC69" s="45">
        <v>4</v>
      </c>
      <c r="BD69" s="45">
        <v>4</v>
      </c>
      <c r="BE69" s="45">
        <v>2</v>
      </c>
      <c r="BF69" s="45">
        <v>3</v>
      </c>
      <c r="BG69" s="47">
        <f t="shared" si="34"/>
        <v>3.25</v>
      </c>
      <c r="BH69" s="45"/>
      <c r="BI69" s="45"/>
      <c r="BJ69" s="45"/>
      <c r="BK69" s="45"/>
      <c r="BL69" s="45"/>
      <c r="BM69" s="45"/>
      <c r="BN69" s="45"/>
      <c r="BO69" s="45"/>
      <c r="BP69" s="45"/>
      <c r="BQ69" s="46">
        <f t="shared" si="35"/>
        <v>0</v>
      </c>
      <c r="BR69" s="45"/>
      <c r="BS69" s="45"/>
      <c r="BT69" s="45"/>
      <c r="BU69" s="45"/>
      <c r="BV69" s="46">
        <f t="shared" si="36"/>
        <v>0</v>
      </c>
      <c r="BW69" s="45"/>
      <c r="BX69" s="45"/>
      <c r="BY69" s="45"/>
      <c r="BZ69" s="45"/>
      <c r="CA69" s="46">
        <f t="shared" si="37"/>
        <v>0</v>
      </c>
      <c r="CB69" s="291">
        <v>4</v>
      </c>
      <c r="CC69" s="291">
        <v>4</v>
      </c>
      <c r="CD69" s="291">
        <v>1</v>
      </c>
      <c r="CE69" s="291">
        <v>2</v>
      </c>
      <c r="CF69" s="46">
        <f t="shared" si="38"/>
        <v>2.75</v>
      </c>
      <c r="CG69" s="291"/>
      <c r="CH69" s="291"/>
      <c r="CI69" s="291"/>
      <c r="CJ69" s="291"/>
      <c r="CK69" s="291"/>
    </row>
    <row r="70" spans="1:89" ht="198">
      <c r="A70" s="291">
        <v>2</v>
      </c>
      <c r="B70" s="322">
        <f>IFERROR(B68+1,1)</f>
        <v>27</v>
      </c>
      <c r="C70" s="341" t="s">
        <v>3457</v>
      </c>
      <c r="D70" s="291" t="s">
        <v>4082</v>
      </c>
      <c r="E70" s="341" t="s">
        <v>5212</v>
      </c>
      <c r="F70" s="291" t="s">
        <v>5213</v>
      </c>
      <c r="G70" s="64" t="s">
        <v>5214</v>
      </c>
      <c r="H70" s="45" t="s">
        <v>5215</v>
      </c>
      <c r="I70" s="69" t="s">
        <v>5216</v>
      </c>
      <c r="J70" s="45" t="s">
        <v>3575</v>
      </c>
      <c r="K70" s="53"/>
      <c r="L70" s="54" t="e">
        <f>INDEX([1]Timeline!$E$10:$E$24,MATCH(A70,[1]Timeline!$C$10:$C$24,0))</f>
        <v>#N/A</v>
      </c>
      <c r="M70" s="55">
        <v>45291</v>
      </c>
      <c r="N70" s="57">
        <v>205416</v>
      </c>
      <c r="O70" s="57" t="e">
        <f t="shared" si="25"/>
        <v>#N/A</v>
      </c>
      <c r="P70" s="57" t="e">
        <f t="shared" si="26"/>
        <v>#N/A</v>
      </c>
      <c r="Q70" s="56">
        <f>V70*0.055/8*0.87</f>
        <v>2.4091145833333335E-4</v>
      </c>
      <c r="R70" s="57" t="e">
        <f t="shared" si="39"/>
        <v>#N/A</v>
      </c>
      <c r="S70" s="56" t="e">
        <f t="shared" si="40"/>
        <v>#N/A</v>
      </c>
      <c r="T70" s="56" t="s">
        <v>4940</v>
      </c>
      <c r="U70" s="56" t="s">
        <v>4941</v>
      </c>
      <c r="V70" s="56">
        <f>145/3600</f>
        <v>4.027777777777778E-2</v>
      </c>
      <c r="W70" s="56" t="s">
        <v>4959</v>
      </c>
      <c r="X70" s="56">
        <f>V70*0.055/8</f>
        <v>2.7690972222222223E-4</v>
      </c>
      <c r="Y70" s="57" t="s">
        <v>4082</v>
      </c>
      <c r="Z70" s="57">
        <v>1</v>
      </c>
      <c r="AA70" s="57">
        <v>1</v>
      </c>
      <c r="AB70" s="58">
        <f>N70/Z70</f>
        <v>205416</v>
      </c>
      <c r="AC70" s="58" t="e">
        <f t="shared" si="27"/>
        <v>#N/A</v>
      </c>
      <c r="AD70" s="58" t="e">
        <f t="shared" si="28"/>
        <v>#N/A</v>
      </c>
      <c r="AE70" s="45">
        <v>1</v>
      </c>
      <c r="AF70" s="60">
        <f t="shared" si="29"/>
        <v>2.25</v>
      </c>
      <c r="AG70" s="59">
        <f t="shared" si="41"/>
        <v>2.625</v>
      </c>
      <c r="AH70" s="60">
        <f t="shared" si="42"/>
        <v>1.875</v>
      </c>
      <c r="AI70" s="45"/>
      <c r="AJ70" s="45"/>
      <c r="AK70" s="45"/>
      <c r="AL70" s="45"/>
      <c r="AM70" s="47">
        <f t="shared" si="30"/>
        <v>0</v>
      </c>
      <c r="AN70" s="45">
        <v>2</v>
      </c>
      <c r="AO70" s="45">
        <v>2</v>
      </c>
      <c r="AP70" s="45">
        <v>2</v>
      </c>
      <c r="AQ70" s="45">
        <v>1</v>
      </c>
      <c r="AR70" s="70">
        <f t="shared" si="31"/>
        <v>1.75</v>
      </c>
      <c r="AS70" s="103">
        <v>2</v>
      </c>
      <c r="AT70" s="102">
        <v>2</v>
      </c>
      <c r="AU70" s="102">
        <v>1</v>
      </c>
      <c r="AV70" s="102">
        <v>1</v>
      </c>
      <c r="AW70" s="47">
        <f t="shared" si="32"/>
        <v>1.5</v>
      </c>
      <c r="AX70" s="45">
        <v>2</v>
      </c>
      <c r="AY70" s="45">
        <v>3</v>
      </c>
      <c r="AZ70" s="45">
        <v>2</v>
      </c>
      <c r="BA70" s="45">
        <v>2</v>
      </c>
      <c r="BB70" s="47">
        <f t="shared" si="33"/>
        <v>2.25</v>
      </c>
      <c r="BC70" s="45"/>
      <c r="BD70" s="45"/>
      <c r="BE70" s="45"/>
      <c r="BF70" s="45"/>
      <c r="BG70" s="47">
        <f t="shared" si="34"/>
        <v>0</v>
      </c>
      <c r="BH70" s="45"/>
      <c r="BI70" s="45"/>
      <c r="BJ70" s="45"/>
      <c r="BK70" s="45"/>
      <c r="BL70" s="47">
        <f>IFERROR(SUM(BH70:BK70)/4,0)</f>
        <v>0</v>
      </c>
      <c r="BM70" s="45"/>
      <c r="BN70" s="45"/>
      <c r="BO70" s="45"/>
      <c r="BP70" s="45"/>
      <c r="BQ70" s="47">
        <f t="shared" si="35"/>
        <v>0</v>
      </c>
      <c r="BR70" s="45"/>
      <c r="BS70" s="45"/>
      <c r="BT70" s="45"/>
      <c r="BU70" s="45"/>
      <c r="BV70" s="47">
        <f t="shared" si="36"/>
        <v>0</v>
      </c>
      <c r="BW70" s="45"/>
      <c r="BX70" s="45"/>
      <c r="BY70" s="45"/>
      <c r="BZ70" s="45"/>
      <c r="CA70" s="47">
        <f t="shared" si="37"/>
        <v>0</v>
      </c>
      <c r="CB70" s="291">
        <v>4</v>
      </c>
      <c r="CC70" s="291">
        <v>4</v>
      </c>
      <c r="CD70" s="291">
        <v>4</v>
      </c>
      <c r="CE70" s="291">
        <v>2</v>
      </c>
      <c r="CF70" s="46">
        <f t="shared" si="38"/>
        <v>3.5</v>
      </c>
      <c r="CG70" s="291"/>
      <c r="CH70" s="291"/>
      <c r="CI70" s="291"/>
      <c r="CJ70" s="291"/>
      <c r="CK70" s="291"/>
    </row>
    <row r="71" spans="1:89" ht="91.5">
      <c r="A71" s="291">
        <v>8</v>
      </c>
      <c r="B71" s="322">
        <f t="shared" ref="B71:B81" si="43">IFERROR(B70+1,1)</f>
        <v>28</v>
      </c>
      <c r="C71" s="337" t="s">
        <v>3457</v>
      </c>
      <c r="D71" s="337" t="s">
        <v>4082</v>
      </c>
      <c r="E71" s="291" t="s">
        <v>5217</v>
      </c>
      <c r="F71" s="291" t="s">
        <v>5218</v>
      </c>
      <c r="G71" s="64" t="s">
        <v>5219</v>
      </c>
      <c r="H71" s="45" t="s">
        <v>5220</v>
      </c>
      <c r="I71" s="279" t="s">
        <v>5221</v>
      </c>
      <c r="J71" s="45" t="s">
        <v>3575</v>
      </c>
      <c r="K71" s="53"/>
      <c r="L71" s="54" t="e">
        <f>INDEX([1]Timeline!$E$10:$E$24,MATCH(A71,[1]Timeline!$C$10:$C$24,0))</f>
        <v>#N/A</v>
      </c>
      <c r="M71" s="55">
        <v>45291</v>
      </c>
      <c r="N71" s="56">
        <v>607000</v>
      </c>
      <c r="O71" s="57" t="e">
        <f t="shared" si="25"/>
        <v>#N/A</v>
      </c>
      <c r="P71" s="56" t="e">
        <f t="shared" si="26"/>
        <v>#N/A</v>
      </c>
      <c r="Q71" s="56">
        <f>V71*0.055/8*0.87</f>
        <v>9.0815312500000009E-2</v>
      </c>
      <c r="R71" s="57" t="e">
        <f t="shared" si="39"/>
        <v>#N/A</v>
      </c>
      <c r="S71" s="56" t="e">
        <f t="shared" si="40"/>
        <v>#N/A</v>
      </c>
      <c r="T71" s="56" t="s">
        <v>4940</v>
      </c>
      <c r="U71" s="56" t="s">
        <v>4941</v>
      </c>
      <c r="V71" s="56">
        <f>911/60</f>
        <v>15.183333333333334</v>
      </c>
      <c r="W71" s="56" t="s">
        <v>4959</v>
      </c>
      <c r="X71" s="56">
        <f>V71*0.055/8</f>
        <v>0.10438541666666667</v>
      </c>
      <c r="Y71" s="56" t="s">
        <v>4082</v>
      </c>
      <c r="Z71" s="56">
        <v>1</v>
      </c>
      <c r="AA71" s="56">
        <v>1</v>
      </c>
      <c r="AB71" s="58">
        <f>N71/1</f>
        <v>607000</v>
      </c>
      <c r="AC71" s="58" t="e">
        <f t="shared" si="27"/>
        <v>#N/A</v>
      </c>
      <c r="AD71" s="58" t="e">
        <f t="shared" si="28"/>
        <v>#N/A</v>
      </c>
      <c r="AE71" s="45">
        <v>1</v>
      </c>
      <c r="AF71" s="59">
        <f t="shared" si="29"/>
        <v>2.6071428571428572</v>
      </c>
      <c r="AG71" s="59">
        <f t="shared" si="41"/>
        <v>3.8571428571428572</v>
      </c>
      <c r="AH71" s="60">
        <f t="shared" si="42"/>
        <v>1.3571428571428572</v>
      </c>
      <c r="AI71" s="45">
        <v>4</v>
      </c>
      <c r="AJ71" s="45">
        <v>4</v>
      </c>
      <c r="AK71" s="45">
        <v>1</v>
      </c>
      <c r="AL71" s="45">
        <v>1</v>
      </c>
      <c r="AM71" s="46">
        <f t="shared" si="30"/>
        <v>2.5</v>
      </c>
      <c r="AN71" s="45">
        <v>4</v>
      </c>
      <c r="AO71" s="45">
        <v>4</v>
      </c>
      <c r="AP71" s="45">
        <v>1</v>
      </c>
      <c r="AQ71" s="45">
        <v>1</v>
      </c>
      <c r="AR71" s="61">
        <f t="shared" si="31"/>
        <v>2.5</v>
      </c>
      <c r="AS71" s="64">
        <v>4</v>
      </c>
      <c r="AT71" s="45">
        <v>3</v>
      </c>
      <c r="AU71" s="45">
        <v>2</v>
      </c>
      <c r="AV71" s="45">
        <v>2</v>
      </c>
      <c r="AW71" s="46">
        <f t="shared" si="32"/>
        <v>2.75</v>
      </c>
      <c r="AX71" s="45"/>
      <c r="AY71" s="45"/>
      <c r="AZ71" s="45"/>
      <c r="BA71" s="45"/>
      <c r="BB71" s="46">
        <f t="shared" si="33"/>
        <v>0</v>
      </c>
      <c r="BC71" s="64">
        <v>4</v>
      </c>
      <c r="BD71" s="45">
        <v>4</v>
      </c>
      <c r="BE71" s="45">
        <v>1</v>
      </c>
      <c r="BF71" s="45">
        <v>1</v>
      </c>
      <c r="BG71" s="47">
        <f t="shared" si="34"/>
        <v>2.5</v>
      </c>
      <c r="BH71" s="45">
        <v>4</v>
      </c>
      <c r="BI71" s="45">
        <v>4</v>
      </c>
      <c r="BJ71" s="45">
        <v>2</v>
      </c>
      <c r="BK71" s="45">
        <v>1</v>
      </c>
      <c r="BL71" s="46">
        <f>IFERROR(SUM(BH71:BK71)/4,0)</f>
        <v>2.75</v>
      </c>
      <c r="BM71" s="45"/>
      <c r="BN71" s="45"/>
      <c r="BO71" s="45"/>
      <c r="BP71" s="45"/>
      <c r="BQ71" s="46">
        <f t="shared" si="35"/>
        <v>0</v>
      </c>
      <c r="BR71" s="45">
        <v>3</v>
      </c>
      <c r="BS71" s="45">
        <v>4</v>
      </c>
      <c r="BT71" s="45">
        <v>1</v>
      </c>
      <c r="BU71" s="45">
        <v>1</v>
      </c>
      <c r="BV71" s="46">
        <f t="shared" si="36"/>
        <v>2.25</v>
      </c>
      <c r="BW71" s="45"/>
      <c r="BX71" s="45"/>
      <c r="BY71" s="45"/>
      <c r="BZ71" s="45"/>
      <c r="CA71" s="46">
        <f t="shared" si="37"/>
        <v>0</v>
      </c>
      <c r="CB71" s="291">
        <v>4</v>
      </c>
      <c r="CC71" s="291">
        <v>4</v>
      </c>
      <c r="CD71" s="291">
        <v>2</v>
      </c>
      <c r="CE71" s="291">
        <v>2</v>
      </c>
      <c r="CF71" s="46">
        <f t="shared" si="38"/>
        <v>3</v>
      </c>
      <c r="CG71" s="291"/>
      <c r="CH71" s="291"/>
      <c r="CI71" s="291"/>
      <c r="CJ71" s="291"/>
      <c r="CK71" s="291"/>
    </row>
    <row r="72" spans="1:89" ht="76.5">
      <c r="A72" s="291">
        <v>8</v>
      </c>
      <c r="B72" s="322">
        <f t="shared" si="43"/>
        <v>29</v>
      </c>
      <c r="C72" s="333" t="s">
        <v>4857</v>
      </c>
      <c r="D72" s="291" t="s">
        <v>4243</v>
      </c>
      <c r="E72" s="342" t="s">
        <v>5222</v>
      </c>
      <c r="F72" s="291" t="s">
        <v>5223</v>
      </c>
      <c r="G72" s="64" t="s">
        <v>5224</v>
      </c>
      <c r="H72" s="45" t="s">
        <v>5225</v>
      </c>
      <c r="I72" s="52" t="s">
        <v>5226</v>
      </c>
      <c r="J72" s="45" t="s">
        <v>3575</v>
      </c>
      <c r="K72" s="53"/>
      <c r="L72" s="54" t="e">
        <f>INDEX([1]Timeline!$E$10:$E$24,MATCH(A72,[1]Timeline!$C$10:$C$24,0))</f>
        <v>#N/A</v>
      </c>
      <c r="M72" s="55">
        <v>45291</v>
      </c>
      <c r="N72" s="56">
        <v>733333</v>
      </c>
      <c r="O72" s="57" t="e">
        <f t="shared" si="25"/>
        <v>#N/A</v>
      </c>
      <c r="P72" s="56" t="e">
        <f t="shared" si="26"/>
        <v>#N/A</v>
      </c>
      <c r="Q72" s="56">
        <f>V72*0.055/8*0.87</f>
        <v>0.10965625</v>
      </c>
      <c r="R72" s="57" t="e">
        <f t="shared" si="39"/>
        <v>#N/A</v>
      </c>
      <c r="S72" s="56" t="e">
        <f t="shared" si="40"/>
        <v>#N/A</v>
      </c>
      <c r="T72" s="56" t="s">
        <v>4940</v>
      </c>
      <c r="U72" s="56" t="s">
        <v>4941</v>
      </c>
      <c r="V72" s="56">
        <f>66000/3600</f>
        <v>18.333333333333332</v>
      </c>
      <c r="W72" s="56" t="s">
        <v>4959</v>
      </c>
      <c r="X72" s="56">
        <f>V72*0.055/8</f>
        <v>0.12604166666666666</v>
      </c>
      <c r="Y72" s="56" t="s">
        <v>2773</v>
      </c>
      <c r="Z72" s="56">
        <v>1</v>
      </c>
      <c r="AA72" s="56">
        <v>1</v>
      </c>
      <c r="AB72" s="58">
        <f>N72/1</f>
        <v>733333</v>
      </c>
      <c r="AC72" s="58" t="e">
        <f t="shared" si="27"/>
        <v>#N/A</v>
      </c>
      <c r="AD72" s="58" t="e">
        <f t="shared" si="28"/>
        <v>#N/A</v>
      </c>
      <c r="AE72" s="45">
        <v>1</v>
      </c>
      <c r="AF72" s="59">
        <f t="shared" si="29"/>
        <v>2.71875</v>
      </c>
      <c r="AG72" s="59">
        <f t="shared" si="41"/>
        <v>3.5625</v>
      </c>
      <c r="AH72" s="60">
        <f t="shared" si="42"/>
        <v>1.875</v>
      </c>
      <c r="AI72" s="45">
        <v>4</v>
      </c>
      <c r="AJ72" s="45">
        <v>4</v>
      </c>
      <c r="AK72" s="45">
        <v>1</v>
      </c>
      <c r="AL72" s="45">
        <v>3</v>
      </c>
      <c r="AM72" s="46">
        <f t="shared" si="30"/>
        <v>3</v>
      </c>
      <c r="AN72" s="45">
        <v>4</v>
      </c>
      <c r="AO72" s="45">
        <v>4</v>
      </c>
      <c r="AP72" s="45">
        <v>1</v>
      </c>
      <c r="AQ72" s="45">
        <v>2</v>
      </c>
      <c r="AR72" s="61">
        <f t="shared" si="31"/>
        <v>2.75</v>
      </c>
      <c r="AS72" s="64">
        <v>4</v>
      </c>
      <c r="AT72" s="45">
        <v>3</v>
      </c>
      <c r="AU72" s="45">
        <v>1</v>
      </c>
      <c r="AV72" s="45">
        <v>2</v>
      </c>
      <c r="AW72" s="46">
        <f t="shared" si="32"/>
        <v>2.5</v>
      </c>
      <c r="AX72" s="45"/>
      <c r="AY72" s="45"/>
      <c r="AZ72" s="45"/>
      <c r="BA72" s="45"/>
      <c r="BB72" s="46">
        <f t="shared" si="33"/>
        <v>0</v>
      </c>
      <c r="BC72" s="45">
        <v>4</v>
      </c>
      <c r="BD72" s="45">
        <v>4</v>
      </c>
      <c r="BE72" s="45">
        <v>1</v>
      </c>
      <c r="BF72" s="45">
        <v>2</v>
      </c>
      <c r="BG72" s="47">
        <f t="shared" si="34"/>
        <v>2.75</v>
      </c>
      <c r="BH72" s="45">
        <v>3</v>
      </c>
      <c r="BI72" s="45">
        <v>3</v>
      </c>
      <c r="BJ72" s="45">
        <v>2</v>
      </c>
      <c r="BK72" s="45">
        <v>1</v>
      </c>
      <c r="BL72" s="46">
        <f>IFERROR(SUM(BH72:BK72)/4,0)</f>
        <v>2.25</v>
      </c>
      <c r="BM72" s="45">
        <v>3</v>
      </c>
      <c r="BN72" s="45">
        <v>3</v>
      </c>
      <c r="BO72" s="45">
        <v>3</v>
      </c>
      <c r="BP72" s="45">
        <v>3</v>
      </c>
      <c r="BQ72" s="46">
        <f t="shared" si="35"/>
        <v>3</v>
      </c>
      <c r="BR72" s="45">
        <v>4</v>
      </c>
      <c r="BS72" s="45">
        <v>4</v>
      </c>
      <c r="BT72" s="45">
        <v>1</v>
      </c>
      <c r="BU72" s="45">
        <v>1</v>
      </c>
      <c r="BV72" s="46">
        <f t="shared" si="36"/>
        <v>2.5</v>
      </c>
      <c r="BW72" s="45"/>
      <c r="BX72" s="45"/>
      <c r="BY72" s="45"/>
      <c r="BZ72" s="45"/>
      <c r="CA72" s="46">
        <f t="shared" si="37"/>
        <v>0</v>
      </c>
      <c r="CB72" s="291">
        <v>3</v>
      </c>
      <c r="CC72" s="291">
        <v>3</v>
      </c>
      <c r="CD72" s="291">
        <v>2</v>
      </c>
      <c r="CE72" s="291">
        <v>4</v>
      </c>
      <c r="CF72" s="46">
        <f t="shared" si="38"/>
        <v>3</v>
      </c>
      <c r="CG72" s="291"/>
      <c r="CH72" s="291"/>
      <c r="CI72" s="291"/>
      <c r="CJ72" s="291"/>
      <c r="CK72" s="291"/>
    </row>
    <row r="73" spans="1:89" ht="244.5">
      <c r="A73" s="319">
        <v>7</v>
      </c>
      <c r="B73" s="324">
        <f t="shared" si="43"/>
        <v>30</v>
      </c>
      <c r="C73" s="343" t="s">
        <v>4970</v>
      </c>
      <c r="D73" s="343" t="s">
        <v>5227</v>
      </c>
      <c r="E73" s="344" t="s">
        <v>5228</v>
      </c>
      <c r="F73" s="345" t="s">
        <v>5229</v>
      </c>
      <c r="G73" s="346" t="s">
        <v>5230</v>
      </c>
      <c r="H73" s="301" t="s">
        <v>5231</v>
      </c>
      <c r="I73" s="302"/>
      <c r="J73" s="262" t="s">
        <v>3575</v>
      </c>
      <c r="K73" s="303"/>
      <c r="L73" s="304" t="e">
        <f>INDEX([1]Timeline!$E$10:$E$24,MATCH(A73,[1]Timeline!$C$10:$C$24,0))</f>
        <v>#N/A</v>
      </c>
      <c r="M73" s="305">
        <v>45291</v>
      </c>
      <c r="N73" s="120">
        <v>234667</v>
      </c>
      <c r="O73" s="120" t="e">
        <f t="shared" si="25"/>
        <v>#N/A</v>
      </c>
      <c r="P73" s="120" t="e">
        <f t="shared" si="26"/>
        <v>#N/A</v>
      </c>
      <c r="Q73" s="120"/>
      <c r="R73" s="120" t="e">
        <f t="shared" si="39"/>
        <v>#N/A</v>
      </c>
      <c r="S73" s="120" t="e">
        <f t="shared" si="40"/>
        <v>#N/A</v>
      </c>
      <c r="T73" s="120"/>
      <c r="U73" s="120"/>
      <c r="V73" s="120"/>
      <c r="W73" s="120"/>
      <c r="X73" s="120"/>
      <c r="Y73" s="120" t="s">
        <v>2817</v>
      </c>
      <c r="Z73" s="120">
        <v>1</v>
      </c>
      <c r="AA73" s="120">
        <v>1</v>
      </c>
      <c r="AB73" s="306">
        <f>N73/1</f>
        <v>234667</v>
      </c>
      <c r="AC73" s="306" t="e">
        <f t="shared" si="27"/>
        <v>#N/A</v>
      </c>
      <c r="AD73" s="306" t="e">
        <f t="shared" si="28"/>
        <v>#N/A</v>
      </c>
      <c r="AE73" s="262">
        <v>1</v>
      </c>
      <c r="AF73" s="267">
        <f t="shared" si="29"/>
        <v>2.5</v>
      </c>
      <c r="AG73" s="267">
        <f t="shared" si="41"/>
        <v>4</v>
      </c>
      <c r="AH73" s="267">
        <f t="shared" si="42"/>
        <v>1</v>
      </c>
      <c r="AI73" s="262"/>
      <c r="AJ73" s="262"/>
      <c r="AK73" s="262"/>
      <c r="AL73" s="262"/>
      <c r="AM73" s="307">
        <f t="shared" si="30"/>
        <v>0</v>
      </c>
      <c r="AN73" s="262"/>
      <c r="AO73" s="262"/>
      <c r="AP73" s="262"/>
      <c r="AQ73" s="262"/>
      <c r="AR73" s="308">
        <f t="shared" si="31"/>
        <v>0</v>
      </c>
      <c r="AS73" s="328"/>
      <c r="AT73" s="262"/>
      <c r="AU73" s="262"/>
      <c r="AV73" s="262"/>
      <c r="AW73" s="307">
        <f t="shared" si="32"/>
        <v>0</v>
      </c>
      <c r="AX73" s="262"/>
      <c r="AY73" s="262"/>
      <c r="AZ73" s="262"/>
      <c r="BA73" s="262"/>
      <c r="BB73" s="307">
        <f t="shared" si="33"/>
        <v>0</v>
      </c>
      <c r="BC73" s="262"/>
      <c r="BD73" s="262"/>
      <c r="BE73" s="262"/>
      <c r="BF73" s="262"/>
      <c r="BG73" s="307">
        <f t="shared" si="34"/>
        <v>0</v>
      </c>
      <c r="BH73" s="262"/>
      <c r="BI73" s="262"/>
      <c r="BJ73" s="262"/>
      <c r="BK73" s="262"/>
      <c r="BL73" s="262"/>
      <c r="BM73" s="262"/>
      <c r="BN73" s="262"/>
      <c r="BO73" s="262"/>
      <c r="BP73" s="262"/>
      <c r="BQ73" s="307">
        <f t="shared" si="35"/>
        <v>0</v>
      </c>
      <c r="BR73" s="262"/>
      <c r="BS73" s="262"/>
      <c r="BT73" s="262"/>
      <c r="BU73" s="262"/>
      <c r="BV73" s="307">
        <f t="shared" si="36"/>
        <v>0</v>
      </c>
      <c r="BW73" s="262"/>
      <c r="BX73" s="262"/>
      <c r="BY73" s="262"/>
      <c r="BZ73" s="262"/>
      <c r="CA73" s="307">
        <f t="shared" si="37"/>
        <v>0</v>
      </c>
      <c r="CB73" s="291">
        <v>4</v>
      </c>
      <c r="CC73" s="291">
        <v>4</v>
      </c>
      <c r="CD73" s="291">
        <v>1</v>
      </c>
      <c r="CE73" s="291">
        <v>1</v>
      </c>
      <c r="CF73" s="46">
        <f t="shared" si="38"/>
        <v>2.5</v>
      </c>
      <c r="CG73" s="291"/>
      <c r="CH73" s="291"/>
      <c r="CI73" s="291"/>
      <c r="CJ73" s="291"/>
      <c r="CK73" s="291"/>
    </row>
    <row r="74" spans="1:89" ht="121.5">
      <c r="A74" s="291">
        <v>10</v>
      </c>
      <c r="B74" s="322">
        <f t="shared" si="43"/>
        <v>31</v>
      </c>
      <c r="C74" s="341" t="s">
        <v>4857</v>
      </c>
      <c r="D74" s="291" t="s">
        <v>3998</v>
      </c>
      <c r="E74" s="291" t="s">
        <v>5232</v>
      </c>
      <c r="F74" s="291" t="s">
        <v>5233</v>
      </c>
      <c r="G74" s="64" t="s">
        <v>5234</v>
      </c>
      <c r="H74" s="45" t="s">
        <v>5235</v>
      </c>
      <c r="I74" s="52" t="s">
        <v>5236</v>
      </c>
      <c r="J74" s="45" t="s">
        <v>3575</v>
      </c>
      <c r="K74" s="53"/>
      <c r="L74" s="54" t="e">
        <f>INDEX([1]Timeline!$E$10:$E$24,MATCH(A74,[1]Timeline!$C$10:$C$24,0))</f>
        <v>#N/A</v>
      </c>
      <c r="M74" s="55">
        <v>45291</v>
      </c>
      <c r="N74" s="56">
        <v>2114667</v>
      </c>
      <c r="O74" s="57" t="e">
        <f t="shared" si="25"/>
        <v>#N/A</v>
      </c>
      <c r="P74" s="56" t="e">
        <f t="shared" si="26"/>
        <v>#N/A</v>
      </c>
      <c r="Q74" s="56">
        <f>V74*0.055/8*0.87</f>
        <v>0.31622868749999999</v>
      </c>
      <c r="R74" s="57" t="e">
        <f t="shared" si="39"/>
        <v>#N/A</v>
      </c>
      <c r="S74" s="56" t="e">
        <f t="shared" si="40"/>
        <v>#N/A</v>
      </c>
      <c r="T74" s="56" t="s">
        <v>4940</v>
      </c>
      <c r="U74" s="56" t="s">
        <v>4941</v>
      </c>
      <c r="V74" s="56">
        <v>52.87</v>
      </c>
      <c r="W74" s="56" t="s">
        <v>4959</v>
      </c>
      <c r="X74" s="56">
        <f>V74*0.055/8</f>
        <v>0.36348124999999998</v>
      </c>
      <c r="Y74" s="56" t="s">
        <v>2773</v>
      </c>
      <c r="Z74" s="56">
        <v>1</v>
      </c>
      <c r="AA74" s="56">
        <v>1</v>
      </c>
      <c r="AB74" s="58">
        <f>N74/1</f>
        <v>2114667</v>
      </c>
      <c r="AC74" s="58" t="e">
        <f t="shared" si="27"/>
        <v>#N/A</v>
      </c>
      <c r="AD74" s="58" t="e">
        <f t="shared" si="28"/>
        <v>#N/A</v>
      </c>
      <c r="AE74" s="45">
        <v>1</v>
      </c>
      <c r="AF74" s="59">
        <f t="shared" si="29"/>
        <v>2.7142857142857144</v>
      </c>
      <c r="AG74" s="59">
        <f t="shared" si="41"/>
        <v>3.4285714285714284</v>
      </c>
      <c r="AH74" s="60">
        <f t="shared" si="42"/>
        <v>2</v>
      </c>
      <c r="AI74" s="45">
        <v>3</v>
      </c>
      <c r="AJ74" s="45">
        <v>3</v>
      </c>
      <c r="AK74" s="45">
        <v>1</v>
      </c>
      <c r="AL74" s="45">
        <v>2</v>
      </c>
      <c r="AM74" s="46">
        <f t="shared" si="30"/>
        <v>2.25</v>
      </c>
      <c r="AN74" s="45">
        <v>3</v>
      </c>
      <c r="AO74" s="45">
        <v>3</v>
      </c>
      <c r="AP74" s="45">
        <v>1</v>
      </c>
      <c r="AQ74" s="45">
        <v>2</v>
      </c>
      <c r="AR74" s="61">
        <f t="shared" si="31"/>
        <v>2.25</v>
      </c>
      <c r="AS74" s="64"/>
      <c r="AT74" s="45"/>
      <c r="AU74" s="45"/>
      <c r="AV74" s="45"/>
      <c r="AW74" s="46">
        <f t="shared" si="32"/>
        <v>0</v>
      </c>
      <c r="AX74" s="45"/>
      <c r="AY74" s="45"/>
      <c r="AZ74" s="45"/>
      <c r="BA74" s="45"/>
      <c r="BB74" s="46">
        <f t="shared" si="33"/>
        <v>0</v>
      </c>
      <c r="BC74" s="45">
        <v>4</v>
      </c>
      <c r="BD74" s="45">
        <v>4</v>
      </c>
      <c r="BE74" s="45">
        <v>1</v>
      </c>
      <c r="BF74" s="45">
        <v>4</v>
      </c>
      <c r="BG74" s="47">
        <f t="shared" si="34"/>
        <v>3.25</v>
      </c>
      <c r="BH74" s="45">
        <v>4</v>
      </c>
      <c r="BI74" s="45">
        <v>3</v>
      </c>
      <c r="BJ74" s="45">
        <v>2</v>
      </c>
      <c r="BK74" s="45">
        <v>1</v>
      </c>
      <c r="BL74" s="46">
        <f>IFERROR(SUM(BH74:BK74)/4,0)</f>
        <v>2.5</v>
      </c>
      <c r="BM74" s="45">
        <v>2</v>
      </c>
      <c r="BN74" s="45">
        <v>3</v>
      </c>
      <c r="BO74" s="45">
        <v>3</v>
      </c>
      <c r="BP74" s="45">
        <v>3</v>
      </c>
      <c r="BQ74" s="46">
        <f t="shared" si="35"/>
        <v>2.75</v>
      </c>
      <c r="BR74" s="45">
        <v>4</v>
      </c>
      <c r="BS74" s="45">
        <v>4</v>
      </c>
      <c r="BT74" s="45">
        <v>1</v>
      </c>
      <c r="BU74" s="45">
        <v>4</v>
      </c>
      <c r="BV74" s="46">
        <f t="shared" si="36"/>
        <v>3.25</v>
      </c>
      <c r="BW74" s="45"/>
      <c r="BX74" s="45"/>
      <c r="BY74" s="45"/>
      <c r="BZ74" s="45"/>
      <c r="CA74" s="46">
        <f t="shared" si="37"/>
        <v>0</v>
      </c>
      <c r="CB74" s="291">
        <v>4</v>
      </c>
      <c r="CC74" s="291">
        <v>4</v>
      </c>
      <c r="CD74" s="291">
        <v>1</v>
      </c>
      <c r="CE74" s="291">
        <v>2</v>
      </c>
      <c r="CF74" s="291">
        <f t="shared" si="38"/>
        <v>2.75</v>
      </c>
      <c r="CG74" s="291"/>
      <c r="CH74" s="291"/>
      <c r="CI74" s="291"/>
      <c r="CJ74" s="291"/>
      <c r="CK74" s="291"/>
    </row>
    <row r="75" spans="1:89" ht="91.5">
      <c r="A75" s="291">
        <v>4</v>
      </c>
      <c r="B75" s="322">
        <f t="shared" si="43"/>
        <v>32</v>
      </c>
      <c r="C75" s="337" t="s">
        <v>5237</v>
      </c>
      <c r="D75" s="337" t="s">
        <v>5044</v>
      </c>
      <c r="E75" s="291" t="s">
        <v>5238</v>
      </c>
      <c r="F75" s="291" t="s">
        <v>5239</v>
      </c>
      <c r="G75" s="64" t="s">
        <v>5240</v>
      </c>
      <c r="H75" s="45" t="s">
        <v>5241</v>
      </c>
      <c r="I75" s="52" t="s">
        <v>5242</v>
      </c>
      <c r="J75" s="45" t="s">
        <v>3575</v>
      </c>
      <c r="K75" s="53"/>
      <c r="L75" s="54" t="e">
        <f>INDEX([1]Timeline!$E$10:$E$24,MATCH(A75,[1]Timeline!$C$10:$C$24,0))</f>
        <v>#N/A</v>
      </c>
      <c r="M75" s="55">
        <v>45291</v>
      </c>
      <c r="N75" s="56">
        <v>450000</v>
      </c>
      <c r="O75" s="57" t="e">
        <f t="shared" si="25"/>
        <v>#N/A</v>
      </c>
      <c r="P75" s="56" t="e">
        <f t="shared" si="26"/>
        <v>#N/A</v>
      </c>
      <c r="Q75" s="56">
        <f>V75*0.055/8*0.87</f>
        <v>7.4765625000000002E-2</v>
      </c>
      <c r="R75" s="57" t="e">
        <f t="shared" si="39"/>
        <v>#N/A</v>
      </c>
      <c r="S75" s="56" t="e">
        <f t="shared" si="40"/>
        <v>#N/A</v>
      </c>
      <c r="T75" s="56" t="s">
        <v>4940</v>
      </c>
      <c r="U75" s="56" t="s">
        <v>4941</v>
      </c>
      <c r="V75" s="56">
        <v>12.5</v>
      </c>
      <c r="W75" s="56" t="s">
        <v>4942</v>
      </c>
      <c r="X75" s="56">
        <f>V75*0.055/8</f>
        <v>8.59375E-2</v>
      </c>
      <c r="Y75" s="56" t="s">
        <v>2817</v>
      </c>
      <c r="Z75" s="56">
        <v>1</v>
      </c>
      <c r="AA75" s="56">
        <v>1</v>
      </c>
      <c r="AB75" s="58">
        <f>N75/Z75</f>
        <v>450000</v>
      </c>
      <c r="AC75" s="58" t="e">
        <f t="shared" si="27"/>
        <v>#N/A</v>
      </c>
      <c r="AD75" s="58" t="e">
        <f t="shared" si="28"/>
        <v>#N/A</v>
      </c>
      <c r="AE75" s="45">
        <v>1</v>
      </c>
      <c r="AF75" s="59">
        <f t="shared" si="29"/>
        <v>2.75</v>
      </c>
      <c r="AG75" s="59">
        <f t="shared" si="41"/>
        <v>3.25</v>
      </c>
      <c r="AH75" s="60">
        <f t="shared" si="42"/>
        <v>2.25</v>
      </c>
      <c r="AI75" s="45"/>
      <c r="AJ75" s="45"/>
      <c r="AK75" s="45"/>
      <c r="AL75" s="45"/>
      <c r="AM75" s="46">
        <f t="shared" si="30"/>
        <v>0</v>
      </c>
      <c r="AN75" s="45"/>
      <c r="AO75" s="45"/>
      <c r="AP75" s="45"/>
      <c r="AQ75" s="45"/>
      <c r="AR75" s="61">
        <f t="shared" si="31"/>
        <v>0</v>
      </c>
      <c r="AS75" s="64">
        <v>3</v>
      </c>
      <c r="AT75" s="45">
        <v>3</v>
      </c>
      <c r="AU75" s="45">
        <v>3</v>
      </c>
      <c r="AV75" s="45">
        <v>3</v>
      </c>
      <c r="AW75" s="46">
        <f t="shared" si="32"/>
        <v>3</v>
      </c>
      <c r="AX75" s="45">
        <v>3</v>
      </c>
      <c r="AY75" s="45">
        <v>3</v>
      </c>
      <c r="AZ75" s="45">
        <v>2</v>
      </c>
      <c r="BA75" s="45">
        <v>2</v>
      </c>
      <c r="BB75" s="46">
        <f t="shared" si="33"/>
        <v>2.5</v>
      </c>
      <c r="BC75" s="45">
        <v>3</v>
      </c>
      <c r="BD75" s="45">
        <v>3</v>
      </c>
      <c r="BE75" s="45">
        <v>2</v>
      </c>
      <c r="BF75" s="45">
        <v>2</v>
      </c>
      <c r="BG75" s="47">
        <f t="shared" si="34"/>
        <v>2.5</v>
      </c>
      <c r="BH75" s="45"/>
      <c r="BI75" s="45"/>
      <c r="BJ75" s="45"/>
      <c r="BK75" s="45"/>
      <c r="BL75" s="46">
        <f>IFERROR(SUM(BH75:BK75)/4,0)</f>
        <v>0</v>
      </c>
      <c r="BM75" s="45"/>
      <c r="BN75" s="45"/>
      <c r="BO75" s="45"/>
      <c r="BP75" s="45"/>
      <c r="BQ75" s="46">
        <f t="shared" si="35"/>
        <v>0</v>
      </c>
      <c r="BR75" s="45"/>
      <c r="BS75" s="45"/>
      <c r="BT75" s="45"/>
      <c r="BU75" s="45"/>
      <c r="BV75" s="46">
        <f t="shared" si="36"/>
        <v>0</v>
      </c>
      <c r="BW75" s="45"/>
      <c r="BX75" s="45"/>
      <c r="BY75" s="45"/>
      <c r="BZ75" s="45"/>
      <c r="CA75" s="46">
        <f t="shared" si="37"/>
        <v>0</v>
      </c>
      <c r="CB75" s="291">
        <v>4</v>
      </c>
      <c r="CC75" s="291">
        <v>4</v>
      </c>
      <c r="CD75" s="291">
        <v>2</v>
      </c>
      <c r="CE75" s="291">
        <v>2</v>
      </c>
      <c r="CF75" s="291">
        <f t="shared" si="38"/>
        <v>3</v>
      </c>
      <c r="CG75" s="291"/>
      <c r="CH75" s="291"/>
      <c r="CI75" s="291"/>
      <c r="CJ75" s="291"/>
      <c r="CK75" s="291"/>
    </row>
    <row r="76" spans="1:89" ht="91.5">
      <c r="A76" s="291">
        <v>6</v>
      </c>
      <c r="B76" s="322">
        <f t="shared" si="43"/>
        <v>33</v>
      </c>
      <c r="C76" s="337" t="s">
        <v>2817</v>
      </c>
      <c r="D76" s="337" t="s">
        <v>5044</v>
      </c>
      <c r="E76" s="347" t="s">
        <v>5243</v>
      </c>
      <c r="F76" s="337" t="s">
        <v>5244</v>
      </c>
      <c r="G76" s="64" t="s">
        <v>5245</v>
      </c>
      <c r="H76" s="74" t="s">
        <v>5246</v>
      </c>
      <c r="I76" s="52" t="s">
        <v>5247</v>
      </c>
      <c r="J76" s="45" t="s">
        <v>3575</v>
      </c>
      <c r="K76" s="53"/>
      <c r="L76" s="54" t="e">
        <f>INDEX([1]Timeline!$E$10:$E$24,MATCH(A76,[1]Timeline!$C$10:$C$24,0))</f>
        <v>#N/A</v>
      </c>
      <c r="M76" s="55">
        <v>45291</v>
      </c>
      <c r="N76" s="56">
        <v>276000</v>
      </c>
      <c r="O76" s="57" t="e">
        <f t="shared" si="25"/>
        <v>#N/A</v>
      </c>
      <c r="P76" s="56" t="e">
        <f t="shared" si="26"/>
        <v>#N/A</v>
      </c>
      <c r="Q76" s="56">
        <f>V76*0.055/8*0.87</f>
        <v>4.1270624999999998E-2</v>
      </c>
      <c r="R76" s="57" t="e">
        <f t="shared" si="39"/>
        <v>#N/A</v>
      </c>
      <c r="S76" s="56" t="e">
        <f t="shared" si="40"/>
        <v>#N/A</v>
      </c>
      <c r="T76" s="56" t="s">
        <v>4940</v>
      </c>
      <c r="U76" s="56" t="s">
        <v>4941</v>
      </c>
      <c r="V76" s="56">
        <v>6.9</v>
      </c>
      <c r="W76" s="56" t="s">
        <v>4959</v>
      </c>
      <c r="X76" s="56">
        <f>V76*0.055/8</f>
        <v>4.74375E-2</v>
      </c>
      <c r="Y76" s="56" t="s">
        <v>2817</v>
      </c>
      <c r="Z76" s="56">
        <v>1</v>
      </c>
      <c r="AA76" s="56">
        <v>1</v>
      </c>
      <c r="AB76" s="58">
        <f>N76/Z76</f>
        <v>276000</v>
      </c>
      <c r="AC76" s="58" t="e">
        <f t="shared" si="27"/>
        <v>#N/A</v>
      </c>
      <c r="AD76" s="58" t="e">
        <f t="shared" si="28"/>
        <v>#N/A</v>
      </c>
      <c r="AE76" s="45">
        <v>1</v>
      </c>
      <c r="AF76" s="59">
        <f t="shared" si="29"/>
        <v>2.9166666666666665</v>
      </c>
      <c r="AG76" s="59">
        <f t="shared" si="41"/>
        <v>3.6666666666666665</v>
      </c>
      <c r="AH76" s="60">
        <f t="shared" si="42"/>
        <v>2.1666666666666665</v>
      </c>
      <c r="AI76" s="45"/>
      <c r="AJ76" s="45"/>
      <c r="AK76" s="45"/>
      <c r="AL76" s="45"/>
      <c r="AM76" s="46">
        <f t="shared" si="30"/>
        <v>0</v>
      </c>
      <c r="AN76" s="45"/>
      <c r="AO76" s="45"/>
      <c r="AP76" s="45"/>
      <c r="AQ76" s="45"/>
      <c r="AR76" s="61">
        <f t="shared" si="31"/>
        <v>0</v>
      </c>
      <c r="AS76" s="64">
        <v>3</v>
      </c>
      <c r="AT76" s="45">
        <v>3</v>
      </c>
      <c r="AU76" s="45">
        <v>3</v>
      </c>
      <c r="AV76" s="45">
        <v>3</v>
      </c>
      <c r="AW76" s="46">
        <f t="shared" si="32"/>
        <v>3</v>
      </c>
      <c r="AX76" s="45"/>
      <c r="AY76" s="45"/>
      <c r="AZ76" s="45"/>
      <c r="BA76" s="45"/>
      <c r="BB76" s="46">
        <f t="shared" si="33"/>
        <v>0</v>
      </c>
      <c r="BC76" s="45">
        <v>4</v>
      </c>
      <c r="BD76" s="45">
        <v>4</v>
      </c>
      <c r="BE76" s="45">
        <v>3</v>
      </c>
      <c r="BF76" s="45">
        <v>2</v>
      </c>
      <c r="BG76" s="47">
        <f t="shared" si="34"/>
        <v>3.25</v>
      </c>
      <c r="BH76" s="45"/>
      <c r="BI76" s="45"/>
      <c r="BJ76" s="45"/>
      <c r="BK76" s="45"/>
      <c r="BL76" s="45"/>
      <c r="BM76" s="45"/>
      <c r="BN76" s="45"/>
      <c r="BO76" s="45"/>
      <c r="BP76" s="45"/>
      <c r="BQ76" s="46">
        <f t="shared" si="35"/>
        <v>0</v>
      </c>
      <c r="BR76" s="45"/>
      <c r="BS76" s="45"/>
      <c r="BT76" s="45"/>
      <c r="BU76" s="45"/>
      <c r="BV76" s="46">
        <f t="shared" si="36"/>
        <v>0</v>
      </c>
      <c r="BW76" s="45"/>
      <c r="BX76" s="45"/>
      <c r="BY76" s="45"/>
      <c r="BZ76" s="45"/>
      <c r="CA76" s="46">
        <f t="shared" si="37"/>
        <v>0</v>
      </c>
      <c r="CB76" s="291">
        <v>4</v>
      </c>
      <c r="CC76" s="291">
        <v>4</v>
      </c>
      <c r="CD76" s="291">
        <v>1</v>
      </c>
      <c r="CE76" s="291">
        <v>1</v>
      </c>
      <c r="CF76" s="291">
        <f t="shared" si="38"/>
        <v>2.5</v>
      </c>
      <c r="CG76" s="291"/>
      <c r="CH76" s="291"/>
      <c r="CI76" s="291"/>
      <c r="CJ76" s="291"/>
      <c r="CK76" s="291"/>
    </row>
    <row r="77" spans="1:89" ht="167.25">
      <c r="A77" s="291">
        <v>8</v>
      </c>
      <c r="B77" s="322">
        <f t="shared" si="43"/>
        <v>34</v>
      </c>
      <c r="C77" s="337" t="s">
        <v>4785</v>
      </c>
      <c r="D77" s="337" t="s">
        <v>3452</v>
      </c>
      <c r="E77" s="291" t="s">
        <v>5248</v>
      </c>
      <c r="F77" s="291" t="s">
        <v>5249</v>
      </c>
      <c r="G77" s="64" t="s">
        <v>5250</v>
      </c>
      <c r="H77" s="74" t="s">
        <v>5251</v>
      </c>
      <c r="I77" s="52" t="s">
        <v>5252</v>
      </c>
      <c r="J77" s="45" t="s">
        <v>3575</v>
      </c>
      <c r="K77" s="53"/>
      <c r="L77" s="54" t="e">
        <f>INDEX([1]Timeline!$E$10:$E$24,MATCH(A77,[1]Timeline!$C$10:$C$24,0))</f>
        <v>#N/A</v>
      </c>
      <c r="M77" s="55">
        <v>45291</v>
      </c>
      <c r="N77" s="56">
        <v>1560000</v>
      </c>
      <c r="O77" s="57" t="e">
        <f t="shared" si="25"/>
        <v>#N/A</v>
      </c>
      <c r="P77" s="56" t="e">
        <f t="shared" si="26"/>
        <v>#N/A</v>
      </c>
      <c r="Q77" s="56">
        <v>0</v>
      </c>
      <c r="R77" s="57" t="e">
        <f t="shared" si="39"/>
        <v>#N/A</v>
      </c>
      <c r="S77" s="56" t="e">
        <f t="shared" si="40"/>
        <v>#N/A</v>
      </c>
      <c r="T77" s="56"/>
      <c r="U77" s="56"/>
      <c r="V77" s="56"/>
      <c r="W77" s="56"/>
      <c r="X77" s="56"/>
      <c r="Y77" s="56" t="s">
        <v>3452</v>
      </c>
      <c r="Z77" s="56">
        <v>1</v>
      </c>
      <c r="AA77" s="56">
        <v>1</v>
      </c>
      <c r="AB77" s="58">
        <f>N77/1</f>
        <v>1560000</v>
      </c>
      <c r="AC77" s="58" t="e">
        <f t="shared" si="27"/>
        <v>#N/A</v>
      </c>
      <c r="AD77" s="58" t="e">
        <f t="shared" si="28"/>
        <v>#N/A</v>
      </c>
      <c r="AE77" s="45">
        <v>1</v>
      </c>
      <c r="AF77" s="59">
        <f t="shared" si="29"/>
        <v>2.71875</v>
      </c>
      <c r="AG77" s="59">
        <f t="shared" si="41"/>
        <v>3.25</v>
      </c>
      <c r="AH77" s="60">
        <f t="shared" si="42"/>
        <v>2.1875</v>
      </c>
      <c r="AI77" s="45">
        <v>3</v>
      </c>
      <c r="AJ77" s="45">
        <v>3</v>
      </c>
      <c r="AK77" s="45">
        <v>2</v>
      </c>
      <c r="AL77" s="45">
        <v>2</v>
      </c>
      <c r="AM77" s="46">
        <f t="shared" si="30"/>
        <v>2.5</v>
      </c>
      <c r="AN77" s="45">
        <v>3</v>
      </c>
      <c r="AO77" s="45">
        <v>3</v>
      </c>
      <c r="AP77" s="45">
        <v>2</v>
      </c>
      <c r="AQ77" s="45">
        <v>2</v>
      </c>
      <c r="AR77" s="61">
        <f t="shared" si="31"/>
        <v>2.5</v>
      </c>
      <c r="AS77" s="64">
        <v>3</v>
      </c>
      <c r="AT77" s="45">
        <v>3</v>
      </c>
      <c r="AU77" s="45">
        <v>2</v>
      </c>
      <c r="AV77" s="45">
        <v>2</v>
      </c>
      <c r="AW77" s="46">
        <f t="shared" si="32"/>
        <v>2.5</v>
      </c>
      <c r="AX77" s="45"/>
      <c r="AY77" s="45"/>
      <c r="AZ77" s="45"/>
      <c r="BA77" s="45"/>
      <c r="BB77" s="46">
        <f t="shared" si="33"/>
        <v>0</v>
      </c>
      <c r="BC77" s="45">
        <v>3</v>
      </c>
      <c r="BD77" s="45">
        <v>3</v>
      </c>
      <c r="BE77" s="45">
        <v>2</v>
      </c>
      <c r="BF77" s="45">
        <v>2</v>
      </c>
      <c r="BG77" s="47">
        <f t="shared" si="34"/>
        <v>2.5</v>
      </c>
      <c r="BH77" s="45">
        <v>3</v>
      </c>
      <c r="BI77" s="45">
        <v>3</v>
      </c>
      <c r="BJ77" s="45">
        <v>2</v>
      </c>
      <c r="BK77" s="45">
        <v>2</v>
      </c>
      <c r="BL77" s="46">
        <f t="shared" ref="BL77:BL84" si="44">IFERROR(SUM(BH77:BK77)/4,0)</f>
        <v>2.5</v>
      </c>
      <c r="BM77" s="45">
        <v>3</v>
      </c>
      <c r="BN77" s="45">
        <v>3</v>
      </c>
      <c r="BO77" s="45">
        <v>2</v>
      </c>
      <c r="BP77" s="45">
        <v>3</v>
      </c>
      <c r="BQ77" s="46">
        <f t="shared" si="35"/>
        <v>2.75</v>
      </c>
      <c r="BR77" s="45">
        <v>4</v>
      </c>
      <c r="BS77" s="45">
        <v>4</v>
      </c>
      <c r="BT77" s="45">
        <v>2</v>
      </c>
      <c r="BU77" s="45">
        <v>2</v>
      </c>
      <c r="BV77" s="46">
        <f t="shared" si="36"/>
        <v>3</v>
      </c>
      <c r="BW77" s="45"/>
      <c r="BX77" s="45"/>
      <c r="BY77" s="45"/>
      <c r="BZ77" s="45"/>
      <c r="CA77" s="46">
        <f t="shared" si="37"/>
        <v>0</v>
      </c>
      <c r="CB77" s="291">
        <v>4</v>
      </c>
      <c r="CC77" s="291">
        <v>4</v>
      </c>
      <c r="CD77" s="291">
        <v>2</v>
      </c>
      <c r="CE77" s="291">
        <v>4</v>
      </c>
      <c r="CF77" s="291">
        <f t="shared" si="38"/>
        <v>3.5</v>
      </c>
      <c r="CG77" s="291"/>
      <c r="CH77" s="291"/>
      <c r="CI77" s="291"/>
      <c r="CJ77" s="291"/>
      <c r="CK77" s="291"/>
    </row>
    <row r="78" spans="1:89" ht="106.5">
      <c r="A78" s="291">
        <v>11</v>
      </c>
      <c r="B78" s="322">
        <f t="shared" si="43"/>
        <v>35</v>
      </c>
      <c r="C78" s="341" t="s">
        <v>4857</v>
      </c>
      <c r="D78" s="291" t="s">
        <v>5253</v>
      </c>
      <c r="E78" s="291" t="s">
        <v>5254</v>
      </c>
      <c r="F78" s="291" t="s">
        <v>5255</v>
      </c>
      <c r="G78" s="64" t="s">
        <v>5256</v>
      </c>
      <c r="H78" s="45" t="s">
        <v>5257</v>
      </c>
      <c r="I78" s="52" t="s">
        <v>5258</v>
      </c>
      <c r="J78" s="45" t="s">
        <v>3575</v>
      </c>
      <c r="K78" s="53"/>
      <c r="L78" s="54" t="e">
        <f>INDEX([1]Timeline!$E$10:$E$24,MATCH(A78,[1]Timeline!$C$10:$C$24,0))</f>
        <v>#N/A</v>
      </c>
      <c r="M78" s="55">
        <v>45291</v>
      </c>
      <c r="N78" s="56">
        <v>276000</v>
      </c>
      <c r="O78" s="57" t="e">
        <f t="shared" si="25"/>
        <v>#N/A</v>
      </c>
      <c r="P78" s="56" t="e">
        <f t="shared" si="26"/>
        <v>#N/A</v>
      </c>
      <c r="Q78" s="56">
        <f>V78*0.055/8*0.87</f>
        <v>4.1270624999999998E-2</v>
      </c>
      <c r="R78" s="57" t="e">
        <f t="shared" si="39"/>
        <v>#N/A</v>
      </c>
      <c r="S78" s="56" t="e">
        <f t="shared" si="40"/>
        <v>#N/A</v>
      </c>
      <c r="T78" s="56" t="s">
        <v>4940</v>
      </c>
      <c r="U78" s="56" t="s">
        <v>4941</v>
      </c>
      <c r="V78" s="56">
        <v>6.9</v>
      </c>
      <c r="W78" s="56" t="s">
        <v>4959</v>
      </c>
      <c r="X78" s="56">
        <f>V78*0.055/8</f>
        <v>4.74375E-2</v>
      </c>
      <c r="Y78" s="56" t="s">
        <v>2773</v>
      </c>
      <c r="Z78" s="56">
        <v>1</v>
      </c>
      <c r="AA78" s="56">
        <v>1</v>
      </c>
      <c r="AB78" s="58">
        <f>N78/1</f>
        <v>276000</v>
      </c>
      <c r="AC78" s="58" t="e">
        <f t="shared" si="27"/>
        <v>#N/A</v>
      </c>
      <c r="AD78" s="58" t="e">
        <f t="shared" si="28"/>
        <v>#N/A</v>
      </c>
      <c r="AE78" s="45">
        <v>1</v>
      </c>
      <c r="AF78" s="59">
        <f t="shared" si="29"/>
        <v>2.75</v>
      </c>
      <c r="AG78" s="59">
        <f t="shared" si="41"/>
        <v>3.7142857142857144</v>
      </c>
      <c r="AH78" s="60">
        <f t="shared" si="42"/>
        <v>1.7857142857142858</v>
      </c>
      <c r="AI78" s="45">
        <v>3</v>
      </c>
      <c r="AJ78" s="45">
        <v>3</v>
      </c>
      <c r="AK78" s="45">
        <v>1</v>
      </c>
      <c r="AL78" s="45">
        <v>2</v>
      </c>
      <c r="AM78" s="46">
        <f t="shared" si="30"/>
        <v>2.25</v>
      </c>
      <c r="AN78" s="45">
        <v>4</v>
      </c>
      <c r="AO78" s="45">
        <v>4</v>
      </c>
      <c r="AP78" s="45">
        <v>1</v>
      </c>
      <c r="AQ78" s="45">
        <v>2</v>
      </c>
      <c r="AR78" s="61">
        <f t="shared" si="31"/>
        <v>2.75</v>
      </c>
      <c r="AS78" s="64"/>
      <c r="AT78" s="45"/>
      <c r="AU78" s="45"/>
      <c r="AV78" s="45"/>
      <c r="AW78" s="46">
        <f t="shared" si="32"/>
        <v>0</v>
      </c>
      <c r="AX78" s="45"/>
      <c r="AY78" s="45"/>
      <c r="AZ78" s="45"/>
      <c r="BA78" s="45"/>
      <c r="BB78" s="46">
        <f t="shared" si="33"/>
        <v>0</v>
      </c>
      <c r="BC78" s="45">
        <v>4</v>
      </c>
      <c r="BD78" s="45">
        <v>4</v>
      </c>
      <c r="BE78" s="45">
        <v>2</v>
      </c>
      <c r="BF78" s="45">
        <v>1</v>
      </c>
      <c r="BG78" s="47">
        <f t="shared" si="34"/>
        <v>2.75</v>
      </c>
      <c r="BH78" s="45">
        <v>4</v>
      </c>
      <c r="BI78" s="45">
        <v>3</v>
      </c>
      <c r="BJ78" s="45">
        <v>2</v>
      </c>
      <c r="BK78" s="45">
        <v>1</v>
      </c>
      <c r="BL78" s="46">
        <f t="shared" si="44"/>
        <v>2.5</v>
      </c>
      <c r="BM78" s="45">
        <v>3</v>
      </c>
      <c r="BN78" s="45">
        <v>4</v>
      </c>
      <c r="BO78" s="45">
        <v>3</v>
      </c>
      <c r="BP78" s="45">
        <v>3</v>
      </c>
      <c r="BQ78" s="46">
        <f t="shared" si="35"/>
        <v>3.25</v>
      </c>
      <c r="BR78" s="45">
        <v>4</v>
      </c>
      <c r="BS78" s="45">
        <v>4</v>
      </c>
      <c r="BT78" s="45">
        <v>2</v>
      </c>
      <c r="BU78" s="45">
        <v>1</v>
      </c>
      <c r="BV78" s="46">
        <f t="shared" si="36"/>
        <v>2.75</v>
      </c>
      <c r="BW78" s="45"/>
      <c r="BX78" s="45"/>
      <c r="BY78" s="45"/>
      <c r="BZ78" s="45"/>
      <c r="CA78" s="46">
        <f t="shared" si="37"/>
        <v>0</v>
      </c>
      <c r="CB78" s="291">
        <v>4</v>
      </c>
      <c r="CC78" s="291">
        <v>4</v>
      </c>
      <c r="CD78" s="291">
        <v>2</v>
      </c>
      <c r="CE78" s="291">
        <v>2</v>
      </c>
      <c r="CF78" s="291">
        <f t="shared" si="38"/>
        <v>3</v>
      </c>
      <c r="CG78" s="291"/>
      <c r="CH78" s="291"/>
      <c r="CI78" s="291"/>
      <c r="CJ78" s="291"/>
      <c r="CK78" s="291"/>
    </row>
    <row r="79" spans="1:89" ht="336">
      <c r="A79" s="291">
        <v>1</v>
      </c>
      <c r="B79" s="322">
        <f t="shared" si="43"/>
        <v>36</v>
      </c>
      <c r="C79" s="341" t="s">
        <v>2817</v>
      </c>
      <c r="D79" s="291" t="s">
        <v>5259</v>
      </c>
      <c r="E79" s="291" t="s">
        <v>5260</v>
      </c>
      <c r="F79" s="291" t="s">
        <v>5261</v>
      </c>
      <c r="G79" s="64" t="s">
        <v>5262</v>
      </c>
      <c r="H79" s="45" t="s">
        <v>5263</v>
      </c>
      <c r="I79" s="52" t="s">
        <v>5264</v>
      </c>
      <c r="J79" s="45" t="s">
        <v>3575</v>
      </c>
      <c r="K79" s="53"/>
      <c r="L79" s="54" t="e">
        <f>INDEX([1]Timeline!$E$10:$E$24,MATCH(A79,[1]Timeline!$C$10:$C$24,0))</f>
        <v>#N/A</v>
      </c>
      <c r="M79" s="55">
        <v>45291</v>
      </c>
      <c r="N79" s="56">
        <v>400666</v>
      </c>
      <c r="O79" s="57" t="e">
        <f t="shared" si="25"/>
        <v>#N/A</v>
      </c>
      <c r="P79" s="56" t="e">
        <f t="shared" si="26"/>
        <v>#N/A</v>
      </c>
      <c r="Q79" s="56">
        <f>V79*0.055/8*0.87</f>
        <v>5.9912187500000005E-2</v>
      </c>
      <c r="R79" s="57" t="e">
        <f t="shared" si="39"/>
        <v>#N/A</v>
      </c>
      <c r="S79" s="56" t="e">
        <f t="shared" si="40"/>
        <v>#N/A</v>
      </c>
      <c r="T79" s="56" t="s">
        <v>4940</v>
      </c>
      <c r="U79" s="56" t="s">
        <v>4941</v>
      </c>
      <c r="V79" s="56">
        <f>36060/3600</f>
        <v>10.016666666666667</v>
      </c>
      <c r="W79" s="56" t="s">
        <v>4959</v>
      </c>
      <c r="X79" s="56">
        <f>V79*0.055/8</f>
        <v>6.886458333333334E-2</v>
      </c>
      <c r="Y79" s="56" t="s">
        <v>5265</v>
      </c>
      <c r="Z79" s="56">
        <v>1</v>
      </c>
      <c r="AA79" s="56">
        <v>1</v>
      </c>
      <c r="AB79" s="58">
        <f>N79/Z79</f>
        <v>400666</v>
      </c>
      <c r="AC79" s="58" t="e">
        <f t="shared" si="27"/>
        <v>#N/A</v>
      </c>
      <c r="AD79" s="58" t="e">
        <f t="shared" si="28"/>
        <v>#N/A</v>
      </c>
      <c r="AE79" s="45">
        <v>1</v>
      </c>
      <c r="AF79" s="59">
        <f t="shared" si="29"/>
        <v>2.3214285714285716</v>
      </c>
      <c r="AG79" s="59">
        <f t="shared" si="41"/>
        <v>2.8571428571428572</v>
      </c>
      <c r="AH79" s="60">
        <f t="shared" si="42"/>
        <v>1.7857142857142858</v>
      </c>
      <c r="AI79" s="45"/>
      <c r="AJ79" s="45"/>
      <c r="AK79" s="45"/>
      <c r="AL79" s="45"/>
      <c r="AM79" s="46">
        <f t="shared" si="30"/>
        <v>0</v>
      </c>
      <c r="AN79" s="45">
        <v>3</v>
      </c>
      <c r="AO79" s="45">
        <v>2</v>
      </c>
      <c r="AP79" s="45">
        <v>1</v>
      </c>
      <c r="AQ79" s="45">
        <v>2</v>
      </c>
      <c r="AR79" s="61">
        <f t="shared" si="31"/>
        <v>2</v>
      </c>
      <c r="AS79" s="103">
        <v>3</v>
      </c>
      <c r="AT79" s="102">
        <v>2</v>
      </c>
      <c r="AU79" s="102">
        <v>2</v>
      </c>
      <c r="AV79" s="102">
        <v>1</v>
      </c>
      <c r="AW79" s="46">
        <f t="shared" si="32"/>
        <v>2</v>
      </c>
      <c r="AX79" s="45">
        <v>3</v>
      </c>
      <c r="AY79" s="45">
        <v>3</v>
      </c>
      <c r="AZ79" s="45">
        <v>1</v>
      </c>
      <c r="BA79" s="45">
        <v>4</v>
      </c>
      <c r="BB79" s="46">
        <f t="shared" si="33"/>
        <v>2.75</v>
      </c>
      <c r="BC79" s="45"/>
      <c r="BD79" s="45"/>
      <c r="BE79" s="45"/>
      <c r="BF79" s="45"/>
      <c r="BG79" s="47">
        <f t="shared" si="34"/>
        <v>0</v>
      </c>
      <c r="BH79" s="45"/>
      <c r="BI79" s="45"/>
      <c r="BJ79" s="45"/>
      <c r="BK79" s="45"/>
      <c r="BL79" s="46">
        <f t="shared" si="44"/>
        <v>0</v>
      </c>
      <c r="BM79" s="45">
        <v>3</v>
      </c>
      <c r="BN79" s="45">
        <v>3</v>
      </c>
      <c r="BO79" s="45">
        <v>3</v>
      </c>
      <c r="BP79" s="45">
        <v>3</v>
      </c>
      <c r="BQ79" s="46">
        <f t="shared" si="35"/>
        <v>3</v>
      </c>
      <c r="BR79" s="45">
        <v>4</v>
      </c>
      <c r="BS79" s="45">
        <v>3</v>
      </c>
      <c r="BT79" s="45">
        <v>1</v>
      </c>
      <c r="BU79" s="45">
        <v>1</v>
      </c>
      <c r="BV79" s="46">
        <f t="shared" si="36"/>
        <v>2.25</v>
      </c>
      <c r="BW79" s="45">
        <v>4</v>
      </c>
      <c r="BX79" s="45">
        <v>3</v>
      </c>
      <c r="BY79" s="45">
        <v>1</v>
      </c>
      <c r="BZ79" s="45">
        <v>2</v>
      </c>
      <c r="CA79" s="46">
        <f t="shared" si="37"/>
        <v>2.5</v>
      </c>
      <c r="CB79" s="291">
        <v>4</v>
      </c>
      <c r="CC79" s="291">
        <v>4</v>
      </c>
      <c r="CD79" s="291">
        <v>1</v>
      </c>
      <c r="CE79" s="291">
        <v>2</v>
      </c>
      <c r="CF79" s="291">
        <f t="shared" si="38"/>
        <v>2.75</v>
      </c>
      <c r="CG79" s="291"/>
      <c r="CH79" s="291"/>
      <c r="CI79" s="291"/>
      <c r="CJ79" s="291"/>
      <c r="CK79" s="291"/>
    </row>
    <row r="80" spans="1:89" ht="409.6">
      <c r="A80" s="291">
        <v>8</v>
      </c>
      <c r="B80" s="322">
        <f t="shared" si="43"/>
        <v>37</v>
      </c>
      <c r="C80" s="333" t="s">
        <v>5086</v>
      </c>
      <c r="D80" s="291" t="s">
        <v>3978</v>
      </c>
      <c r="E80" s="291" t="s">
        <v>5266</v>
      </c>
      <c r="F80" s="291" t="s">
        <v>5267</v>
      </c>
      <c r="G80" s="64" t="s">
        <v>5268</v>
      </c>
      <c r="H80" s="45" t="s">
        <v>5269</v>
      </c>
      <c r="I80" s="52" t="s">
        <v>5270</v>
      </c>
      <c r="J80" s="45" t="s">
        <v>3575</v>
      </c>
      <c r="K80" s="53"/>
      <c r="L80" s="54" t="e">
        <f>INDEX([1]Timeline!$E$10:$E$24,MATCH(A80,[1]Timeline!$C$10:$C$24,0))</f>
        <v>#N/A</v>
      </c>
      <c r="M80" s="55">
        <v>45291</v>
      </c>
      <c r="N80" s="56">
        <v>475333</v>
      </c>
      <c r="O80" s="57" t="e">
        <f t="shared" si="25"/>
        <v>#N/A</v>
      </c>
      <c r="P80" s="56" t="e">
        <f t="shared" si="26"/>
        <v>#N/A</v>
      </c>
      <c r="Q80" s="56">
        <f>V80*0.055/8*0.87</f>
        <v>7.10771875E-2</v>
      </c>
      <c r="R80" s="57" t="e">
        <f t="shared" si="39"/>
        <v>#N/A</v>
      </c>
      <c r="S80" s="56" t="e">
        <f t="shared" si="40"/>
        <v>#N/A</v>
      </c>
      <c r="T80" s="56" t="s">
        <v>4940</v>
      </c>
      <c r="U80" s="56" t="s">
        <v>4941</v>
      </c>
      <c r="V80" s="56">
        <f>42780/3600</f>
        <v>11.883333333333333</v>
      </c>
      <c r="W80" s="56" t="s">
        <v>4959</v>
      </c>
      <c r="X80" s="56">
        <f>V80*0.055/8</f>
        <v>8.1697916666666662E-2</v>
      </c>
      <c r="Y80" s="56" t="s">
        <v>2817</v>
      </c>
      <c r="Z80" s="56">
        <v>1</v>
      </c>
      <c r="AA80" s="56">
        <v>1</v>
      </c>
      <c r="AB80" s="58">
        <f>N80/1</f>
        <v>475333</v>
      </c>
      <c r="AC80" s="58" t="e">
        <f t="shared" si="27"/>
        <v>#N/A</v>
      </c>
      <c r="AD80" s="58" t="e">
        <f t="shared" si="28"/>
        <v>#N/A</v>
      </c>
      <c r="AE80" s="45">
        <v>1</v>
      </c>
      <c r="AF80" s="59">
        <f t="shared" si="29"/>
        <v>2.6875</v>
      </c>
      <c r="AG80" s="59">
        <f t="shared" si="41"/>
        <v>3.75</v>
      </c>
      <c r="AH80" s="60">
        <f t="shared" si="42"/>
        <v>1.625</v>
      </c>
      <c r="AI80" s="45">
        <v>4</v>
      </c>
      <c r="AJ80" s="45">
        <v>4</v>
      </c>
      <c r="AK80" s="45">
        <v>1</v>
      </c>
      <c r="AL80" s="45">
        <v>2</v>
      </c>
      <c r="AM80" s="46">
        <f t="shared" si="30"/>
        <v>2.75</v>
      </c>
      <c r="AN80" s="45">
        <v>4</v>
      </c>
      <c r="AO80" s="45">
        <v>3</v>
      </c>
      <c r="AP80" s="45">
        <v>1</v>
      </c>
      <c r="AQ80" s="45">
        <v>2</v>
      </c>
      <c r="AR80" s="61">
        <f t="shared" si="31"/>
        <v>2.5</v>
      </c>
      <c r="AS80" s="64">
        <v>4</v>
      </c>
      <c r="AT80" s="45">
        <v>3</v>
      </c>
      <c r="AU80" s="45">
        <v>1</v>
      </c>
      <c r="AV80" s="45">
        <v>2</v>
      </c>
      <c r="AW80" s="46">
        <f t="shared" si="32"/>
        <v>2.5</v>
      </c>
      <c r="AX80" s="45"/>
      <c r="AY80" s="45"/>
      <c r="AZ80" s="45"/>
      <c r="BA80" s="45"/>
      <c r="BB80" s="46">
        <f t="shared" si="33"/>
        <v>0</v>
      </c>
      <c r="BC80" s="45">
        <v>4</v>
      </c>
      <c r="BD80" s="45">
        <v>4</v>
      </c>
      <c r="BE80" s="45">
        <v>1</v>
      </c>
      <c r="BF80" s="45">
        <v>3</v>
      </c>
      <c r="BG80" s="47">
        <f t="shared" si="34"/>
        <v>3</v>
      </c>
      <c r="BH80" s="45">
        <v>4</v>
      </c>
      <c r="BI80" s="45">
        <v>4</v>
      </c>
      <c r="BJ80" s="45">
        <v>2</v>
      </c>
      <c r="BK80" s="45">
        <v>1</v>
      </c>
      <c r="BL80" s="46">
        <f t="shared" si="44"/>
        <v>2.75</v>
      </c>
      <c r="BM80" s="45">
        <v>3</v>
      </c>
      <c r="BN80" s="45">
        <v>3</v>
      </c>
      <c r="BO80" s="45">
        <v>2</v>
      </c>
      <c r="BP80" s="45">
        <v>3</v>
      </c>
      <c r="BQ80" s="46">
        <f t="shared" si="35"/>
        <v>2.75</v>
      </c>
      <c r="BR80" s="45">
        <v>4</v>
      </c>
      <c r="BS80" s="45">
        <v>4</v>
      </c>
      <c r="BT80" s="45">
        <v>1</v>
      </c>
      <c r="BU80" s="45">
        <v>1</v>
      </c>
      <c r="BV80" s="46">
        <f t="shared" si="36"/>
        <v>2.5</v>
      </c>
      <c r="BW80" s="45"/>
      <c r="BX80" s="45"/>
      <c r="BY80" s="45"/>
      <c r="BZ80" s="45"/>
      <c r="CA80" s="46">
        <f t="shared" si="37"/>
        <v>0</v>
      </c>
      <c r="CB80" s="291">
        <v>4</v>
      </c>
      <c r="CC80" s="291">
        <v>4</v>
      </c>
      <c r="CD80" s="291">
        <v>2</v>
      </c>
      <c r="CE80" s="291">
        <v>1</v>
      </c>
      <c r="CF80" s="291">
        <f t="shared" si="38"/>
        <v>2.75</v>
      </c>
      <c r="CG80" s="291"/>
      <c r="CH80" s="291"/>
      <c r="CI80" s="291"/>
      <c r="CJ80" s="291"/>
      <c r="CK80" s="291"/>
    </row>
    <row r="81" spans="1:89" ht="106.5">
      <c r="A81" s="291">
        <v>9</v>
      </c>
      <c r="B81" s="322">
        <f t="shared" si="43"/>
        <v>38</v>
      </c>
      <c r="C81" s="333" t="s">
        <v>4918</v>
      </c>
      <c r="D81" s="291" t="s">
        <v>2841</v>
      </c>
      <c r="E81" s="291" t="s">
        <v>5271</v>
      </c>
      <c r="F81" s="291" t="s">
        <v>5272</v>
      </c>
      <c r="G81" s="64" t="s">
        <v>5273</v>
      </c>
      <c r="H81" s="45" t="s">
        <v>5274</v>
      </c>
      <c r="I81" s="52" t="s">
        <v>5275</v>
      </c>
      <c r="J81" s="45" t="s">
        <v>3575</v>
      </c>
      <c r="K81" s="53"/>
      <c r="L81" s="54" t="e">
        <f>INDEX([1]Timeline!$E$10:$E$24,MATCH(A81,[1]Timeline!$C$10:$C$24,0))</f>
        <v>#N/A</v>
      </c>
      <c r="M81" s="55">
        <v>45291</v>
      </c>
      <c r="N81" s="56">
        <v>111556</v>
      </c>
      <c r="O81" s="57" t="e">
        <f t="shared" si="25"/>
        <v>#N/A</v>
      </c>
      <c r="P81" s="56" t="e">
        <f t="shared" si="26"/>
        <v>#N/A</v>
      </c>
      <c r="Q81" s="56">
        <f>V81*0.055/8*0.87</f>
        <v>1.6687687499999999E-2</v>
      </c>
      <c r="R81" s="57" t="e">
        <f t="shared" si="39"/>
        <v>#N/A</v>
      </c>
      <c r="S81" s="56" t="e">
        <f t="shared" si="40"/>
        <v>#N/A</v>
      </c>
      <c r="T81" s="56" t="s">
        <v>4940</v>
      </c>
      <c r="U81" s="56" t="s">
        <v>4941</v>
      </c>
      <c r="V81" s="56">
        <v>2.79</v>
      </c>
      <c r="W81" s="56" t="s">
        <v>4959</v>
      </c>
      <c r="X81" s="56">
        <f>V81*0.055/8</f>
        <v>1.918125E-2</v>
      </c>
      <c r="Y81" s="56" t="s">
        <v>2841</v>
      </c>
      <c r="Z81" s="56">
        <v>1</v>
      </c>
      <c r="AA81" s="56">
        <v>1</v>
      </c>
      <c r="AB81" s="58">
        <f>N81/1</f>
        <v>111556</v>
      </c>
      <c r="AC81" s="58" t="e">
        <f t="shared" si="27"/>
        <v>#N/A</v>
      </c>
      <c r="AD81" s="58" t="e">
        <f t="shared" si="28"/>
        <v>#N/A</v>
      </c>
      <c r="AE81" s="45">
        <v>1</v>
      </c>
      <c r="AF81" s="59">
        <f t="shared" si="29"/>
        <v>2.8125</v>
      </c>
      <c r="AG81" s="59">
        <f t="shared" si="41"/>
        <v>3.75</v>
      </c>
      <c r="AH81" s="60">
        <f t="shared" si="42"/>
        <v>1.875</v>
      </c>
      <c r="AI81" s="45">
        <v>4</v>
      </c>
      <c r="AJ81" s="45">
        <v>4</v>
      </c>
      <c r="AK81" s="45">
        <v>1</v>
      </c>
      <c r="AL81" s="45">
        <v>1</v>
      </c>
      <c r="AM81" s="46">
        <f t="shared" si="30"/>
        <v>2.5</v>
      </c>
      <c r="AN81" s="45">
        <v>4</v>
      </c>
      <c r="AO81" s="45">
        <v>4</v>
      </c>
      <c r="AP81" s="45">
        <v>1</v>
      </c>
      <c r="AQ81" s="45">
        <v>1</v>
      </c>
      <c r="AR81" s="61">
        <f t="shared" si="31"/>
        <v>2.5</v>
      </c>
      <c r="AS81" s="64">
        <v>3</v>
      </c>
      <c r="AT81" s="45">
        <v>3</v>
      </c>
      <c r="AU81" s="45">
        <v>1</v>
      </c>
      <c r="AV81" s="45">
        <v>3</v>
      </c>
      <c r="AW81" s="46">
        <f t="shared" si="32"/>
        <v>2.5</v>
      </c>
      <c r="AX81" s="45"/>
      <c r="AY81" s="45"/>
      <c r="AZ81" s="45"/>
      <c r="BA81" s="45"/>
      <c r="BB81" s="46">
        <f t="shared" si="33"/>
        <v>0</v>
      </c>
      <c r="BC81" s="45">
        <v>4</v>
      </c>
      <c r="BD81" s="45">
        <v>4</v>
      </c>
      <c r="BE81" s="45">
        <v>3</v>
      </c>
      <c r="BF81" s="45">
        <v>1</v>
      </c>
      <c r="BG81" s="47">
        <f t="shared" si="34"/>
        <v>3</v>
      </c>
      <c r="BH81" s="45">
        <v>4</v>
      </c>
      <c r="BI81" s="45">
        <v>4</v>
      </c>
      <c r="BJ81" s="45">
        <v>2</v>
      </c>
      <c r="BK81" s="45">
        <v>1</v>
      </c>
      <c r="BL81" s="46">
        <f t="shared" si="44"/>
        <v>2.75</v>
      </c>
      <c r="BM81" s="45">
        <v>4</v>
      </c>
      <c r="BN81" s="45">
        <v>4</v>
      </c>
      <c r="BO81" s="45">
        <v>4</v>
      </c>
      <c r="BP81" s="45">
        <v>3</v>
      </c>
      <c r="BQ81" s="46">
        <f t="shared" si="35"/>
        <v>3.75</v>
      </c>
      <c r="BR81" s="45">
        <v>4</v>
      </c>
      <c r="BS81" s="45">
        <v>4</v>
      </c>
      <c r="BT81" s="45">
        <v>1</v>
      </c>
      <c r="BU81" s="45">
        <v>1</v>
      </c>
      <c r="BV81" s="46">
        <f t="shared" si="36"/>
        <v>2.5</v>
      </c>
      <c r="BW81" s="45"/>
      <c r="BX81" s="45"/>
      <c r="BY81" s="45"/>
      <c r="BZ81" s="45"/>
      <c r="CA81" s="46">
        <f t="shared" si="37"/>
        <v>0</v>
      </c>
      <c r="CB81" s="291">
        <v>3</v>
      </c>
      <c r="CC81" s="291">
        <v>3</v>
      </c>
      <c r="CD81" s="291">
        <v>2</v>
      </c>
      <c r="CE81" s="291">
        <v>4</v>
      </c>
      <c r="CF81" s="291">
        <f t="shared" si="38"/>
        <v>3</v>
      </c>
      <c r="CG81" s="291"/>
      <c r="CH81" s="291"/>
      <c r="CI81" s="291"/>
      <c r="CJ81" s="291"/>
      <c r="CK81" s="291"/>
    </row>
    <row r="82" spans="1:89" ht="244.5">
      <c r="A82" s="291">
        <v>1</v>
      </c>
      <c r="B82" s="322"/>
      <c r="C82" s="337" t="s">
        <v>4654</v>
      </c>
      <c r="D82" s="337" t="s">
        <v>4821</v>
      </c>
      <c r="E82" s="291" t="s">
        <v>4987</v>
      </c>
      <c r="F82" s="291" t="s">
        <v>5276</v>
      </c>
      <c r="G82" s="64" t="s">
        <v>5277</v>
      </c>
      <c r="H82" s="45" t="s">
        <v>5278</v>
      </c>
      <c r="I82" s="52" t="s">
        <v>5279</v>
      </c>
      <c r="J82" s="45" t="s">
        <v>3575</v>
      </c>
      <c r="K82" s="53"/>
      <c r="L82" s="54" t="e">
        <f>INDEX([1]Timeline!$E$10:$E$24,MATCH(A82,[1]Timeline!$C$10:$C$24,0))</f>
        <v>#N/A</v>
      </c>
      <c r="M82" s="55">
        <v>45291</v>
      </c>
      <c r="N82" s="56">
        <v>7641000</v>
      </c>
      <c r="O82" s="57" t="e">
        <f t="shared" si="25"/>
        <v>#N/A</v>
      </c>
      <c r="P82" s="56" t="e">
        <f t="shared" si="26"/>
        <v>#N/A</v>
      </c>
      <c r="Q82" s="56"/>
      <c r="R82" s="57" t="e">
        <f t="shared" si="39"/>
        <v>#N/A</v>
      </c>
      <c r="S82" s="56" t="e">
        <f t="shared" si="40"/>
        <v>#N/A</v>
      </c>
      <c r="T82" s="56"/>
      <c r="U82" s="56"/>
      <c r="V82" s="56"/>
      <c r="W82" s="56"/>
      <c r="X82" s="56"/>
      <c r="Y82" s="56" t="s">
        <v>5280</v>
      </c>
      <c r="Z82" s="56">
        <v>1</v>
      </c>
      <c r="AA82" s="56">
        <v>1</v>
      </c>
      <c r="AB82" s="58">
        <f>N82/Z82</f>
        <v>7641000</v>
      </c>
      <c r="AC82" s="58" t="e">
        <f t="shared" si="27"/>
        <v>#N/A</v>
      </c>
      <c r="AD82" s="58" t="e">
        <f t="shared" si="28"/>
        <v>#N/A</v>
      </c>
      <c r="AE82" s="45">
        <v>1</v>
      </c>
      <c r="AF82" s="59">
        <f t="shared" si="29"/>
        <v>2.6875</v>
      </c>
      <c r="AG82" s="59">
        <f t="shared" si="41"/>
        <v>3.375</v>
      </c>
      <c r="AH82" s="60">
        <f t="shared" si="42"/>
        <v>2</v>
      </c>
      <c r="AI82" s="45"/>
      <c r="AJ82" s="45"/>
      <c r="AK82" s="45"/>
      <c r="AL82" s="45"/>
      <c r="AM82" s="46">
        <f t="shared" si="30"/>
        <v>0</v>
      </c>
      <c r="AN82" s="45">
        <v>3</v>
      </c>
      <c r="AO82" s="45">
        <v>3</v>
      </c>
      <c r="AP82" s="45">
        <v>2</v>
      </c>
      <c r="AQ82" s="45">
        <v>2</v>
      </c>
      <c r="AR82" s="61">
        <f t="shared" si="31"/>
        <v>2.5</v>
      </c>
      <c r="AS82" s="103">
        <v>2</v>
      </c>
      <c r="AT82" s="102">
        <v>3</v>
      </c>
      <c r="AU82" s="102">
        <v>2</v>
      </c>
      <c r="AV82" s="102">
        <v>2</v>
      </c>
      <c r="AW82" s="46">
        <f t="shared" si="32"/>
        <v>2.25</v>
      </c>
      <c r="AX82" s="45">
        <v>4</v>
      </c>
      <c r="AY82" s="45">
        <v>4</v>
      </c>
      <c r="AZ82" s="45">
        <v>2</v>
      </c>
      <c r="BA82" s="45">
        <v>2</v>
      </c>
      <c r="BB82" s="46">
        <f t="shared" si="33"/>
        <v>3</v>
      </c>
      <c r="BC82" s="45"/>
      <c r="BD82" s="45"/>
      <c r="BE82" s="45"/>
      <c r="BF82" s="45"/>
      <c r="BG82" s="47">
        <f t="shared" si="34"/>
        <v>0</v>
      </c>
      <c r="BH82" s="45"/>
      <c r="BI82" s="45"/>
      <c r="BJ82" s="45"/>
      <c r="BK82" s="45"/>
      <c r="BL82" s="46">
        <f t="shared" si="44"/>
        <v>0</v>
      </c>
      <c r="BM82" s="45"/>
      <c r="BN82" s="45"/>
      <c r="BO82" s="45"/>
      <c r="BP82" s="45"/>
      <c r="BQ82" s="46">
        <f t="shared" si="35"/>
        <v>0</v>
      </c>
      <c r="BR82" s="45"/>
      <c r="BS82" s="45"/>
      <c r="BT82" s="45"/>
      <c r="BU82" s="45"/>
      <c r="BV82" s="46">
        <f t="shared" si="36"/>
        <v>0</v>
      </c>
      <c r="BW82" s="45"/>
      <c r="BX82" s="45"/>
      <c r="BY82" s="45"/>
      <c r="BZ82" s="45"/>
      <c r="CA82" s="46">
        <f t="shared" si="37"/>
        <v>0</v>
      </c>
      <c r="CB82" s="291">
        <v>4</v>
      </c>
      <c r="CC82" s="291">
        <v>4</v>
      </c>
      <c r="CD82" s="291">
        <v>2</v>
      </c>
      <c r="CE82" s="291">
        <v>2</v>
      </c>
      <c r="CF82" s="291">
        <f t="shared" si="38"/>
        <v>3</v>
      </c>
      <c r="CG82" s="291"/>
      <c r="CH82" s="291"/>
      <c r="CI82" s="291"/>
      <c r="CJ82" s="291"/>
      <c r="CK82" s="291"/>
    </row>
    <row r="83" spans="1:89" ht="130.5" customHeight="1">
      <c r="A83" s="291">
        <v>1</v>
      </c>
      <c r="B83" s="322">
        <f t="shared" ref="B83:B114" si="45">IFERROR(B82+1,1)</f>
        <v>1</v>
      </c>
      <c r="C83" s="341" t="s">
        <v>2817</v>
      </c>
      <c r="D83" s="291" t="s">
        <v>5259</v>
      </c>
      <c r="E83" s="291" t="s">
        <v>5260</v>
      </c>
      <c r="F83" s="291" t="s">
        <v>5281</v>
      </c>
      <c r="G83" s="64" t="s">
        <v>5282</v>
      </c>
      <c r="H83" s="45" t="s">
        <v>5283</v>
      </c>
      <c r="I83" s="52" t="s">
        <v>5284</v>
      </c>
      <c r="J83" s="45" t="s">
        <v>3575</v>
      </c>
      <c r="K83" s="53"/>
      <c r="L83" s="54" t="e">
        <f>INDEX([1]Timeline!$E$10:$E$24,MATCH(A83,[1]Timeline!$C$10:$C$24,0))</f>
        <v>#N/A</v>
      </c>
      <c r="M83" s="55">
        <v>45291</v>
      </c>
      <c r="N83" s="56">
        <v>151000</v>
      </c>
      <c r="O83" s="57" t="e">
        <f t="shared" si="25"/>
        <v>#N/A</v>
      </c>
      <c r="P83" s="56" t="e">
        <f t="shared" si="26"/>
        <v>#N/A</v>
      </c>
      <c r="Q83" s="56">
        <f>V83*0.055/8*0.87</f>
        <v>2.4636104166666666E-2</v>
      </c>
      <c r="R83" s="57" t="e">
        <f t="shared" si="39"/>
        <v>#N/A</v>
      </c>
      <c r="S83" s="56" t="e">
        <f t="shared" si="40"/>
        <v>#N/A</v>
      </c>
      <c r="T83" s="56" t="s">
        <v>4940</v>
      </c>
      <c r="U83" s="56" t="s">
        <v>4941</v>
      </c>
      <c r="V83" s="56">
        <f>14828/3600</f>
        <v>4.1188888888888888</v>
      </c>
      <c r="W83" s="56" t="s">
        <v>4959</v>
      </c>
      <c r="X83" s="56">
        <f>V83*0.055/8</f>
        <v>2.8317361111111109E-2</v>
      </c>
      <c r="Y83" s="56" t="s">
        <v>5265</v>
      </c>
      <c r="Z83" s="56">
        <v>1</v>
      </c>
      <c r="AA83" s="56">
        <v>1</v>
      </c>
      <c r="AB83" s="58">
        <f>N83/Z83</f>
        <v>151000</v>
      </c>
      <c r="AC83" s="58" t="e">
        <f t="shared" si="27"/>
        <v>#N/A</v>
      </c>
      <c r="AD83" s="58" t="e">
        <f t="shared" si="28"/>
        <v>#N/A</v>
      </c>
      <c r="AE83" s="45">
        <v>1</v>
      </c>
      <c r="AF83" s="59">
        <f t="shared" si="29"/>
        <v>2.6071428571428572</v>
      </c>
      <c r="AG83" s="59">
        <f t="shared" si="41"/>
        <v>3.3571428571428572</v>
      </c>
      <c r="AH83" s="60">
        <f t="shared" si="42"/>
        <v>1.8571428571428572</v>
      </c>
      <c r="AI83" s="45"/>
      <c r="AJ83" s="45"/>
      <c r="AK83" s="45"/>
      <c r="AL83" s="45"/>
      <c r="AM83" s="46">
        <f t="shared" si="30"/>
        <v>0</v>
      </c>
      <c r="AN83" s="45">
        <v>4</v>
      </c>
      <c r="AO83" s="45">
        <v>3</v>
      </c>
      <c r="AP83" s="45">
        <v>1</v>
      </c>
      <c r="AQ83" s="45">
        <v>2</v>
      </c>
      <c r="AR83" s="61">
        <f t="shared" si="31"/>
        <v>2.5</v>
      </c>
      <c r="AS83" s="103">
        <v>4</v>
      </c>
      <c r="AT83" s="102">
        <v>2</v>
      </c>
      <c r="AU83" s="102">
        <v>2</v>
      </c>
      <c r="AV83" s="102">
        <v>2</v>
      </c>
      <c r="AW83" s="46">
        <f t="shared" si="32"/>
        <v>2.5</v>
      </c>
      <c r="AX83" s="45">
        <v>4</v>
      </c>
      <c r="AY83" s="45">
        <v>3</v>
      </c>
      <c r="AZ83" s="45">
        <v>2</v>
      </c>
      <c r="BA83" s="45">
        <v>2</v>
      </c>
      <c r="BB83" s="46">
        <f t="shared" si="33"/>
        <v>2.75</v>
      </c>
      <c r="BC83" s="45"/>
      <c r="BD83" s="45"/>
      <c r="BE83" s="45"/>
      <c r="BF83" s="45"/>
      <c r="BG83" s="47">
        <f t="shared" si="34"/>
        <v>0</v>
      </c>
      <c r="BH83" s="45"/>
      <c r="BI83" s="45"/>
      <c r="BJ83" s="45"/>
      <c r="BK83" s="45"/>
      <c r="BL83" s="46">
        <f t="shared" si="44"/>
        <v>0</v>
      </c>
      <c r="BM83" s="45">
        <v>4</v>
      </c>
      <c r="BN83" s="45">
        <v>4</v>
      </c>
      <c r="BO83" s="45">
        <v>2</v>
      </c>
      <c r="BP83" s="45">
        <v>2</v>
      </c>
      <c r="BQ83" s="46">
        <f t="shared" si="35"/>
        <v>3</v>
      </c>
      <c r="BR83" s="45">
        <v>4</v>
      </c>
      <c r="BS83" s="45">
        <v>4</v>
      </c>
      <c r="BT83" s="45">
        <v>1</v>
      </c>
      <c r="BU83" s="45">
        <v>2</v>
      </c>
      <c r="BV83" s="46">
        <f t="shared" si="36"/>
        <v>2.75</v>
      </c>
      <c r="BW83" s="45">
        <v>4</v>
      </c>
      <c r="BX83" s="45">
        <v>4</v>
      </c>
      <c r="BY83" s="45">
        <v>1</v>
      </c>
      <c r="BZ83" s="45">
        <v>2</v>
      </c>
      <c r="CA83" s="46">
        <f t="shared" si="37"/>
        <v>2.75</v>
      </c>
      <c r="CB83" s="291">
        <v>4</v>
      </c>
      <c r="CC83" s="291">
        <v>4</v>
      </c>
      <c r="CD83" s="291">
        <v>1</v>
      </c>
      <c r="CE83" s="291">
        <v>4</v>
      </c>
      <c r="CF83" s="291">
        <f t="shared" si="38"/>
        <v>3.25</v>
      </c>
      <c r="CG83" s="291"/>
      <c r="CH83" s="291"/>
      <c r="CI83" s="291"/>
      <c r="CJ83" s="291"/>
      <c r="CK83" s="291"/>
    </row>
    <row r="84" spans="1:89" ht="91.5">
      <c r="A84" s="291">
        <v>10</v>
      </c>
      <c r="B84" s="322">
        <f t="shared" si="45"/>
        <v>2</v>
      </c>
      <c r="C84" s="341" t="s">
        <v>4857</v>
      </c>
      <c r="D84" s="291" t="s">
        <v>5285</v>
      </c>
      <c r="E84" s="291" t="s">
        <v>5286</v>
      </c>
      <c r="F84" s="291" t="s">
        <v>5287</v>
      </c>
      <c r="G84" s="64" t="s">
        <v>5288</v>
      </c>
      <c r="H84" s="45" t="s">
        <v>5289</v>
      </c>
      <c r="I84" s="52" t="s">
        <v>5290</v>
      </c>
      <c r="J84" s="45" t="s">
        <v>3575</v>
      </c>
      <c r="K84" s="53"/>
      <c r="L84" s="54" t="e">
        <f>INDEX([1]Timeline!$E$10:$E$24,MATCH(A84,[1]Timeline!$C$10:$C$24,0))</f>
        <v>#N/A</v>
      </c>
      <c r="M84" s="55">
        <v>45291</v>
      </c>
      <c r="N84" s="56">
        <v>664889</v>
      </c>
      <c r="O84" s="57" t="e">
        <f t="shared" si="25"/>
        <v>#N/A</v>
      </c>
      <c r="P84" s="56" t="e">
        <f t="shared" si="26"/>
        <v>#N/A</v>
      </c>
      <c r="Q84" s="56">
        <f>V84*0.055/8*0.87</f>
        <v>4.6773375000000006E-2</v>
      </c>
      <c r="R84" s="57" t="e">
        <f t="shared" si="39"/>
        <v>#N/A</v>
      </c>
      <c r="S84" s="56" t="e">
        <f t="shared" si="40"/>
        <v>#N/A</v>
      </c>
      <c r="T84" s="56" t="s">
        <v>4940</v>
      </c>
      <c r="U84" s="56" t="s">
        <v>4941</v>
      </c>
      <c r="V84" s="56">
        <v>7.82</v>
      </c>
      <c r="W84" s="56" t="s">
        <v>4959</v>
      </c>
      <c r="X84" s="56">
        <f>V84*0.055/8</f>
        <v>5.3762500000000005E-2</v>
      </c>
      <c r="Y84" s="56" t="s">
        <v>2773</v>
      </c>
      <c r="Z84" s="56">
        <v>1</v>
      </c>
      <c r="AA84" s="56">
        <v>1</v>
      </c>
      <c r="AB84" s="58">
        <f>N84/1</f>
        <v>664889</v>
      </c>
      <c r="AC84" s="58" t="e">
        <f t="shared" si="27"/>
        <v>#N/A</v>
      </c>
      <c r="AD84" s="58" t="e">
        <f t="shared" si="28"/>
        <v>#N/A</v>
      </c>
      <c r="AE84" s="45">
        <v>1</v>
      </c>
      <c r="AF84" s="59">
        <f t="shared" si="29"/>
        <v>2.6428571428571428</v>
      </c>
      <c r="AG84" s="59">
        <f t="shared" si="41"/>
        <v>3.5714285714285716</v>
      </c>
      <c r="AH84" s="60">
        <f t="shared" si="42"/>
        <v>1.7142857142857142</v>
      </c>
      <c r="AI84" s="45">
        <v>4</v>
      </c>
      <c r="AJ84" s="45">
        <v>4</v>
      </c>
      <c r="AK84" s="45">
        <v>2</v>
      </c>
      <c r="AL84" s="45">
        <v>2</v>
      </c>
      <c r="AM84" s="46">
        <f t="shared" si="30"/>
        <v>3</v>
      </c>
      <c r="AN84" s="45">
        <v>4</v>
      </c>
      <c r="AO84" s="45">
        <v>4</v>
      </c>
      <c r="AP84" s="45">
        <v>2</v>
      </c>
      <c r="AQ84" s="45">
        <v>2</v>
      </c>
      <c r="AR84" s="61">
        <f t="shared" si="31"/>
        <v>3</v>
      </c>
      <c r="AS84" s="64"/>
      <c r="AT84" s="45"/>
      <c r="AU84" s="45"/>
      <c r="AV84" s="45"/>
      <c r="AW84" s="46">
        <f t="shared" si="32"/>
        <v>0</v>
      </c>
      <c r="AX84" s="45"/>
      <c r="AY84" s="45"/>
      <c r="AZ84" s="45"/>
      <c r="BA84" s="45"/>
      <c r="BB84" s="46">
        <f t="shared" si="33"/>
        <v>0</v>
      </c>
      <c r="BC84" s="45">
        <v>4</v>
      </c>
      <c r="BD84" s="45">
        <v>4</v>
      </c>
      <c r="BE84" s="45">
        <v>2</v>
      </c>
      <c r="BF84" s="45">
        <v>2</v>
      </c>
      <c r="BG84" s="47">
        <f t="shared" si="34"/>
        <v>3</v>
      </c>
      <c r="BH84" s="45">
        <v>3</v>
      </c>
      <c r="BI84" s="45">
        <v>3</v>
      </c>
      <c r="BJ84" s="45">
        <v>2</v>
      </c>
      <c r="BK84" s="45">
        <v>1</v>
      </c>
      <c r="BL84" s="46">
        <f t="shared" si="44"/>
        <v>2.25</v>
      </c>
      <c r="BM84" s="45">
        <v>2</v>
      </c>
      <c r="BN84" s="45">
        <v>2</v>
      </c>
      <c r="BO84" s="45">
        <v>3</v>
      </c>
      <c r="BP84" s="45">
        <v>2</v>
      </c>
      <c r="BQ84" s="46">
        <f t="shared" si="35"/>
        <v>2.25</v>
      </c>
      <c r="BR84" s="45">
        <v>4</v>
      </c>
      <c r="BS84" s="45">
        <v>4</v>
      </c>
      <c r="BT84" s="45">
        <v>1</v>
      </c>
      <c r="BU84" s="45">
        <v>1</v>
      </c>
      <c r="BV84" s="46">
        <f t="shared" si="36"/>
        <v>2.5</v>
      </c>
      <c r="BW84" s="45"/>
      <c r="BX84" s="45"/>
      <c r="BY84" s="45"/>
      <c r="BZ84" s="45"/>
      <c r="CA84" s="46">
        <f t="shared" si="37"/>
        <v>0</v>
      </c>
      <c r="CB84" s="291">
        <v>4</v>
      </c>
      <c r="CC84" s="291">
        <v>4</v>
      </c>
      <c r="CD84" s="291">
        <v>1</v>
      </c>
      <c r="CE84" s="291">
        <v>1</v>
      </c>
      <c r="CF84" s="291">
        <f t="shared" si="38"/>
        <v>2.5</v>
      </c>
      <c r="CG84" s="291"/>
      <c r="CH84" s="291"/>
      <c r="CI84" s="291"/>
      <c r="CJ84" s="291"/>
      <c r="CK84" s="291"/>
    </row>
    <row r="85" spans="1:89" ht="183">
      <c r="A85" s="291">
        <v>7</v>
      </c>
      <c r="B85" s="322">
        <f t="shared" si="45"/>
        <v>3</v>
      </c>
      <c r="C85" s="337" t="s">
        <v>2817</v>
      </c>
      <c r="D85" s="337" t="s">
        <v>3978</v>
      </c>
      <c r="E85" s="340" t="s">
        <v>5291</v>
      </c>
      <c r="F85" s="337" t="s">
        <v>5292</v>
      </c>
      <c r="G85" s="64" t="s">
        <v>5293</v>
      </c>
      <c r="H85" s="45" t="s">
        <v>5294</v>
      </c>
      <c r="I85" s="52" t="s">
        <v>5295</v>
      </c>
      <c r="J85" s="45" t="s">
        <v>3575</v>
      </c>
      <c r="K85" s="53"/>
      <c r="L85" s="54" t="e">
        <f>INDEX([1]Timeline!$E$10:$E$24,MATCH(A85,[1]Timeline!$C$10:$C$24,0))</f>
        <v>#N/A</v>
      </c>
      <c r="M85" s="55">
        <v>45291</v>
      </c>
      <c r="N85" s="56">
        <v>260000</v>
      </c>
      <c r="O85" s="57" t="e">
        <f t="shared" si="25"/>
        <v>#N/A</v>
      </c>
      <c r="P85" s="56" t="e">
        <f t="shared" si="26"/>
        <v>#N/A</v>
      </c>
      <c r="Q85" s="56">
        <f>V85*0.055/8*0.87</f>
        <v>3.8878124999999999E-2</v>
      </c>
      <c r="R85" s="57" t="e">
        <f t="shared" si="39"/>
        <v>#N/A</v>
      </c>
      <c r="S85" s="56" t="e">
        <f t="shared" si="40"/>
        <v>#N/A</v>
      </c>
      <c r="T85" s="56" t="s">
        <v>4940</v>
      </c>
      <c r="U85" s="56" t="s">
        <v>4941</v>
      </c>
      <c r="V85" s="56">
        <f>23400/3600</f>
        <v>6.5</v>
      </c>
      <c r="W85" s="56" t="s">
        <v>4959</v>
      </c>
      <c r="X85" s="56">
        <f>V85*0.055/8</f>
        <v>4.4687499999999998E-2</v>
      </c>
      <c r="Y85" s="56" t="s">
        <v>2817</v>
      </c>
      <c r="Z85" s="56">
        <v>1</v>
      </c>
      <c r="AA85" s="56">
        <v>1</v>
      </c>
      <c r="AB85" s="58">
        <f>N85/1</f>
        <v>260000</v>
      </c>
      <c r="AC85" s="58" t="e">
        <f t="shared" si="27"/>
        <v>#N/A</v>
      </c>
      <c r="AD85" s="58" t="e">
        <f t="shared" si="28"/>
        <v>#N/A</v>
      </c>
      <c r="AE85" s="45">
        <v>1</v>
      </c>
      <c r="AF85" s="59">
        <f t="shared" si="29"/>
        <v>3</v>
      </c>
      <c r="AG85" s="59">
        <f t="shared" si="41"/>
        <v>4</v>
      </c>
      <c r="AH85" s="60">
        <f t="shared" si="42"/>
        <v>2</v>
      </c>
      <c r="AI85" s="45"/>
      <c r="AJ85" s="45"/>
      <c r="AK85" s="45"/>
      <c r="AL85" s="45"/>
      <c r="AM85" s="46">
        <f t="shared" si="30"/>
        <v>0</v>
      </c>
      <c r="AN85" s="45"/>
      <c r="AO85" s="45"/>
      <c r="AP85" s="45"/>
      <c r="AQ85" s="45"/>
      <c r="AR85" s="61">
        <f t="shared" si="31"/>
        <v>0</v>
      </c>
      <c r="AS85" s="64"/>
      <c r="AT85" s="45"/>
      <c r="AU85" s="45"/>
      <c r="AV85" s="45"/>
      <c r="AW85" s="46">
        <f t="shared" si="32"/>
        <v>0</v>
      </c>
      <c r="AX85" s="45"/>
      <c r="AY85" s="45"/>
      <c r="AZ85" s="45"/>
      <c r="BA85" s="45"/>
      <c r="BB85" s="46">
        <f t="shared" si="33"/>
        <v>0</v>
      </c>
      <c r="BC85" s="45">
        <v>4</v>
      </c>
      <c r="BD85" s="45">
        <v>4</v>
      </c>
      <c r="BE85" s="45">
        <v>2</v>
      </c>
      <c r="BF85" s="45">
        <v>4</v>
      </c>
      <c r="BG85" s="47">
        <f t="shared" si="34"/>
        <v>3.5</v>
      </c>
      <c r="BH85" s="45"/>
      <c r="BI85" s="45"/>
      <c r="BJ85" s="45"/>
      <c r="BK85" s="45"/>
      <c r="BL85" s="45"/>
      <c r="BM85" s="45"/>
      <c r="BN85" s="45"/>
      <c r="BO85" s="45"/>
      <c r="BP85" s="45"/>
      <c r="BQ85" s="46">
        <f t="shared" si="35"/>
        <v>0</v>
      </c>
      <c r="BR85" s="45"/>
      <c r="BS85" s="45"/>
      <c r="BT85" s="45"/>
      <c r="BU85" s="45"/>
      <c r="BV85" s="46">
        <f t="shared" si="36"/>
        <v>0</v>
      </c>
      <c r="BW85" s="45"/>
      <c r="BX85" s="45"/>
      <c r="BY85" s="45"/>
      <c r="BZ85" s="45"/>
      <c r="CA85" s="46">
        <f t="shared" si="37"/>
        <v>0</v>
      </c>
      <c r="CB85" s="291">
        <v>4</v>
      </c>
      <c r="CC85" s="291">
        <v>4</v>
      </c>
      <c r="CD85" s="291">
        <v>1</v>
      </c>
      <c r="CE85" s="291">
        <v>1</v>
      </c>
      <c r="CF85" s="291">
        <f t="shared" si="38"/>
        <v>2.5</v>
      </c>
      <c r="CG85" s="291"/>
      <c r="CH85" s="291"/>
      <c r="CI85" s="291"/>
      <c r="CJ85" s="291"/>
      <c r="CK85" s="291"/>
    </row>
    <row r="86" spans="1:89" ht="76.5">
      <c r="A86" s="291">
        <v>13</v>
      </c>
      <c r="B86" s="322">
        <f t="shared" si="45"/>
        <v>4</v>
      </c>
      <c r="C86" s="341" t="s">
        <v>4791</v>
      </c>
      <c r="D86" s="291" t="s">
        <v>3871</v>
      </c>
      <c r="E86" s="291" t="s">
        <v>5296</v>
      </c>
      <c r="F86" s="291" t="s">
        <v>5297</v>
      </c>
      <c r="G86" s="64" t="s">
        <v>5298</v>
      </c>
      <c r="H86" s="45" t="s">
        <v>5299</v>
      </c>
      <c r="I86" s="52" t="s">
        <v>5300</v>
      </c>
      <c r="J86" s="45" t="s">
        <v>3575</v>
      </c>
      <c r="K86" s="53"/>
      <c r="L86" s="54" t="e">
        <f>INDEX([1]Timeline!$E$10:$E$24,MATCH(A86,[1]Timeline!$C$10:$C$24,0))</f>
        <v>#N/A</v>
      </c>
      <c r="M86" s="55">
        <v>45291</v>
      </c>
      <c r="N86" s="56">
        <v>982400</v>
      </c>
      <c r="O86" s="57" t="e">
        <f t="shared" si="25"/>
        <v>#N/A</v>
      </c>
      <c r="P86" s="56" t="e">
        <f t="shared" si="26"/>
        <v>#N/A</v>
      </c>
      <c r="Q86" s="56">
        <v>0</v>
      </c>
      <c r="R86" s="57" t="e">
        <f t="shared" si="39"/>
        <v>#N/A</v>
      </c>
      <c r="S86" s="56" t="e">
        <f t="shared" si="40"/>
        <v>#N/A</v>
      </c>
      <c r="T86" s="56"/>
      <c r="U86" s="56"/>
      <c r="V86" s="56"/>
      <c r="W86" s="56"/>
      <c r="X86" s="56"/>
      <c r="Y86" s="56" t="s">
        <v>3871</v>
      </c>
      <c r="Z86" s="56">
        <v>1</v>
      </c>
      <c r="AA86" s="56">
        <v>1</v>
      </c>
      <c r="AB86" s="58">
        <f>N86/1</f>
        <v>982400</v>
      </c>
      <c r="AC86" s="58" t="e">
        <f t="shared" si="27"/>
        <v>#N/A</v>
      </c>
      <c r="AD86" s="58" t="e">
        <f t="shared" si="28"/>
        <v>#N/A</v>
      </c>
      <c r="AE86" s="45">
        <v>1</v>
      </c>
      <c r="AF86" s="59">
        <f t="shared" si="29"/>
        <v>3.5</v>
      </c>
      <c r="AG86" s="59">
        <f t="shared" si="41"/>
        <v>4</v>
      </c>
      <c r="AH86" s="60">
        <f t="shared" si="42"/>
        <v>3</v>
      </c>
      <c r="AI86" s="45"/>
      <c r="AJ86" s="45"/>
      <c r="AK86" s="45"/>
      <c r="AL86" s="45"/>
      <c r="AM86" s="46">
        <f t="shared" si="30"/>
        <v>0</v>
      </c>
      <c r="AN86" s="45"/>
      <c r="AO86" s="45"/>
      <c r="AP86" s="45"/>
      <c r="AQ86" s="45"/>
      <c r="AR86" s="61">
        <f t="shared" si="31"/>
        <v>0</v>
      </c>
      <c r="AS86" s="64"/>
      <c r="AT86" s="45"/>
      <c r="AU86" s="45"/>
      <c r="AV86" s="45"/>
      <c r="AW86" s="46">
        <f t="shared" si="32"/>
        <v>0</v>
      </c>
      <c r="AX86" s="45"/>
      <c r="AY86" s="45"/>
      <c r="AZ86" s="45"/>
      <c r="BA86" s="45"/>
      <c r="BB86" s="46">
        <f t="shared" si="33"/>
        <v>0</v>
      </c>
      <c r="BC86" s="45"/>
      <c r="BD86" s="45"/>
      <c r="BE86" s="45"/>
      <c r="BF86" s="45"/>
      <c r="BG86" s="47">
        <f t="shared" si="34"/>
        <v>0</v>
      </c>
      <c r="BH86" s="45"/>
      <c r="BI86" s="45"/>
      <c r="BJ86" s="45"/>
      <c r="BK86" s="45"/>
      <c r="BL86" s="46">
        <f>IFERROR(SUM(BH86:BK86)/4,0)</f>
        <v>0</v>
      </c>
      <c r="BM86" s="45"/>
      <c r="BN86" s="45"/>
      <c r="BO86" s="45"/>
      <c r="BP86" s="45"/>
      <c r="BQ86" s="46">
        <f t="shared" si="35"/>
        <v>0</v>
      </c>
      <c r="BR86" s="45"/>
      <c r="BS86" s="45"/>
      <c r="BT86" s="45"/>
      <c r="BU86" s="45"/>
      <c r="BV86" s="46">
        <f t="shared" si="36"/>
        <v>0</v>
      </c>
      <c r="BW86" s="45"/>
      <c r="BX86" s="45"/>
      <c r="BY86" s="45"/>
      <c r="BZ86" s="45"/>
      <c r="CA86" s="46">
        <f t="shared" si="37"/>
        <v>0</v>
      </c>
      <c r="CB86" s="291">
        <v>4</v>
      </c>
      <c r="CC86" s="291">
        <v>4</v>
      </c>
      <c r="CD86" s="291">
        <v>2</v>
      </c>
      <c r="CE86" s="291">
        <v>4</v>
      </c>
      <c r="CF86" s="291">
        <f t="shared" si="38"/>
        <v>3.5</v>
      </c>
      <c r="CG86" s="291"/>
      <c r="CH86" s="291"/>
      <c r="CI86" s="291"/>
      <c r="CJ86" s="291"/>
      <c r="CK86" s="291"/>
    </row>
    <row r="87" spans="1:89" ht="275.25">
      <c r="A87" s="291">
        <v>8</v>
      </c>
      <c r="B87" s="322">
        <f t="shared" si="45"/>
        <v>5</v>
      </c>
      <c r="C87" s="337" t="s">
        <v>4654</v>
      </c>
      <c r="D87" s="337" t="s">
        <v>3452</v>
      </c>
      <c r="E87" s="291" t="s">
        <v>5301</v>
      </c>
      <c r="F87" s="291" t="s">
        <v>5302</v>
      </c>
      <c r="G87" s="64" t="s">
        <v>5303</v>
      </c>
      <c r="H87" s="45" t="s">
        <v>5304</v>
      </c>
      <c r="I87" s="52" t="s">
        <v>5305</v>
      </c>
      <c r="J87" s="45" t="s">
        <v>3575</v>
      </c>
      <c r="K87" s="53"/>
      <c r="L87" s="54" t="e">
        <f>INDEX([1]Timeline!$E$10:$E$24,MATCH(A87,[1]Timeline!$C$10:$C$24,0))</f>
        <v>#N/A</v>
      </c>
      <c r="M87" s="55">
        <v>45291</v>
      </c>
      <c r="N87" s="56">
        <v>849515</v>
      </c>
      <c r="O87" s="57" t="e">
        <f t="shared" si="25"/>
        <v>#N/A</v>
      </c>
      <c r="P87" s="56" t="e">
        <f t="shared" si="26"/>
        <v>#N/A</v>
      </c>
      <c r="Q87" s="56">
        <v>35.770000000000003</v>
      </c>
      <c r="R87" s="57" t="e">
        <f t="shared" si="39"/>
        <v>#N/A</v>
      </c>
      <c r="S87" s="56" t="e">
        <f t="shared" si="40"/>
        <v>#N/A</v>
      </c>
      <c r="T87" s="56" t="s">
        <v>5306</v>
      </c>
      <c r="U87" s="56" t="s">
        <v>5307</v>
      </c>
      <c r="V87" s="56">
        <v>146</v>
      </c>
      <c r="W87" s="56" t="s">
        <v>5308</v>
      </c>
      <c r="X87" s="56"/>
      <c r="Y87" s="56" t="s">
        <v>3452</v>
      </c>
      <c r="Z87" s="56">
        <v>1</v>
      </c>
      <c r="AA87" s="56">
        <v>1</v>
      </c>
      <c r="AB87" s="58">
        <f>N87/1</f>
        <v>849515</v>
      </c>
      <c r="AC87" s="58" t="e">
        <f t="shared" si="27"/>
        <v>#N/A</v>
      </c>
      <c r="AD87" s="58" t="e">
        <f t="shared" si="28"/>
        <v>#N/A</v>
      </c>
      <c r="AE87" s="45">
        <v>1</v>
      </c>
      <c r="AF87" s="59">
        <f t="shared" si="29"/>
        <v>2.8571428571428572</v>
      </c>
      <c r="AG87" s="59">
        <f t="shared" si="41"/>
        <v>3.7857142857142856</v>
      </c>
      <c r="AH87" s="60">
        <f t="shared" si="42"/>
        <v>1.9285714285714286</v>
      </c>
      <c r="AI87" s="45">
        <v>4</v>
      </c>
      <c r="AJ87" s="45">
        <v>4</v>
      </c>
      <c r="AK87" s="45">
        <v>2</v>
      </c>
      <c r="AL87" s="45">
        <v>2</v>
      </c>
      <c r="AM87" s="46">
        <f t="shared" si="30"/>
        <v>3</v>
      </c>
      <c r="AN87" s="45">
        <v>4</v>
      </c>
      <c r="AO87" s="45">
        <v>4</v>
      </c>
      <c r="AP87" s="45">
        <v>2</v>
      </c>
      <c r="AQ87" s="45">
        <v>2</v>
      </c>
      <c r="AR87" s="61">
        <f t="shared" si="31"/>
        <v>3</v>
      </c>
      <c r="AS87" s="64">
        <v>4</v>
      </c>
      <c r="AT87" s="45">
        <v>3</v>
      </c>
      <c r="AU87" s="45">
        <v>3</v>
      </c>
      <c r="AV87" s="45">
        <v>2</v>
      </c>
      <c r="AW87" s="46">
        <f t="shared" si="32"/>
        <v>3</v>
      </c>
      <c r="AX87" s="45"/>
      <c r="AY87" s="45"/>
      <c r="AZ87" s="45"/>
      <c r="BA87" s="45"/>
      <c r="BB87" s="46">
        <f t="shared" si="33"/>
        <v>0</v>
      </c>
      <c r="BC87" s="45">
        <v>4</v>
      </c>
      <c r="BD87" s="45">
        <v>4</v>
      </c>
      <c r="BE87" s="45">
        <v>1</v>
      </c>
      <c r="BF87" s="45">
        <v>2</v>
      </c>
      <c r="BG87" s="47">
        <f t="shared" si="34"/>
        <v>2.75</v>
      </c>
      <c r="BH87" s="45">
        <v>4</v>
      </c>
      <c r="BI87" s="45">
        <v>4</v>
      </c>
      <c r="BJ87" s="45">
        <v>2</v>
      </c>
      <c r="BK87" s="45">
        <v>2</v>
      </c>
      <c r="BL87" s="46">
        <f>IFERROR(SUM(BH87:BK87)/4,0)</f>
        <v>3</v>
      </c>
      <c r="BM87" s="45"/>
      <c r="BN87" s="45"/>
      <c r="BO87" s="45"/>
      <c r="BP87" s="45"/>
      <c r="BQ87" s="46">
        <f t="shared" si="35"/>
        <v>0</v>
      </c>
      <c r="BR87" s="45">
        <v>4</v>
      </c>
      <c r="BS87" s="45">
        <v>4</v>
      </c>
      <c r="BT87" s="45">
        <v>1</v>
      </c>
      <c r="BU87" s="45">
        <v>2</v>
      </c>
      <c r="BV87" s="46">
        <f t="shared" si="36"/>
        <v>2.75</v>
      </c>
      <c r="BW87" s="45"/>
      <c r="BX87" s="45"/>
      <c r="BY87" s="45"/>
      <c r="BZ87" s="45"/>
      <c r="CA87" s="46">
        <f t="shared" si="37"/>
        <v>0</v>
      </c>
      <c r="CB87" s="291">
        <v>3</v>
      </c>
      <c r="CC87" s="291">
        <v>3</v>
      </c>
      <c r="CD87" s="291">
        <v>2</v>
      </c>
      <c r="CE87" s="291">
        <v>2</v>
      </c>
      <c r="CF87" s="291">
        <f t="shared" si="38"/>
        <v>2.5</v>
      </c>
      <c r="CG87" s="291"/>
      <c r="CH87" s="291"/>
      <c r="CI87" s="291"/>
      <c r="CJ87" s="291"/>
      <c r="CK87" s="291"/>
    </row>
    <row r="88" spans="1:89" ht="290.25">
      <c r="A88" s="291">
        <v>11</v>
      </c>
      <c r="B88" s="322">
        <f t="shared" si="45"/>
        <v>6</v>
      </c>
      <c r="C88" s="341" t="s">
        <v>4791</v>
      </c>
      <c r="D88" s="291" t="s">
        <v>3452</v>
      </c>
      <c r="E88" s="291" t="s">
        <v>5309</v>
      </c>
      <c r="F88" s="291" t="s">
        <v>5310</v>
      </c>
      <c r="G88" s="64" t="s">
        <v>5311</v>
      </c>
      <c r="H88" s="45" t="s">
        <v>5312</v>
      </c>
      <c r="I88" s="52" t="s">
        <v>5313</v>
      </c>
      <c r="J88" s="45" t="s">
        <v>3575</v>
      </c>
      <c r="K88" s="53"/>
      <c r="L88" s="54" t="e">
        <f>INDEX([1]Timeline!$E$10:$E$24,MATCH(A88,[1]Timeline!$C$10:$C$24,0))</f>
        <v>#N/A</v>
      </c>
      <c r="M88" s="55">
        <v>45291</v>
      </c>
      <c r="N88" s="56">
        <v>4076240</v>
      </c>
      <c r="O88" s="57" t="e">
        <f t="shared" si="25"/>
        <v>#N/A</v>
      </c>
      <c r="P88" s="56" t="e">
        <f t="shared" si="26"/>
        <v>#N/A</v>
      </c>
      <c r="Q88" s="56">
        <v>0</v>
      </c>
      <c r="R88" s="57" t="e">
        <f t="shared" si="39"/>
        <v>#N/A</v>
      </c>
      <c r="S88" s="56" t="e">
        <f t="shared" si="40"/>
        <v>#N/A</v>
      </c>
      <c r="T88" s="56"/>
      <c r="U88" s="56"/>
      <c r="V88" s="56"/>
      <c r="W88" s="56"/>
      <c r="X88" s="56"/>
      <c r="Y88" s="56" t="s">
        <v>3452</v>
      </c>
      <c r="Z88" s="56">
        <v>1</v>
      </c>
      <c r="AA88" s="56">
        <v>1</v>
      </c>
      <c r="AB88" s="58">
        <f>N88/1</f>
        <v>4076240</v>
      </c>
      <c r="AC88" s="58" t="e">
        <f t="shared" si="27"/>
        <v>#N/A</v>
      </c>
      <c r="AD88" s="58" t="e">
        <f t="shared" si="28"/>
        <v>#N/A</v>
      </c>
      <c r="AE88" s="45">
        <v>1</v>
      </c>
      <c r="AF88" s="59">
        <f t="shared" si="29"/>
        <v>3</v>
      </c>
      <c r="AG88" s="59">
        <f t="shared" si="41"/>
        <v>3.7142857142857144</v>
      </c>
      <c r="AH88" s="60">
        <f t="shared" si="42"/>
        <v>2.2857142857142856</v>
      </c>
      <c r="AI88" s="45">
        <v>3</v>
      </c>
      <c r="AJ88" s="45">
        <v>3</v>
      </c>
      <c r="AK88" s="45">
        <v>2</v>
      </c>
      <c r="AL88" s="45">
        <v>2</v>
      </c>
      <c r="AM88" s="46">
        <f t="shared" si="30"/>
        <v>2.5</v>
      </c>
      <c r="AN88" s="45">
        <v>4</v>
      </c>
      <c r="AO88" s="45">
        <v>4</v>
      </c>
      <c r="AP88" s="45">
        <v>2</v>
      </c>
      <c r="AQ88" s="45">
        <v>3</v>
      </c>
      <c r="AR88" s="61">
        <f t="shared" si="31"/>
        <v>3.25</v>
      </c>
      <c r="AS88" s="64"/>
      <c r="AT88" s="45"/>
      <c r="AU88" s="45"/>
      <c r="AV88" s="45"/>
      <c r="AW88" s="46">
        <f t="shared" si="32"/>
        <v>0</v>
      </c>
      <c r="AX88" s="45"/>
      <c r="AY88" s="45"/>
      <c r="AZ88" s="45"/>
      <c r="BA88" s="45"/>
      <c r="BB88" s="46">
        <f t="shared" si="33"/>
        <v>0</v>
      </c>
      <c r="BC88" s="45">
        <v>4</v>
      </c>
      <c r="BD88" s="45">
        <v>4</v>
      </c>
      <c r="BE88" s="45">
        <v>2</v>
      </c>
      <c r="BF88" s="45">
        <v>2</v>
      </c>
      <c r="BG88" s="47">
        <f t="shared" si="34"/>
        <v>3</v>
      </c>
      <c r="BH88" s="45">
        <v>4</v>
      </c>
      <c r="BI88" s="45">
        <v>4</v>
      </c>
      <c r="BJ88" s="45">
        <v>2</v>
      </c>
      <c r="BK88" s="45">
        <v>2</v>
      </c>
      <c r="BL88" s="46">
        <f>IFERROR(SUM(BH88:BK88)/4,0)</f>
        <v>3</v>
      </c>
      <c r="BM88" s="45">
        <v>4</v>
      </c>
      <c r="BN88" s="45">
        <v>4</v>
      </c>
      <c r="BO88" s="45">
        <v>2</v>
      </c>
      <c r="BP88" s="45">
        <v>3</v>
      </c>
      <c r="BQ88" s="46">
        <f t="shared" si="35"/>
        <v>3.25</v>
      </c>
      <c r="BR88" s="45">
        <v>4</v>
      </c>
      <c r="BS88" s="45">
        <v>4</v>
      </c>
      <c r="BT88" s="45">
        <v>2</v>
      </c>
      <c r="BU88" s="45">
        <v>2</v>
      </c>
      <c r="BV88" s="46">
        <f t="shared" si="36"/>
        <v>3</v>
      </c>
      <c r="BW88" s="45"/>
      <c r="BX88" s="45"/>
      <c r="BY88" s="45"/>
      <c r="BZ88" s="45"/>
      <c r="CA88" s="46">
        <f t="shared" si="37"/>
        <v>0</v>
      </c>
      <c r="CB88" s="291">
        <v>3</v>
      </c>
      <c r="CC88" s="291">
        <v>3</v>
      </c>
      <c r="CD88" s="291">
        <v>2</v>
      </c>
      <c r="CE88" s="291">
        <v>4</v>
      </c>
      <c r="CF88" s="291">
        <f t="shared" si="38"/>
        <v>3</v>
      </c>
      <c r="CG88" s="291"/>
      <c r="CH88" s="291"/>
      <c r="CI88" s="291"/>
      <c r="CJ88" s="291"/>
      <c r="CK88" s="291"/>
    </row>
    <row r="89" spans="1:89" ht="167.25">
      <c r="A89" s="291">
        <v>6</v>
      </c>
      <c r="B89" s="322">
        <f t="shared" si="45"/>
        <v>7</v>
      </c>
      <c r="C89" s="337" t="s">
        <v>3457</v>
      </c>
      <c r="D89" s="337" t="s">
        <v>2841</v>
      </c>
      <c r="E89" s="340" t="s">
        <v>5314</v>
      </c>
      <c r="F89" s="337" t="s">
        <v>5315</v>
      </c>
      <c r="G89" s="64" t="s">
        <v>5316</v>
      </c>
      <c r="H89" s="45" t="s">
        <v>5317</v>
      </c>
      <c r="I89" s="52" t="s">
        <v>5318</v>
      </c>
      <c r="J89" s="45" t="s">
        <v>3575</v>
      </c>
      <c r="K89" s="53"/>
      <c r="L89" s="54" t="e">
        <f>INDEX([1]Timeline!$E$10:$E$24,MATCH(A89,[1]Timeline!$C$10:$C$24,0))</f>
        <v>#N/A</v>
      </c>
      <c r="M89" s="55">
        <v>45291</v>
      </c>
      <c r="N89" s="56">
        <v>953750</v>
      </c>
      <c r="O89" s="57" t="e">
        <f t="shared" si="25"/>
        <v>#N/A</v>
      </c>
      <c r="P89" s="56" t="e">
        <f t="shared" si="26"/>
        <v>#N/A</v>
      </c>
      <c r="Q89" s="56"/>
      <c r="R89" s="57" t="e">
        <f t="shared" si="39"/>
        <v>#N/A</v>
      </c>
      <c r="S89" s="56" t="e">
        <f t="shared" si="40"/>
        <v>#N/A</v>
      </c>
      <c r="T89" s="56"/>
      <c r="U89" s="56"/>
      <c r="V89" s="56"/>
      <c r="W89" s="56"/>
      <c r="X89" s="56"/>
      <c r="Y89" s="56" t="s">
        <v>2841</v>
      </c>
      <c r="Z89" s="56">
        <v>1</v>
      </c>
      <c r="AA89" s="56">
        <v>1</v>
      </c>
      <c r="AB89" s="58">
        <f>N89/Z89</f>
        <v>953750</v>
      </c>
      <c r="AC89" s="58" t="e">
        <f t="shared" si="27"/>
        <v>#N/A</v>
      </c>
      <c r="AD89" s="58" t="e">
        <f t="shared" si="28"/>
        <v>#N/A</v>
      </c>
      <c r="AE89" s="45">
        <v>1</v>
      </c>
      <c r="AF89" s="59">
        <f t="shared" si="29"/>
        <v>2.666666666666667</v>
      </c>
      <c r="AG89" s="59">
        <f t="shared" si="41"/>
        <v>3</v>
      </c>
      <c r="AH89" s="60">
        <f t="shared" si="42"/>
        <v>2.3333333333333335</v>
      </c>
      <c r="AI89" s="45"/>
      <c r="AJ89" s="45"/>
      <c r="AK89" s="45"/>
      <c r="AL89" s="45"/>
      <c r="AM89" s="46">
        <f t="shared" si="30"/>
        <v>0</v>
      </c>
      <c r="AN89" s="45"/>
      <c r="AO89" s="45"/>
      <c r="AP89" s="45"/>
      <c r="AQ89" s="45"/>
      <c r="AR89" s="61">
        <f t="shared" si="31"/>
        <v>0</v>
      </c>
      <c r="AS89" s="64">
        <v>3</v>
      </c>
      <c r="AT89" s="45">
        <v>3</v>
      </c>
      <c r="AU89" s="45">
        <v>3</v>
      </c>
      <c r="AV89" s="45">
        <v>3</v>
      </c>
      <c r="AW89" s="46">
        <f t="shared" si="32"/>
        <v>3</v>
      </c>
      <c r="AX89" s="45"/>
      <c r="AY89" s="45"/>
      <c r="AZ89" s="45"/>
      <c r="BA89" s="45"/>
      <c r="BB89" s="46">
        <f t="shared" si="33"/>
        <v>0</v>
      </c>
      <c r="BC89" s="45">
        <v>3</v>
      </c>
      <c r="BD89" s="45">
        <v>3</v>
      </c>
      <c r="BE89" s="45">
        <v>1</v>
      </c>
      <c r="BF89" s="45">
        <v>3</v>
      </c>
      <c r="BG89" s="47">
        <f t="shared" si="34"/>
        <v>2.5</v>
      </c>
      <c r="BH89" s="45"/>
      <c r="BI89" s="45"/>
      <c r="BJ89" s="45"/>
      <c r="BK89" s="45"/>
      <c r="BL89" s="45"/>
      <c r="BM89" s="45"/>
      <c r="BN89" s="45"/>
      <c r="BO89" s="45"/>
      <c r="BP89" s="45"/>
      <c r="BQ89" s="46">
        <f t="shared" si="35"/>
        <v>0</v>
      </c>
      <c r="BR89" s="45"/>
      <c r="BS89" s="45"/>
      <c r="BT89" s="45"/>
      <c r="BU89" s="45"/>
      <c r="BV89" s="46">
        <f t="shared" si="36"/>
        <v>0</v>
      </c>
      <c r="BW89" s="45"/>
      <c r="BX89" s="45"/>
      <c r="BY89" s="45"/>
      <c r="BZ89" s="45"/>
      <c r="CA89" s="46">
        <f t="shared" si="37"/>
        <v>0</v>
      </c>
      <c r="CB89" s="291">
        <v>3</v>
      </c>
      <c r="CC89" s="291">
        <v>3</v>
      </c>
      <c r="CD89" s="291">
        <v>2</v>
      </c>
      <c r="CE89" s="291">
        <v>2</v>
      </c>
      <c r="CF89" s="291">
        <f t="shared" si="38"/>
        <v>2.5</v>
      </c>
      <c r="CG89" s="291"/>
      <c r="CH89" s="291"/>
      <c r="CI89" s="291"/>
      <c r="CJ89" s="291"/>
      <c r="CK89" s="291"/>
    </row>
    <row r="90" spans="1:89" ht="106.5">
      <c r="A90" s="291">
        <v>2</v>
      </c>
      <c r="B90" s="322">
        <f t="shared" si="45"/>
        <v>8</v>
      </c>
      <c r="C90" s="341" t="s">
        <v>5319</v>
      </c>
      <c r="D90" s="291" t="s">
        <v>3487</v>
      </c>
      <c r="E90" s="291" t="s">
        <v>5320</v>
      </c>
      <c r="F90" s="291" t="s">
        <v>5321</v>
      </c>
      <c r="G90" s="64" t="s">
        <v>5322</v>
      </c>
      <c r="H90" s="45" t="s">
        <v>5323</v>
      </c>
      <c r="I90" s="52" t="s">
        <v>5324</v>
      </c>
      <c r="J90" s="45" t="s">
        <v>3575</v>
      </c>
      <c r="K90" s="53"/>
      <c r="L90" s="54" t="e">
        <f>INDEX([1]Timeline!$E$10:$E$24,MATCH(A90,[1]Timeline!$C$10:$C$24,0))</f>
        <v>#N/A</v>
      </c>
      <c r="M90" s="55">
        <v>45291</v>
      </c>
      <c r="N90" s="56">
        <v>787500</v>
      </c>
      <c r="O90" s="57" t="e">
        <f t="shared" si="25"/>
        <v>#N/A</v>
      </c>
      <c r="P90" s="56" t="e">
        <f t="shared" si="26"/>
        <v>#N/A</v>
      </c>
      <c r="Q90" s="56"/>
      <c r="R90" s="57" t="e">
        <f t="shared" si="39"/>
        <v>#N/A</v>
      </c>
      <c r="S90" s="56" t="e">
        <f t="shared" si="40"/>
        <v>#N/A</v>
      </c>
      <c r="T90" s="56"/>
      <c r="U90" s="56"/>
      <c r="V90" s="56"/>
      <c r="W90" s="56"/>
      <c r="X90" s="56"/>
      <c r="Y90" s="56" t="s">
        <v>5325</v>
      </c>
      <c r="Z90" s="56">
        <v>1</v>
      </c>
      <c r="AA90" s="56">
        <v>1</v>
      </c>
      <c r="AB90" s="58">
        <f>N90/Z90</f>
        <v>787500</v>
      </c>
      <c r="AC90" s="58" t="e">
        <f t="shared" si="27"/>
        <v>#N/A</v>
      </c>
      <c r="AD90" s="58" t="e">
        <f t="shared" si="28"/>
        <v>#N/A</v>
      </c>
      <c r="AE90" s="45">
        <v>1</v>
      </c>
      <c r="AF90" s="59">
        <f t="shared" si="29"/>
        <v>2.8571428571428572</v>
      </c>
      <c r="AG90" s="59">
        <f t="shared" si="41"/>
        <v>3.5</v>
      </c>
      <c r="AH90" s="60">
        <f t="shared" si="42"/>
        <v>2.2142857142857144</v>
      </c>
      <c r="AI90" s="45"/>
      <c r="AJ90" s="45"/>
      <c r="AK90" s="45"/>
      <c r="AL90" s="45"/>
      <c r="AM90" s="46">
        <f t="shared" si="30"/>
        <v>0</v>
      </c>
      <c r="AN90" s="45">
        <v>4</v>
      </c>
      <c r="AO90" s="45">
        <v>4</v>
      </c>
      <c r="AP90" s="45">
        <v>2</v>
      </c>
      <c r="AQ90" s="45">
        <v>4</v>
      </c>
      <c r="AR90" s="61">
        <f t="shared" si="31"/>
        <v>3.5</v>
      </c>
      <c r="AS90" s="103">
        <v>4</v>
      </c>
      <c r="AT90" s="102">
        <v>3</v>
      </c>
      <c r="AU90" s="102">
        <v>2</v>
      </c>
      <c r="AV90" s="102">
        <v>3</v>
      </c>
      <c r="AW90" s="46">
        <f t="shared" si="32"/>
        <v>3</v>
      </c>
      <c r="AX90" s="45">
        <v>4</v>
      </c>
      <c r="AY90" s="45">
        <v>4</v>
      </c>
      <c r="AZ90" s="45">
        <v>2</v>
      </c>
      <c r="BA90" s="45">
        <v>2</v>
      </c>
      <c r="BB90" s="46">
        <f t="shared" si="33"/>
        <v>3</v>
      </c>
      <c r="BC90" s="45"/>
      <c r="BD90" s="45"/>
      <c r="BE90" s="45"/>
      <c r="BF90" s="45"/>
      <c r="BG90" s="47">
        <f t="shared" si="34"/>
        <v>0</v>
      </c>
      <c r="BH90" s="45"/>
      <c r="BI90" s="45"/>
      <c r="BJ90" s="45"/>
      <c r="BK90" s="45"/>
      <c r="BL90" s="46">
        <f>IFERROR(SUM(BH90:BK90)/4,0)</f>
        <v>0</v>
      </c>
      <c r="BM90" s="45">
        <v>3</v>
      </c>
      <c r="BN90" s="45">
        <v>3</v>
      </c>
      <c r="BO90" s="45">
        <v>3</v>
      </c>
      <c r="BP90" s="45">
        <v>3</v>
      </c>
      <c r="BQ90" s="46">
        <f t="shared" si="35"/>
        <v>3</v>
      </c>
      <c r="BR90" s="45">
        <v>4</v>
      </c>
      <c r="BS90" s="45">
        <v>4</v>
      </c>
      <c r="BT90" s="45">
        <v>2</v>
      </c>
      <c r="BU90" s="45">
        <v>2</v>
      </c>
      <c r="BV90" s="46">
        <f t="shared" si="36"/>
        <v>3</v>
      </c>
      <c r="BW90" s="45">
        <v>4</v>
      </c>
      <c r="BX90" s="45">
        <v>4</v>
      </c>
      <c r="BY90" s="45">
        <v>2</v>
      </c>
      <c r="BZ90" s="45">
        <v>2</v>
      </c>
      <c r="CA90" s="46">
        <f t="shared" si="37"/>
        <v>3</v>
      </c>
      <c r="CB90" s="291">
        <v>4</v>
      </c>
      <c r="CC90" s="291">
        <v>4</v>
      </c>
      <c r="CD90" s="291">
        <v>1</v>
      </c>
      <c r="CE90" s="291">
        <v>1</v>
      </c>
      <c r="CF90" s="291">
        <f t="shared" si="38"/>
        <v>2.5</v>
      </c>
      <c r="CG90" s="291"/>
      <c r="CH90" s="291"/>
      <c r="CI90" s="291"/>
      <c r="CJ90" s="291"/>
      <c r="CK90" s="291"/>
    </row>
    <row r="91" spans="1:89" ht="91.5">
      <c r="A91" s="291">
        <v>2</v>
      </c>
      <c r="B91" s="322">
        <f t="shared" si="45"/>
        <v>9</v>
      </c>
      <c r="C91" s="341" t="s">
        <v>5326</v>
      </c>
      <c r="D91" s="291" t="s">
        <v>3487</v>
      </c>
      <c r="E91" s="291" t="s">
        <v>5327</v>
      </c>
      <c r="F91" s="341" t="s">
        <v>5321</v>
      </c>
      <c r="G91" s="64" t="s">
        <v>5328</v>
      </c>
      <c r="H91" s="45" t="s">
        <v>5329</v>
      </c>
      <c r="I91" s="69" t="s">
        <v>5330</v>
      </c>
      <c r="J91" s="45" t="s">
        <v>3575</v>
      </c>
      <c r="K91" s="53"/>
      <c r="L91" s="54" t="e">
        <f>INDEX([1]Timeline!$E$10:$E$24,MATCH(A91,[1]Timeline!$C$10:$C$24,0))</f>
        <v>#N/A</v>
      </c>
      <c r="M91" s="55">
        <v>45291</v>
      </c>
      <c r="N91" s="57">
        <v>787500</v>
      </c>
      <c r="O91" s="57" t="e">
        <f t="shared" si="25"/>
        <v>#N/A</v>
      </c>
      <c r="P91" s="57" t="e">
        <f t="shared" si="26"/>
        <v>#N/A</v>
      </c>
      <c r="Q91" s="57"/>
      <c r="R91" s="57" t="e">
        <f t="shared" si="39"/>
        <v>#N/A</v>
      </c>
      <c r="S91" s="56" t="e">
        <f t="shared" si="40"/>
        <v>#N/A</v>
      </c>
      <c r="T91" s="56"/>
      <c r="U91" s="56"/>
      <c r="V91" s="56"/>
      <c r="W91" s="56"/>
      <c r="X91" s="56"/>
      <c r="Y91" s="57" t="s">
        <v>5325</v>
      </c>
      <c r="Z91" s="57">
        <v>1</v>
      </c>
      <c r="AA91" s="57">
        <v>1</v>
      </c>
      <c r="AB91" s="58">
        <f>N91/Z91</f>
        <v>787500</v>
      </c>
      <c r="AC91" s="58" t="e">
        <f t="shared" si="27"/>
        <v>#N/A</v>
      </c>
      <c r="AD91" s="58" t="e">
        <f t="shared" si="28"/>
        <v>#N/A</v>
      </c>
      <c r="AE91" s="45">
        <v>1</v>
      </c>
      <c r="AF91" s="60">
        <f t="shared" si="29"/>
        <v>2.75</v>
      </c>
      <c r="AG91" s="59">
        <f t="shared" si="41"/>
        <v>3.5</v>
      </c>
      <c r="AH91" s="60">
        <f t="shared" si="42"/>
        <v>2</v>
      </c>
      <c r="AI91" s="45"/>
      <c r="AJ91" s="45"/>
      <c r="AK91" s="45"/>
      <c r="AL91" s="45"/>
      <c r="AM91" s="47">
        <f t="shared" si="30"/>
        <v>0</v>
      </c>
      <c r="AN91" s="45" t="s">
        <v>5331</v>
      </c>
      <c r="AO91" s="45" t="s">
        <v>5331</v>
      </c>
      <c r="AP91" s="45" t="s">
        <v>5331</v>
      </c>
      <c r="AQ91" s="45" t="s">
        <v>5331</v>
      </c>
      <c r="AR91" s="70">
        <f t="shared" si="31"/>
        <v>0</v>
      </c>
      <c r="AS91" s="103" t="s">
        <v>5332</v>
      </c>
      <c r="AT91" s="102" t="s">
        <v>5332</v>
      </c>
      <c r="AU91" s="102" t="s">
        <v>5332</v>
      </c>
      <c r="AV91" s="102" t="s">
        <v>5332</v>
      </c>
      <c r="AW91" s="47">
        <f t="shared" si="32"/>
        <v>0</v>
      </c>
      <c r="AX91" s="45">
        <v>3</v>
      </c>
      <c r="AY91" s="45">
        <v>3</v>
      </c>
      <c r="AZ91" s="45">
        <v>2</v>
      </c>
      <c r="BA91" s="45">
        <v>3</v>
      </c>
      <c r="BB91" s="47">
        <f t="shared" si="33"/>
        <v>2.75</v>
      </c>
      <c r="BC91" s="45"/>
      <c r="BD91" s="45"/>
      <c r="BE91" s="45"/>
      <c r="BF91" s="45"/>
      <c r="BG91" s="47">
        <f t="shared" si="34"/>
        <v>0</v>
      </c>
      <c r="BH91" s="45"/>
      <c r="BI91" s="45"/>
      <c r="BJ91" s="45"/>
      <c r="BK91" s="45"/>
      <c r="BL91" s="46">
        <f>IFERROR(SUM(BH91:BK91)/4,0)</f>
        <v>0</v>
      </c>
      <c r="BM91" s="45"/>
      <c r="BN91" s="45"/>
      <c r="BO91" s="45"/>
      <c r="BP91" s="45"/>
      <c r="BQ91" s="47">
        <f t="shared" si="35"/>
        <v>0</v>
      </c>
      <c r="BR91" s="45"/>
      <c r="BS91" s="45"/>
      <c r="BT91" s="45"/>
      <c r="BU91" s="45"/>
      <c r="BV91" s="47">
        <f t="shared" si="36"/>
        <v>0</v>
      </c>
      <c r="BW91" s="45"/>
      <c r="BX91" s="45"/>
      <c r="BY91" s="45"/>
      <c r="BZ91" s="45"/>
      <c r="CA91" s="47">
        <f t="shared" si="37"/>
        <v>0</v>
      </c>
      <c r="CB91" s="291">
        <v>4</v>
      </c>
      <c r="CC91" s="291">
        <v>4</v>
      </c>
      <c r="CD91" s="291">
        <v>2</v>
      </c>
      <c r="CE91" s="291">
        <v>1</v>
      </c>
      <c r="CF91" s="291">
        <f t="shared" si="38"/>
        <v>2.75</v>
      </c>
      <c r="CG91" s="291"/>
      <c r="CH91" s="291"/>
      <c r="CI91" s="291"/>
      <c r="CJ91" s="291"/>
      <c r="CK91" s="291"/>
    </row>
    <row r="92" spans="1:89" ht="183">
      <c r="A92" s="291">
        <v>7</v>
      </c>
      <c r="B92" s="322">
        <f t="shared" si="45"/>
        <v>10</v>
      </c>
      <c r="C92" s="337" t="s">
        <v>2817</v>
      </c>
      <c r="D92" s="337" t="s">
        <v>3978</v>
      </c>
      <c r="E92" s="340" t="s">
        <v>5333</v>
      </c>
      <c r="F92" s="337" t="s">
        <v>5334</v>
      </c>
      <c r="G92" s="64" t="s">
        <v>5335</v>
      </c>
      <c r="H92" s="74" t="s">
        <v>5336</v>
      </c>
      <c r="I92" s="52" t="s">
        <v>5337</v>
      </c>
      <c r="J92" s="45" t="s">
        <v>3575</v>
      </c>
      <c r="K92" s="53"/>
      <c r="L92" s="54" t="e">
        <f>INDEX([1]Timeline!$E$10:$E$24,MATCH(A92,[1]Timeline!$C$10:$C$24,0))</f>
        <v>#N/A</v>
      </c>
      <c r="M92" s="55">
        <v>45291</v>
      </c>
      <c r="N92" s="56">
        <v>188000</v>
      </c>
      <c r="O92" s="57" t="e">
        <f t="shared" si="25"/>
        <v>#N/A</v>
      </c>
      <c r="P92" s="56" t="e">
        <f t="shared" si="26"/>
        <v>#N/A</v>
      </c>
      <c r="Q92" s="56">
        <f>V92*0.055/8*0.87</f>
        <v>2.8111875000000001E-2</v>
      </c>
      <c r="R92" s="57" t="e">
        <f t="shared" si="39"/>
        <v>#N/A</v>
      </c>
      <c r="S92" s="56" t="e">
        <f t="shared" si="40"/>
        <v>#N/A</v>
      </c>
      <c r="T92" s="56" t="s">
        <v>4940</v>
      </c>
      <c r="U92" s="56" t="s">
        <v>4941</v>
      </c>
      <c r="V92" s="56">
        <v>4.7</v>
      </c>
      <c r="W92" s="56" t="s">
        <v>4959</v>
      </c>
      <c r="X92" s="56">
        <f>V92*0.055/8</f>
        <v>3.2312500000000001E-2</v>
      </c>
      <c r="Y92" s="56" t="s">
        <v>2817</v>
      </c>
      <c r="Z92" s="56">
        <v>1</v>
      </c>
      <c r="AA92" s="56">
        <v>1</v>
      </c>
      <c r="AB92" s="58">
        <f>N92/1</f>
        <v>188000</v>
      </c>
      <c r="AC92" s="58" t="e">
        <f t="shared" si="27"/>
        <v>#N/A</v>
      </c>
      <c r="AD92" s="58" t="e">
        <f t="shared" si="28"/>
        <v>#N/A</v>
      </c>
      <c r="AE92" s="45">
        <v>1</v>
      </c>
      <c r="AF92" s="59">
        <f t="shared" si="29"/>
        <v>2.5</v>
      </c>
      <c r="AG92" s="59">
        <f t="shared" si="41"/>
        <v>3.5</v>
      </c>
      <c r="AH92" s="60">
        <f t="shared" si="42"/>
        <v>1.5</v>
      </c>
      <c r="AI92" s="45"/>
      <c r="AJ92" s="45"/>
      <c r="AK92" s="45"/>
      <c r="AL92" s="45"/>
      <c r="AM92" s="46">
        <f t="shared" si="30"/>
        <v>0</v>
      </c>
      <c r="AN92" s="45"/>
      <c r="AO92" s="45"/>
      <c r="AP92" s="45"/>
      <c r="AQ92" s="45"/>
      <c r="AR92" s="61">
        <f t="shared" si="31"/>
        <v>0</v>
      </c>
      <c r="AS92" s="64"/>
      <c r="AT92" s="45"/>
      <c r="AU92" s="45"/>
      <c r="AV92" s="45"/>
      <c r="AW92" s="46">
        <f t="shared" si="32"/>
        <v>0</v>
      </c>
      <c r="AX92" s="45"/>
      <c r="AY92" s="45"/>
      <c r="AZ92" s="45"/>
      <c r="BA92" s="45"/>
      <c r="BB92" s="46">
        <f t="shared" si="33"/>
        <v>0</v>
      </c>
      <c r="BC92" s="45">
        <v>3</v>
      </c>
      <c r="BD92" s="45">
        <v>3</v>
      </c>
      <c r="BE92" s="45">
        <v>1</v>
      </c>
      <c r="BF92" s="45">
        <v>2</v>
      </c>
      <c r="BG92" s="47">
        <f t="shared" si="34"/>
        <v>2.25</v>
      </c>
      <c r="BH92" s="45"/>
      <c r="BI92" s="45"/>
      <c r="BJ92" s="45"/>
      <c r="BK92" s="45"/>
      <c r="BL92" s="45"/>
      <c r="BM92" s="45"/>
      <c r="BN92" s="45"/>
      <c r="BO92" s="45"/>
      <c r="BP92" s="45"/>
      <c r="BQ92" s="46">
        <f t="shared" si="35"/>
        <v>0</v>
      </c>
      <c r="BR92" s="45"/>
      <c r="BS92" s="45"/>
      <c r="BT92" s="45"/>
      <c r="BU92" s="45"/>
      <c r="BV92" s="46">
        <f t="shared" si="36"/>
        <v>0</v>
      </c>
      <c r="BW92" s="45"/>
      <c r="BX92" s="45"/>
      <c r="BY92" s="45"/>
      <c r="BZ92" s="45"/>
      <c r="CA92" s="46">
        <f t="shared" si="37"/>
        <v>0</v>
      </c>
      <c r="CB92" s="291">
        <v>4</v>
      </c>
      <c r="CC92" s="291">
        <v>4</v>
      </c>
      <c r="CD92" s="291">
        <v>2</v>
      </c>
      <c r="CE92" s="291">
        <v>1</v>
      </c>
      <c r="CF92" s="291">
        <f t="shared" si="38"/>
        <v>2.75</v>
      </c>
      <c r="CG92" s="291"/>
      <c r="CH92" s="291"/>
      <c r="CI92" s="291"/>
      <c r="CJ92" s="291"/>
      <c r="CK92" s="291"/>
    </row>
    <row r="93" spans="1:89" ht="152.25">
      <c r="A93" s="319">
        <v>7</v>
      </c>
      <c r="B93" s="324">
        <f t="shared" si="45"/>
        <v>11</v>
      </c>
      <c r="C93" s="343" t="s">
        <v>4970</v>
      </c>
      <c r="D93" s="343" t="s">
        <v>5227</v>
      </c>
      <c r="E93" s="344" t="s">
        <v>5338</v>
      </c>
      <c r="F93" s="343" t="s">
        <v>5339</v>
      </c>
      <c r="G93" s="328" t="s">
        <v>5340</v>
      </c>
      <c r="H93" s="301" t="s">
        <v>5341</v>
      </c>
      <c r="I93" s="302"/>
      <c r="J93" s="262" t="s">
        <v>3575</v>
      </c>
      <c r="K93" s="303"/>
      <c r="L93" s="304" t="e">
        <f>INDEX([1]Timeline!$E$10:$E$24,MATCH(A93,[1]Timeline!$C$10:$C$24,0))</f>
        <v>#N/A</v>
      </c>
      <c r="M93" s="305">
        <v>45291</v>
      </c>
      <c r="N93" s="120">
        <v>255000</v>
      </c>
      <c r="O93" s="120" t="e">
        <f t="shared" si="25"/>
        <v>#N/A</v>
      </c>
      <c r="P93" s="120" t="e">
        <f t="shared" si="26"/>
        <v>#N/A</v>
      </c>
      <c r="Q93" s="120"/>
      <c r="R93" s="120" t="e">
        <f t="shared" si="39"/>
        <v>#N/A</v>
      </c>
      <c r="S93" s="120" t="e">
        <f t="shared" si="40"/>
        <v>#N/A</v>
      </c>
      <c r="T93" s="120"/>
      <c r="U93" s="120"/>
      <c r="V93" s="120"/>
      <c r="W93" s="120"/>
      <c r="X93" s="120"/>
      <c r="Y93" s="120" t="s">
        <v>2817</v>
      </c>
      <c r="Z93" s="120">
        <v>1</v>
      </c>
      <c r="AA93" s="120">
        <v>1</v>
      </c>
      <c r="AB93" s="306">
        <f>N93/1</f>
        <v>255000</v>
      </c>
      <c r="AC93" s="306" t="e">
        <f t="shared" si="27"/>
        <v>#N/A</v>
      </c>
      <c r="AD93" s="306" t="e">
        <f t="shared" si="28"/>
        <v>#N/A</v>
      </c>
      <c r="AE93" s="262">
        <v>1</v>
      </c>
      <c r="AF93" s="267">
        <f t="shared" si="29"/>
        <v>3</v>
      </c>
      <c r="AG93" s="267">
        <f t="shared" si="41"/>
        <v>4</v>
      </c>
      <c r="AH93" s="267">
        <f t="shared" si="42"/>
        <v>2</v>
      </c>
      <c r="AI93" s="262"/>
      <c r="AJ93" s="262"/>
      <c r="AK93" s="262"/>
      <c r="AL93" s="262"/>
      <c r="AM93" s="307">
        <f t="shared" si="30"/>
        <v>0</v>
      </c>
      <c r="AN93" s="262"/>
      <c r="AO93" s="262"/>
      <c r="AP93" s="262"/>
      <c r="AQ93" s="262"/>
      <c r="AR93" s="308">
        <f t="shared" si="31"/>
        <v>0</v>
      </c>
      <c r="AS93" s="328"/>
      <c r="AT93" s="262"/>
      <c r="AU93" s="262"/>
      <c r="AV93" s="262"/>
      <c r="AW93" s="307">
        <f t="shared" si="32"/>
        <v>0</v>
      </c>
      <c r="AX93" s="262"/>
      <c r="AY93" s="262"/>
      <c r="AZ93" s="262"/>
      <c r="BA93" s="262"/>
      <c r="BB93" s="307">
        <f t="shared" si="33"/>
        <v>0</v>
      </c>
      <c r="BC93" s="262"/>
      <c r="BD93" s="262"/>
      <c r="BE93" s="262"/>
      <c r="BF93" s="262"/>
      <c r="BG93" s="307">
        <f t="shared" si="34"/>
        <v>0</v>
      </c>
      <c r="BH93" s="262"/>
      <c r="BI93" s="262"/>
      <c r="BJ93" s="262"/>
      <c r="BK93" s="262"/>
      <c r="BL93" s="262"/>
      <c r="BM93" s="262"/>
      <c r="BN93" s="262"/>
      <c r="BO93" s="262"/>
      <c r="BP93" s="262"/>
      <c r="BQ93" s="307">
        <f t="shared" si="35"/>
        <v>0</v>
      </c>
      <c r="BR93" s="262"/>
      <c r="BS93" s="262"/>
      <c r="BT93" s="262"/>
      <c r="BU93" s="262"/>
      <c r="BV93" s="307">
        <f t="shared" si="36"/>
        <v>0</v>
      </c>
      <c r="BW93" s="262"/>
      <c r="BX93" s="262"/>
      <c r="BY93" s="262"/>
      <c r="BZ93" s="262"/>
      <c r="CA93" s="307">
        <f t="shared" si="37"/>
        <v>0</v>
      </c>
      <c r="CB93" s="291">
        <v>4</v>
      </c>
      <c r="CC93" s="291">
        <v>4</v>
      </c>
      <c r="CD93" s="291">
        <v>2</v>
      </c>
      <c r="CE93" s="291">
        <v>2</v>
      </c>
      <c r="CF93" s="291">
        <f t="shared" si="38"/>
        <v>3</v>
      </c>
      <c r="CG93" s="291"/>
      <c r="CH93" s="291"/>
      <c r="CI93" s="291"/>
      <c r="CJ93" s="291"/>
      <c r="CK93" s="291"/>
    </row>
    <row r="94" spans="1:89" ht="152.25">
      <c r="A94" s="291">
        <v>7</v>
      </c>
      <c r="B94" s="322">
        <f t="shared" si="45"/>
        <v>12</v>
      </c>
      <c r="C94" s="337" t="s">
        <v>2817</v>
      </c>
      <c r="D94" s="337" t="s">
        <v>3978</v>
      </c>
      <c r="E94" s="340" t="s">
        <v>5342</v>
      </c>
      <c r="F94" s="337" t="s">
        <v>5343</v>
      </c>
      <c r="G94" s="64" t="s">
        <v>5344</v>
      </c>
      <c r="H94" s="45" t="s">
        <v>5345</v>
      </c>
      <c r="I94" s="52" t="s">
        <v>5346</v>
      </c>
      <c r="J94" s="45" t="s">
        <v>3575</v>
      </c>
      <c r="K94" s="53"/>
      <c r="L94" s="54" t="e">
        <f>INDEX([1]Timeline!$E$10:$E$24,MATCH(A94,[1]Timeline!$C$10:$C$24,0))</f>
        <v>#N/A</v>
      </c>
      <c r="M94" s="55">
        <v>45291</v>
      </c>
      <c r="N94" s="56">
        <v>356000</v>
      </c>
      <c r="O94" s="57" t="e">
        <f t="shared" si="25"/>
        <v>#N/A</v>
      </c>
      <c r="P94" s="56" t="e">
        <f t="shared" si="26"/>
        <v>#N/A</v>
      </c>
      <c r="Q94" s="56">
        <f>V94*0.055/8*0.87</f>
        <v>5.3233125000000006E-2</v>
      </c>
      <c r="R94" s="57" t="e">
        <f t="shared" si="39"/>
        <v>#N/A</v>
      </c>
      <c r="S94" s="56" t="e">
        <f t="shared" si="40"/>
        <v>#N/A</v>
      </c>
      <c r="T94" s="56" t="s">
        <v>4940</v>
      </c>
      <c r="U94" s="56" t="s">
        <v>4941</v>
      </c>
      <c r="V94" s="56">
        <v>8.9</v>
      </c>
      <c r="W94" s="56" t="s">
        <v>4959</v>
      </c>
      <c r="X94" s="56">
        <f>V94*0.055/8</f>
        <v>6.1187500000000006E-2</v>
      </c>
      <c r="Y94" s="56" t="s">
        <v>2817</v>
      </c>
      <c r="Z94" s="56">
        <v>1</v>
      </c>
      <c r="AA94" s="56">
        <v>1</v>
      </c>
      <c r="AB94" s="58">
        <f>N94/1</f>
        <v>356000</v>
      </c>
      <c r="AC94" s="58" t="e">
        <f t="shared" si="27"/>
        <v>#N/A</v>
      </c>
      <c r="AD94" s="58" t="e">
        <f t="shared" si="28"/>
        <v>#N/A</v>
      </c>
      <c r="AE94" s="45">
        <v>1</v>
      </c>
      <c r="AF94" s="59">
        <f t="shared" si="29"/>
        <v>2.625</v>
      </c>
      <c r="AG94" s="59">
        <f t="shared" si="41"/>
        <v>3.5</v>
      </c>
      <c r="AH94" s="60">
        <f t="shared" si="42"/>
        <v>1.75</v>
      </c>
      <c r="AI94" s="45"/>
      <c r="AJ94" s="45"/>
      <c r="AK94" s="45"/>
      <c r="AL94" s="45"/>
      <c r="AM94" s="46">
        <f t="shared" si="30"/>
        <v>0</v>
      </c>
      <c r="AN94" s="45"/>
      <c r="AO94" s="45"/>
      <c r="AP94" s="45"/>
      <c r="AQ94" s="45"/>
      <c r="AR94" s="61">
        <f t="shared" si="31"/>
        <v>0</v>
      </c>
      <c r="AS94" s="64"/>
      <c r="AT94" s="45"/>
      <c r="AU94" s="45"/>
      <c r="AV94" s="45"/>
      <c r="AW94" s="46">
        <f t="shared" si="32"/>
        <v>0</v>
      </c>
      <c r="AX94" s="45"/>
      <c r="AY94" s="45"/>
      <c r="AZ94" s="45"/>
      <c r="BA94" s="45"/>
      <c r="BB94" s="46">
        <f t="shared" si="33"/>
        <v>0</v>
      </c>
      <c r="BC94" s="45">
        <v>3</v>
      </c>
      <c r="BD94" s="45">
        <v>3</v>
      </c>
      <c r="BE94" s="45">
        <v>1</v>
      </c>
      <c r="BF94" s="45">
        <v>2</v>
      </c>
      <c r="BG94" s="47">
        <f t="shared" si="34"/>
        <v>2.25</v>
      </c>
      <c r="BH94" s="45"/>
      <c r="BI94" s="45"/>
      <c r="BJ94" s="45"/>
      <c r="BK94" s="45"/>
      <c r="BL94" s="45"/>
      <c r="BM94" s="45"/>
      <c r="BN94" s="45"/>
      <c r="BO94" s="45"/>
      <c r="BP94" s="45"/>
      <c r="BQ94" s="46">
        <f t="shared" si="35"/>
        <v>0</v>
      </c>
      <c r="BR94" s="45"/>
      <c r="BS94" s="45"/>
      <c r="BT94" s="45"/>
      <c r="BU94" s="45"/>
      <c r="BV94" s="46">
        <f t="shared" si="36"/>
        <v>0</v>
      </c>
      <c r="BW94" s="45"/>
      <c r="BX94" s="45"/>
      <c r="BY94" s="45"/>
      <c r="BZ94" s="45"/>
      <c r="CA94" s="46">
        <f t="shared" si="37"/>
        <v>0</v>
      </c>
      <c r="CB94" s="291">
        <v>4</v>
      </c>
      <c r="CC94" s="291">
        <v>4</v>
      </c>
      <c r="CD94" s="291">
        <v>2</v>
      </c>
      <c r="CE94" s="291">
        <v>2</v>
      </c>
      <c r="CF94" s="291">
        <f t="shared" si="38"/>
        <v>3</v>
      </c>
      <c r="CG94" s="291"/>
      <c r="CH94" s="291"/>
      <c r="CI94" s="291"/>
      <c r="CJ94" s="291"/>
      <c r="CK94" s="291"/>
    </row>
    <row r="95" spans="1:89" ht="183">
      <c r="A95" s="291">
        <v>5</v>
      </c>
      <c r="B95" s="322">
        <f t="shared" si="45"/>
        <v>13</v>
      </c>
      <c r="C95" s="337" t="s">
        <v>4820</v>
      </c>
      <c r="D95" s="337" t="s">
        <v>4778</v>
      </c>
      <c r="E95" s="340" t="s">
        <v>5347</v>
      </c>
      <c r="F95" s="348" t="s">
        <v>5348</v>
      </c>
      <c r="G95" s="64" t="s">
        <v>5349</v>
      </c>
      <c r="H95" s="45" t="s">
        <v>5350</v>
      </c>
      <c r="I95" s="52" t="s">
        <v>5351</v>
      </c>
      <c r="J95" s="45" t="s">
        <v>3575</v>
      </c>
      <c r="K95" s="53"/>
      <c r="L95" s="54" t="e">
        <f>INDEX([1]Timeline!$E$10:$E$24,MATCH(A95,[1]Timeline!$C$10:$C$24,0))</f>
        <v>#N/A</v>
      </c>
      <c r="M95" s="55">
        <v>45291</v>
      </c>
      <c r="N95" s="56">
        <v>19015200</v>
      </c>
      <c r="O95" s="57" t="e">
        <f t="shared" si="25"/>
        <v>#N/A</v>
      </c>
      <c r="P95" s="56" t="e">
        <f t="shared" si="26"/>
        <v>#N/A</v>
      </c>
      <c r="Q95" s="56"/>
      <c r="R95" s="57" t="e">
        <f t="shared" si="39"/>
        <v>#N/A</v>
      </c>
      <c r="S95" s="56" t="e">
        <f t="shared" si="40"/>
        <v>#N/A</v>
      </c>
      <c r="T95" s="56"/>
      <c r="U95" s="56"/>
      <c r="V95" s="56"/>
      <c r="W95" s="56"/>
      <c r="X95" s="56"/>
      <c r="Y95" s="56" t="s">
        <v>3452</v>
      </c>
      <c r="Z95" s="56">
        <v>1</v>
      </c>
      <c r="AA95" s="56">
        <v>1</v>
      </c>
      <c r="AB95" s="58">
        <f>N95/Z95</f>
        <v>19015200</v>
      </c>
      <c r="AC95" s="58" t="e">
        <f t="shared" si="27"/>
        <v>#N/A</v>
      </c>
      <c r="AD95" s="58" t="e">
        <f t="shared" si="28"/>
        <v>#N/A</v>
      </c>
      <c r="AE95" s="45">
        <v>1</v>
      </c>
      <c r="AF95" s="59">
        <f t="shared" si="29"/>
        <v>3.0625</v>
      </c>
      <c r="AG95" s="59">
        <f t="shared" si="41"/>
        <v>3.5</v>
      </c>
      <c r="AH95" s="60">
        <f t="shared" si="42"/>
        <v>2.625</v>
      </c>
      <c r="AI95" s="45">
        <v>3</v>
      </c>
      <c r="AJ95" s="45">
        <v>3</v>
      </c>
      <c r="AK95" s="45">
        <v>2</v>
      </c>
      <c r="AL95" s="45">
        <v>4</v>
      </c>
      <c r="AM95" s="46">
        <f t="shared" si="30"/>
        <v>3</v>
      </c>
      <c r="AN95" s="45"/>
      <c r="AO95" s="45"/>
      <c r="AP95" s="45"/>
      <c r="AQ95" s="45"/>
      <c r="AR95" s="61">
        <f t="shared" si="31"/>
        <v>0</v>
      </c>
      <c r="AS95" s="64">
        <v>4</v>
      </c>
      <c r="AT95" s="45">
        <v>3</v>
      </c>
      <c r="AU95" s="45">
        <v>3</v>
      </c>
      <c r="AV95" s="45">
        <v>4</v>
      </c>
      <c r="AW95" s="46">
        <f t="shared" si="32"/>
        <v>3.5</v>
      </c>
      <c r="AX95" s="45"/>
      <c r="AY95" s="45"/>
      <c r="AZ95" s="45"/>
      <c r="BA95" s="45"/>
      <c r="BB95" s="46">
        <f t="shared" si="33"/>
        <v>0</v>
      </c>
      <c r="BC95" s="45">
        <v>4</v>
      </c>
      <c r="BD95" s="45">
        <v>3</v>
      </c>
      <c r="BE95" s="45">
        <v>2</v>
      </c>
      <c r="BF95" s="45">
        <v>4</v>
      </c>
      <c r="BG95" s="47">
        <f t="shared" si="34"/>
        <v>3.25</v>
      </c>
      <c r="BH95" s="45"/>
      <c r="BI95" s="45"/>
      <c r="BJ95" s="45"/>
      <c r="BK95" s="45"/>
      <c r="BL95" s="46">
        <f>IFERROR(SUM(BH95:BK95)/4,0)</f>
        <v>0</v>
      </c>
      <c r="BM95" s="45"/>
      <c r="BN95" s="45"/>
      <c r="BO95" s="45"/>
      <c r="BP95" s="45"/>
      <c r="BQ95" s="46">
        <f t="shared" si="35"/>
        <v>0</v>
      </c>
      <c r="BR95" s="45"/>
      <c r="BS95" s="45"/>
      <c r="BT95" s="45"/>
      <c r="BU95" s="45"/>
      <c r="BV95" s="46">
        <f t="shared" si="36"/>
        <v>0</v>
      </c>
      <c r="BW95" s="45"/>
      <c r="BX95" s="45"/>
      <c r="BY95" s="45"/>
      <c r="BZ95" s="45"/>
      <c r="CA95" s="46">
        <f t="shared" si="37"/>
        <v>0</v>
      </c>
      <c r="CB95" s="291">
        <v>4</v>
      </c>
      <c r="CC95" s="291">
        <v>4</v>
      </c>
      <c r="CD95" s="291">
        <v>1</v>
      </c>
      <c r="CE95" s="291">
        <v>1</v>
      </c>
      <c r="CF95" s="291">
        <f t="shared" si="38"/>
        <v>2.5</v>
      </c>
      <c r="CG95" s="291"/>
      <c r="CH95" s="291"/>
      <c r="CI95" s="291"/>
      <c r="CJ95" s="291"/>
      <c r="CK95" s="291"/>
    </row>
    <row r="96" spans="1:89" ht="198">
      <c r="A96" s="291">
        <v>4</v>
      </c>
      <c r="B96" s="322">
        <f t="shared" si="45"/>
        <v>14</v>
      </c>
      <c r="C96" s="337" t="s">
        <v>4857</v>
      </c>
      <c r="D96" s="337" t="s">
        <v>4243</v>
      </c>
      <c r="E96" s="291" t="s">
        <v>5352</v>
      </c>
      <c r="F96" s="291" t="s">
        <v>5353</v>
      </c>
      <c r="G96" s="64" t="s">
        <v>5354</v>
      </c>
      <c r="H96" s="45" t="s">
        <v>5355</v>
      </c>
      <c r="I96" s="52" t="s">
        <v>5356</v>
      </c>
      <c r="J96" s="45" t="s">
        <v>3575</v>
      </c>
      <c r="K96" s="53"/>
      <c r="L96" s="54" t="e">
        <f>INDEX([1]Timeline!$E$10:$E$24,MATCH(A96,[1]Timeline!$C$10:$C$24,0))</f>
        <v>#N/A</v>
      </c>
      <c r="M96" s="55">
        <v>45291</v>
      </c>
      <c r="N96" s="56">
        <v>7467570</v>
      </c>
      <c r="O96" s="57" t="e">
        <f t="shared" si="25"/>
        <v>#N/A</v>
      </c>
      <c r="P96" s="56" t="e">
        <f t="shared" si="26"/>
        <v>#N/A</v>
      </c>
      <c r="Q96" s="56">
        <f>220.6*30*0.6</f>
        <v>3970.7999999999997</v>
      </c>
      <c r="R96" s="57" t="e">
        <f t="shared" si="39"/>
        <v>#N/A</v>
      </c>
      <c r="S96" s="56" t="e">
        <f t="shared" si="40"/>
        <v>#N/A</v>
      </c>
      <c r="T96" s="56" t="s">
        <v>4940</v>
      </c>
      <c r="U96" s="56" t="s">
        <v>4940</v>
      </c>
      <c r="V96" s="56">
        <v>6619.5</v>
      </c>
      <c r="W96" s="56" t="s">
        <v>4948</v>
      </c>
      <c r="X96" s="56"/>
      <c r="Y96" s="56" t="s">
        <v>2773</v>
      </c>
      <c r="Z96" s="56">
        <v>1</v>
      </c>
      <c r="AA96" s="56">
        <v>1</v>
      </c>
      <c r="AB96" s="58">
        <f>N96/Z96</f>
        <v>7467570</v>
      </c>
      <c r="AC96" s="58" t="e">
        <f t="shared" si="27"/>
        <v>#N/A</v>
      </c>
      <c r="AD96" s="58" t="e">
        <f t="shared" si="28"/>
        <v>#N/A</v>
      </c>
      <c r="AE96" s="45">
        <v>1</v>
      </c>
      <c r="AF96" s="59">
        <f t="shared" si="29"/>
        <v>2.8</v>
      </c>
      <c r="AG96" s="59">
        <f t="shared" si="41"/>
        <v>3.7</v>
      </c>
      <c r="AH96" s="60">
        <f t="shared" si="42"/>
        <v>1.9</v>
      </c>
      <c r="AI96" s="45">
        <v>3</v>
      </c>
      <c r="AJ96" s="45">
        <v>3</v>
      </c>
      <c r="AK96" s="45">
        <v>1</v>
      </c>
      <c r="AL96" s="45">
        <v>2</v>
      </c>
      <c r="AM96" s="46">
        <f t="shared" si="30"/>
        <v>2.25</v>
      </c>
      <c r="AN96" s="45"/>
      <c r="AO96" s="45"/>
      <c r="AP96" s="45"/>
      <c r="AQ96" s="45"/>
      <c r="AR96" s="61">
        <f t="shared" si="31"/>
        <v>0</v>
      </c>
      <c r="AS96" s="64">
        <v>4</v>
      </c>
      <c r="AT96" s="45">
        <v>3</v>
      </c>
      <c r="AU96" s="45">
        <v>2</v>
      </c>
      <c r="AV96" s="45">
        <v>2</v>
      </c>
      <c r="AW96" s="46">
        <f t="shared" si="32"/>
        <v>2.75</v>
      </c>
      <c r="AX96" s="45">
        <v>4</v>
      </c>
      <c r="AY96" s="45">
        <v>4</v>
      </c>
      <c r="AZ96" s="45">
        <v>2</v>
      </c>
      <c r="BA96" s="45">
        <v>2</v>
      </c>
      <c r="BB96" s="46">
        <f t="shared" si="33"/>
        <v>3</v>
      </c>
      <c r="BC96" s="45">
        <v>4</v>
      </c>
      <c r="BD96" s="45">
        <v>4</v>
      </c>
      <c r="BE96" s="45">
        <v>2</v>
      </c>
      <c r="BF96" s="45">
        <v>2</v>
      </c>
      <c r="BG96" s="47">
        <f t="shared" si="34"/>
        <v>3</v>
      </c>
      <c r="BH96" s="45"/>
      <c r="BI96" s="45"/>
      <c r="BJ96" s="45"/>
      <c r="BK96" s="45"/>
      <c r="BL96" s="46">
        <f>IFERROR(SUM(BH96:BK96)/4,0)</f>
        <v>0</v>
      </c>
      <c r="BM96" s="45"/>
      <c r="BN96" s="45"/>
      <c r="BO96" s="45"/>
      <c r="BP96" s="45"/>
      <c r="BQ96" s="46">
        <f t="shared" si="35"/>
        <v>0</v>
      </c>
      <c r="BR96" s="45"/>
      <c r="BS96" s="45"/>
      <c r="BT96" s="45"/>
      <c r="BU96" s="45"/>
      <c r="BV96" s="46">
        <f t="shared" si="36"/>
        <v>0</v>
      </c>
      <c r="BW96" s="45"/>
      <c r="BX96" s="45"/>
      <c r="BY96" s="45"/>
      <c r="BZ96" s="45"/>
      <c r="CA96" s="46">
        <f t="shared" si="37"/>
        <v>0</v>
      </c>
      <c r="CB96" s="291">
        <v>4</v>
      </c>
      <c r="CC96" s="291">
        <v>4</v>
      </c>
      <c r="CD96" s="291">
        <v>3</v>
      </c>
      <c r="CE96" s="291">
        <v>1</v>
      </c>
      <c r="CF96" s="291">
        <f t="shared" si="38"/>
        <v>3</v>
      </c>
      <c r="CG96" s="291"/>
      <c r="CH96" s="291"/>
      <c r="CI96" s="291"/>
      <c r="CJ96" s="291"/>
      <c r="CK96" s="291"/>
    </row>
    <row r="97" spans="1:89" ht="167.25">
      <c r="A97" s="48">
        <v>13</v>
      </c>
      <c r="B97" s="349">
        <f t="shared" si="45"/>
        <v>15</v>
      </c>
      <c r="C97" s="350" t="s">
        <v>2817</v>
      </c>
      <c r="D97" s="48" t="s">
        <v>5357</v>
      </c>
      <c r="E97" s="48" t="s">
        <v>5358</v>
      </c>
      <c r="F97" s="48" t="s">
        <v>5359</v>
      </c>
      <c r="G97" s="45" t="s">
        <v>5360</v>
      </c>
      <c r="H97" s="45" t="s">
        <v>5361</v>
      </c>
      <c r="I97" s="52" t="s">
        <v>5362</v>
      </c>
      <c r="J97" s="45" t="s">
        <v>3575</v>
      </c>
      <c r="K97" s="53"/>
      <c r="L97" s="54" t="e">
        <f>INDEX([1]Timeline!$E$10:$E$24,MATCH(A97,[1]Timeline!$C$10:$C$24,0))</f>
        <v>#N/A</v>
      </c>
      <c r="M97" s="55">
        <v>45291</v>
      </c>
      <c r="N97" s="56">
        <v>375000</v>
      </c>
      <c r="O97" s="57" t="e">
        <f t="shared" si="25"/>
        <v>#N/A</v>
      </c>
      <c r="P97" s="56" t="e">
        <f t="shared" si="26"/>
        <v>#N/A</v>
      </c>
      <c r="Q97" s="56">
        <f>V97*0.055/8*0.87</f>
        <v>2.5121250000000001E-2</v>
      </c>
      <c r="R97" s="57" t="e">
        <f t="shared" si="39"/>
        <v>#N/A</v>
      </c>
      <c r="S97" s="56" t="e">
        <f t="shared" si="40"/>
        <v>#N/A</v>
      </c>
      <c r="T97" s="56" t="s">
        <v>4940</v>
      </c>
      <c r="U97" s="56" t="s">
        <v>4941</v>
      </c>
      <c r="V97" s="56">
        <f>15120/3600</f>
        <v>4.2</v>
      </c>
      <c r="W97" s="56" t="s">
        <v>4959</v>
      </c>
      <c r="X97" s="56">
        <f>V97*0.055/8</f>
        <v>2.8875000000000001E-2</v>
      </c>
      <c r="Y97" s="56" t="s">
        <v>2817</v>
      </c>
      <c r="Z97" s="56">
        <v>1</v>
      </c>
      <c r="AA97" s="56">
        <v>1</v>
      </c>
      <c r="AB97" s="58">
        <f t="shared" ref="AB97:AB102" si="46">N97/1</f>
        <v>375000</v>
      </c>
      <c r="AC97" s="58" t="e">
        <f t="shared" si="27"/>
        <v>#N/A</v>
      </c>
      <c r="AD97" s="58" t="e">
        <f t="shared" si="28"/>
        <v>#N/A</v>
      </c>
      <c r="AE97" s="45">
        <v>1</v>
      </c>
      <c r="AF97" s="59">
        <f t="shared" si="29"/>
        <v>3</v>
      </c>
      <c r="AG97" s="59">
        <f t="shared" si="41"/>
        <v>4</v>
      </c>
      <c r="AH97" s="60">
        <f t="shared" si="42"/>
        <v>2</v>
      </c>
      <c r="AI97" s="45"/>
      <c r="AJ97" s="45"/>
      <c r="AK97" s="45"/>
      <c r="AL97" s="45"/>
      <c r="AM97" s="46">
        <f t="shared" si="30"/>
        <v>0</v>
      </c>
      <c r="AN97" s="45"/>
      <c r="AO97" s="45"/>
      <c r="AP97" s="45"/>
      <c r="AQ97" s="45"/>
      <c r="AR97" s="61">
        <f t="shared" si="31"/>
        <v>0</v>
      </c>
      <c r="AS97" s="64"/>
      <c r="AT97" s="45"/>
      <c r="AU97" s="45"/>
      <c r="AV97" s="45"/>
      <c r="AW97" s="46">
        <f t="shared" si="32"/>
        <v>0</v>
      </c>
      <c r="AX97" s="45"/>
      <c r="AY97" s="45"/>
      <c r="AZ97" s="45"/>
      <c r="BA97" s="45"/>
      <c r="BB97" s="46">
        <f t="shared" si="33"/>
        <v>0</v>
      </c>
      <c r="BC97" s="45"/>
      <c r="BD97" s="45"/>
      <c r="BE97" s="45"/>
      <c r="BF97" s="45"/>
      <c r="BG97" s="47">
        <f t="shared" si="34"/>
        <v>0</v>
      </c>
      <c r="BH97" s="45"/>
      <c r="BI97" s="45"/>
      <c r="BJ97" s="45"/>
      <c r="BK97" s="45"/>
      <c r="BL97" s="46">
        <f>IFERROR(SUM(BH97:BK97)/4,0)</f>
        <v>0</v>
      </c>
      <c r="BM97" s="45"/>
      <c r="BN97" s="45"/>
      <c r="BO97" s="45"/>
      <c r="BP97" s="45"/>
      <c r="BQ97" s="46">
        <f t="shared" si="35"/>
        <v>0</v>
      </c>
      <c r="BR97" s="45"/>
      <c r="BS97" s="45"/>
      <c r="BT97" s="45"/>
      <c r="BU97" s="45"/>
      <c r="BV97" s="46">
        <f t="shared" si="36"/>
        <v>0</v>
      </c>
      <c r="BW97" s="45"/>
      <c r="BX97" s="45"/>
      <c r="BY97" s="45"/>
      <c r="BZ97" s="45"/>
      <c r="CA97" s="46">
        <f t="shared" si="37"/>
        <v>0</v>
      </c>
      <c r="CB97" s="291">
        <v>4</v>
      </c>
      <c r="CC97" s="291">
        <v>4</v>
      </c>
      <c r="CD97" s="291">
        <v>3</v>
      </c>
      <c r="CE97" s="291">
        <v>1</v>
      </c>
      <c r="CF97" s="291">
        <f t="shared" si="38"/>
        <v>3</v>
      </c>
      <c r="CG97" s="291"/>
      <c r="CH97" s="291"/>
      <c r="CI97" s="291"/>
      <c r="CJ97" s="291"/>
      <c r="CK97" s="291"/>
    </row>
    <row r="98" spans="1:89" ht="198">
      <c r="A98" s="45">
        <v>13</v>
      </c>
      <c r="B98" s="50">
        <f t="shared" si="45"/>
        <v>16</v>
      </c>
      <c r="C98" s="51" t="s">
        <v>2817</v>
      </c>
      <c r="D98" s="45" t="s">
        <v>5357</v>
      </c>
      <c r="E98" s="45" t="s">
        <v>5358</v>
      </c>
      <c r="F98" s="45" t="s">
        <v>5363</v>
      </c>
      <c r="G98" s="331" t="s">
        <v>5364</v>
      </c>
      <c r="H98" s="45" t="s">
        <v>5365</v>
      </c>
      <c r="I98" s="52" t="s">
        <v>5366</v>
      </c>
      <c r="J98" s="45" t="s">
        <v>3575</v>
      </c>
      <c r="K98" s="53"/>
      <c r="L98" s="54" t="e">
        <f>INDEX([1]Timeline!$E$10:$E$24,MATCH(A98,[1]Timeline!$C$10:$C$24,0))</f>
        <v>#N/A</v>
      </c>
      <c r="M98" s="55">
        <v>45291</v>
      </c>
      <c r="N98" s="56">
        <v>375000</v>
      </c>
      <c r="O98" s="57" t="e">
        <f t="shared" si="25"/>
        <v>#N/A</v>
      </c>
      <c r="P98" s="56" t="e">
        <f t="shared" si="26"/>
        <v>#N/A</v>
      </c>
      <c r="Q98" s="56">
        <f>V98*0.055/8*0.87</f>
        <v>2.5121250000000001E-2</v>
      </c>
      <c r="R98" s="57" t="e">
        <f t="shared" si="39"/>
        <v>#N/A</v>
      </c>
      <c r="S98" s="56" t="e">
        <f t="shared" si="40"/>
        <v>#N/A</v>
      </c>
      <c r="T98" s="56" t="s">
        <v>4940</v>
      </c>
      <c r="U98" s="56" t="s">
        <v>4941</v>
      </c>
      <c r="V98" s="56">
        <f>15120/3600</f>
        <v>4.2</v>
      </c>
      <c r="W98" s="56" t="s">
        <v>4959</v>
      </c>
      <c r="X98" s="56">
        <f>V98*0.055/8</f>
        <v>2.8875000000000001E-2</v>
      </c>
      <c r="Y98" s="56" t="s">
        <v>2817</v>
      </c>
      <c r="Z98" s="56">
        <v>1</v>
      </c>
      <c r="AA98" s="56">
        <v>1</v>
      </c>
      <c r="AB98" s="58">
        <f t="shared" si="46"/>
        <v>375000</v>
      </c>
      <c r="AC98" s="58" t="e">
        <f t="shared" si="27"/>
        <v>#N/A</v>
      </c>
      <c r="AD98" s="58" t="e">
        <f t="shared" si="28"/>
        <v>#N/A</v>
      </c>
      <c r="AE98" s="45">
        <v>1</v>
      </c>
      <c r="AF98" s="59">
        <f t="shared" si="29"/>
        <v>3.5</v>
      </c>
      <c r="AG98" s="59">
        <f t="shared" si="41"/>
        <v>4</v>
      </c>
      <c r="AH98" s="60">
        <f t="shared" si="42"/>
        <v>3</v>
      </c>
      <c r="AI98" s="45"/>
      <c r="AJ98" s="45"/>
      <c r="AK98" s="45"/>
      <c r="AL98" s="45"/>
      <c r="AM98" s="46">
        <f t="shared" si="30"/>
        <v>0</v>
      </c>
      <c r="AN98" s="45"/>
      <c r="AO98" s="45"/>
      <c r="AP98" s="45"/>
      <c r="AQ98" s="45"/>
      <c r="AR98" s="61">
        <f t="shared" si="31"/>
        <v>0</v>
      </c>
      <c r="AS98" s="64"/>
      <c r="AT98" s="45"/>
      <c r="AU98" s="45"/>
      <c r="AV98" s="45"/>
      <c r="AW98" s="46">
        <f t="shared" si="32"/>
        <v>0</v>
      </c>
      <c r="AX98" s="45"/>
      <c r="AY98" s="45"/>
      <c r="AZ98" s="45"/>
      <c r="BA98" s="45"/>
      <c r="BB98" s="46">
        <f t="shared" si="33"/>
        <v>0</v>
      </c>
      <c r="BC98" s="45"/>
      <c r="BD98" s="45"/>
      <c r="BE98" s="45"/>
      <c r="BF98" s="45"/>
      <c r="BG98" s="47">
        <f t="shared" si="34"/>
        <v>0</v>
      </c>
      <c r="BH98" s="45"/>
      <c r="BI98" s="45"/>
      <c r="BJ98" s="45"/>
      <c r="BK98" s="45"/>
      <c r="BL98" s="46">
        <f>IFERROR(SUM(BH98:BK98)/4,0)</f>
        <v>0</v>
      </c>
      <c r="BM98" s="45"/>
      <c r="BN98" s="45"/>
      <c r="BO98" s="45"/>
      <c r="BP98" s="45"/>
      <c r="BQ98" s="46">
        <f t="shared" si="35"/>
        <v>0</v>
      </c>
      <c r="BR98" s="45"/>
      <c r="BS98" s="45"/>
      <c r="BT98" s="45"/>
      <c r="BU98" s="45"/>
      <c r="BV98" s="46">
        <f t="shared" si="36"/>
        <v>0</v>
      </c>
      <c r="BW98" s="45"/>
      <c r="BX98" s="45"/>
      <c r="BY98" s="45"/>
      <c r="BZ98" s="45"/>
      <c r="CA98" s="46">
        <f t="shared" si="37"/>
        <v>0</v>
      </c>
      <c r="CB98" s="291">
        <v>4</v>
      </c>
      <c r="CC98" s="291">
        <v>4</v>
      </c>
      <c r="CD98" s="291">
        <v>4</v>
      </c>
      <c r="CE98" s="291">
        <v>2</v>
      </c>
      <c r="CF98" s="291">
        <f t="shared" si="38"/>
        <v>3.5</v>
      </c>
      <c r="CG98" s="291"/>
      <c r="CH98" s="291"/>
      <c r="CI98" s="291"/>
      <c r="CJ98" s="291"/>
      <c r="CK98" s="291"/>
    </row>
    <row r="99" spans="1:89" ht="244.5">
      <c r="A99" s="45">
        <v>7</v>
      </c>
      <c r="B99" s="50">
        <f t="shared" si="45"/>
        <v>17</v>
      </c>
      <c r="C99" s="297" t="s">
        <v>4654</v>
      </c>
      <c r="D99" s="297" t="s">
        <v>5367</v>
      </c>
      <c r="E99" s="298" t="s">
        <v>5368</v>
      </c>
      <c r="F99" s="45" t="s">
        <v>5369</v>
      </c>
      <c r="G99" s="64" t="s">
        <v>5370</v>
      </c>
      <c r="H99" s="45" t="s">
        <v>5371</v>
      </c>
      <c r="I99" s="52" t="s">
        <v>5372</v>
      </c>
      <c r="J99" s="45" t="s">
        <v>3575</v>
      </c>
      <c r="K99" s="53"/>
      <c r="L99" s="54" t="e">
        <f>INDEX([1]Timeline!$E$10:$E$24,MATCH(A99,[1]Timeline!$C$10:$C$24,0))</f>
        <v>#N/A</v>
      </c>
      <c r="M99" s="55">
        <v>45291</v>
      </c>
      <c r="N99" s="56">
        <v>27061720</v>
      </c>
      <c r="O99" s="57" t="e">
        <f t="shared" si="25"/>
        <v>#N/A</v>
      </c>
      <c r="P99" s="56" t="e">
        <f t="shared" si="26"/>
        <v>#N/A</v>
      </c>
      <c r="Q99" s="56">
        <f>1.2*V99/(10^6)*919</f>
        <v>2.2055999999999999E-2</v>
      </c>
      <c r="R99" s="57" t="e">
        <f t="shared" si="39"/>
        <v>#N/A</v>
      </c>
      <c r="S99" s="56" t="e">
        <f t="shared" si="40"/>
        <v>#N/A</v>
      </c>
      <c r="T99" s="56" t="s">
        <v>4991</v>
      </c>
      <c r="U99" s="56" t="s">
        <v>4991</v>
      </c>
      <c r="V99" s="56">
        <v>20</v>
      </c>
      <c r="W99" s="56" t="s">
        <v>4992</v>
      </c>
      <c r="X99" s="56"/>
      <c r="Y99" s="56" t="s">
        <v>4265</v>
      </c>
      <c r="Z99" s="56">
        <v>1</v>
      </c>
      <c r="AA99" s="56">
        <v>1</v>
      </c>
      <c r="AB99" s="58">
        <f t="shared" si="46"/>
        <v>27061720</v>
      </c>
      <c r="AC99" s="58" t="e">
        <f t="shared" si="27"/>
        <v>#N/A</v>
      </c>
      <c r="AD99" s="58" t="e">
        <f t="shared" si="28"/>
        <v>#N/A</v>
      </c>
      <c r="AE99" s="45">
        <v>1</v>
      </c>
      <c r="AF99" s="59">
        <f t="shared" si="29"/>
        <v>2.666666666666667</v>
      </c>
      <c r="AG99" s="59">
        <f t="shared" si="41"/>
        <v>3.3333333333333335</v>
      </c>
      <c r="AH99" s="60">
        <f t="shared" si="42"/>
        <v>2</v>
      </c>
      <c r="AI99" s="45"/>
      <c r="AJ99" s="45"/>
      <c r="AK99" s="45"/>
      <c r="AL99" s="45"/>
      <c r="AM99" s="46">
        <f t="shared" si="30"/>
        <v>0</v>
      </c>
      <c r="AN99" s="45"/>
      <c r="AO99" s="45"/>
      <c r="AP99" s="45"/>
      <c r="AQ99" s="45"/>
      <c r="AR99" s="61">
        <f t="shared" si="31"/>
        <v>0</v>
      </c>
      <c r="AS99" s="64">
        <v>2</v>
      </c>
      <c r="AT99" s="45">
        <v>2</v>
      </c>
      <c r="AU99" s="45">
        <v>1</v>
      </c>
      <c r="AV99" s="45">
        <v>1</v>
      </c>
      <c r="AW99" s="46">
        <f t="shared" si="32"/>
        <v>1.5</v>
      </c>
      <c r="AX99" s="45"/>
      <c r="AY99" s="45"/>
      <c r="AZ99" s="45"/>
      <c r="BA99" s="45"/>
      <c r="BB99" s="46">
        <f t="shared" si="33"/>
        <v>0</v>
      </c>
      <c r="BC99" s="45">
        <v>4</v>
      </c>
      <c r="BD99" s="45">
        <v>4</v>
      </c>
      <c r="BE99" s="45">
        <v>2</v>
      </c>
      <c r="BF99" s="45">
        <v>4</v>
      </c>
      <c r="BG99" s="47">
        <f t="shared" si="34"/>
        <v>3.5</v>
      </c>
      <c r="BH99" s="45"/>
      <c r="BI99" s="45"/>
      <c r="BJ99" s="45"/>
      <c r="BK99" s="45"/>
      <c r="BL99" s="45"/>
      <c r="BM99" s="45"/>
      <c r="BN99" s="45"/>
      <c r="BO99" s="45"/>
      <c r="BP99" s="45"/>
      <c r="BQ99" s="46">
        <f t="shared" si="35"/>
        <v>0</v>
      </c>
      <c r="BR99" s="45"/>
      <c r="BS99" s="45"/>
      <c r="BT99" s="45"/>
      <c r="BU99" s="45"/>
      <c r="BV99" s="46">
        <f t="shared" si="36"/>
        <v>0</v>
      </c>
      <c r="BW99" s="45"/>
      <c r="BX99" s="45"/>
      <c r="BY99" s="45"/>
      <c r="BZ99" s="45"/>
      <c r="CA99" s="46">
        <f t="shared" si="37"/>
        <v>0</v>
      </c>
      <c r="CB99" s="291">
        <v>4</v>
      </c>
      <c r="CC99" s="291">
        <v>4</v>
      </c>
      <c r="CD99" s="291">
        <v>2</v>
      </c>
      <c r="CE99" s="291">
        <v>2</v>
      </c>
      <c r="CF99" s="291">
        <f t="shared" si="38"/>
        <v>3</v>
      </c>
      <c r="CG99" s="291"/>
      <c r="CH99" s="291"/>
      <c r="CI99" s="291"/>
      <c r="CJ99" s="291"/>
      <c r="CK99" s="291"/>
    </row>
    <row r="100" spans="1:89" ht="213">
      <c r="A100" s="45">
        <v>11</v>
      </c>
      <c r="B100" s="50">
        <f t="shared" si="45"/>
        <v>18</v>
      </c>
      <c r="C100" s="51" t="s">
        <v>5373</v>
      </c>
      <c r="D100" s="45" t="s">
        <v>3452</v>
      </c>
      <c r="E100" s="45" t="s">
        <v>5374</v>
      </c>
      <c r="F100" s="45" t="s">
        <v>5375</v>
      </c>
      <c r="G100" s="45" t="s">
        <v>5376</v>
      </c>
      <c r="H100" s="45" t="s">
        <v>5377</v>
      </c>
      <c r="I100" s="52" t="s">
        <v>5378</v>
      </c>
      <c r="J100" s="45" t="s">
        <v>3575</v>
      </c>
      <c r="K100" s="53"/>
      <c r="L100" s="54" t="e">
        <f>INDEX([1]Timeline!$E$10:$E$24,MATCH(A100,[1]Timeline!$C$10:$C$24,0))</f>
        <v>#N/A</v>
      </c>
      <c r="M100" s="55">
        <v>45291</v>
      </c>
      <c r="N100" s="56">
        <v>4370963</v>
      </c>
      <c r="O100" s="57" t="e">
        <f t="shared" si="25"/>
        <v>#N/A</v>
      </c>
      <c r="P100" s="56" t="e">
        <f t="shared" si="26"/>
        <v>#N/A</v>
      </c>
      <c r="Q100" s="56">
        <v>0</v>
      </c>
      <c r="R100" s="57" t="e">
        <f t="shared" si="39"/>
        <v>#N/A</v>
      </c>
      <c r="S100" s="56" t="e">
        <f t="shared" si="40"/>
        <v>#N/A</v>
      </c>
      <c r="T100" s="56"/>
      <c r="U100" s="56"/>
      <c r="V100" s="56"/>
      <c r="W100" s="56"/>
      <c r="X100" s="56"/>
      <c r="Y100" s="56" t="s">
        <v>3452</v>
      </c>
      <c r="Z100" s="56">
        <v>1</v>
      </c>
      <c r="AA100" s="56">
        <v>1</v>
      </c>
      <c r="AB100" s="58">
        <f t="shared" si="46"/>
        <v>4370963</v>
      </c>
      <c r="AC100" s="58" t="e">
        <f t="shared" si="27"/>
        <v>#N/A</v>
      </c>
      <c r="AD100" s="58" t="e">
        <f t="shared" si="28"/>
        <v>#N/A</v>
      </c>
      <c r="AE100" s="45">
        <v>1</v>
      </c>
      <c r="AF100" s="59">
        <f t="shared" si="29"/>
        <v>2.6071428571428572</v>
      </c>
      <c r="AG100" s="59">
        <f t="shared" si="41"/>
        <v>3.0714285714285716</v>
      </c>
      <c r="AH100" s="60">
        <f t="shared" si="42"/>
        <v>2.1428571428571428</v>
      </c>
      <c r="AI100" s="45">
        <v>2</v>
      </c>
      <c r="AJ100" s="45">
        <v>2</v>
      </c>
      <c r="AK100" s="45">
        <v>2</v>
      </c>
      <c r="AL100" s="45">
        <v>2</v>
      </c>
      <c r="AM100" s="46">
        <f t="shared" si="30"/>
        <v>2</v>
      </c>
      <c r="AN100" s="45">
        <v>2</v>
      </c>
      <c r="AO100" s="45">
        <v>2</v>
      </c>
      <c r="AP100" s="45">
        <v>2</v>
      </c>
      <c r="AQ100" s="45">
        <v>2</v>
      </c>
      <c r="AR100" s="61">
        <f t="shared" si="31"/>
        <v>2</v>
      </c>
      <c r="AS100" s="64"/>
      <c r="AT100" s="45"/>
      <c r="AU100" s="45"/>
      <c r="AV100" s="45"/>
      <c r="AW100" s="46">
        <f t="shared" si="32"/>
        <v>0</v>
      </c>
      <c r="AX100" s="45"/>
      <c r="AY100" s="45"/>
      <c r="AZ100" s="45"/>
      <c r="BA100" s="45"/>
      <c r="BB100" s="46">
        <f t="shared" si="33"/>
        <v>0</v>
      </c>
      <c r="BC100" s="45">
        <v>2</v>
      </c>
      <c r="BD100" s="45">
        <v>2</v>
      </c>
      <c r="BE100" s="45">
        <v>2</v>
      </c>
      <c r="BF100" s="45">
        <v>4</v>
      </c>
      <c r="BG100" s="47">
        <f t="shared" si="34"/>
        <v>2.5</v>
      </c>
      <c r="BH100" s="45">
        <v>4</v>
      </c>
      <c r="BI100" s="45">
        <v>4</v>
      </c>
      <c r="BJ100" s="45">
        <v>2</v>
      </c>
      <c r="BK100" s="45">
        <v>2</v>
      </c>
      <c r="BL100" s="46">
        <f t="shared" ref="BL100:BL110" si="47">IFERROR(SUM(BH100:BK100)/4,0)</f>
        <v>3</v>
      </c>
      <c r="BM100" s="45">
        <v>4</v>
      </c>
      <c r="BN100" s="45">
        <v>4</v>
      </c>
      <c r="BO100" s="45">
        <v>2</v>
      </c>
      <c r="BP100" s="45">
        <v>4</v>
      </c>
      <c r="BQ100" s="46">
        <f t="shared" si="35"/>
        <v>3.5</v>
      </c>
      <c r="BR100" s="45">
        <v>4</v>
      </c>
      <c r="BS100" s="45">
        <v>4</v>
      </c>
      <c r="BT100" s="45">
        <v>2</v>
      </c>
      <c r="BU100" s="45">
        <v>1</v>
      </c>
      <c r="BV100" s="46">
        <f t="shared" si="36"/>
        <v>2.75</v>
      </c>
      <c r="BW100" s="45"/>
      <c r="BX100" s="45"/>
      <c r="BY100" s="45"/>
      <c r="BZ100" s="45"/>
      <c r="CA100" s="46">
        <f t="shared" si="37"/>
        <v>0</v>
      </c>
      <c r="CB100" s="291">
        <v>3</v>
      </c>
      <c r="CC100" s="291">
        <v>4</v>
      </c>
      <c r="CD100" s="291">
        <v>1</v>
      </c>
      <c r="CE100" s="291">
        <v>2</v>
      </c>
      <c r="CF100" s="291">
        <f t="shared" si="38"/>
        <v>2.5</v>
      </c>
      <c r="CG100" s="291"/>
      <c r="CH100" s="291"/>
      <c r="CI100" s="291"/>
      <c r="CJ100" s="291"/>
      <c r="CK100" s="291"/>
    </row>
    <row r="101" spans="1:89" ht="91.5">
      <c r="A101" s="45">
        <v>8</v>
      </c>
      <c r="B101" s="50">
        <f t="shared" si="45"/>
        <v>19</v>
      </c>
      <c r="C101" s="297" t="s">
        <v>4820</v>
      </c>
      <c r="D101" s="297" t="s">
        <v>3636</v>
      </c>
      <c r="E101" s="45" t="s">
        <v>5379</v>
      </c>
      <c r="F101" s="45" t="s">
        <v>5380</v>
      </c>
      <c r="G101" s="45" t="s">
        <v>5381</v>
      </c>
      <c r="H101" s="45" t="s">
        <v>5382</v>
      </c>
      <c r="I101" s="52" t="s">
        <v>5383</v>
      </c>
      <c r="J101" s="45" t="s">
        <v>3575</v>
      </c>
      <c r="K101" s="53"/>
      <c r="L101" s="54" t="e">
        <f>INDEX([1]Timeline!$E$10:$E$24,MATCH(A101,[1]Timeline!$C$10:$C$24,0))</f>
        <v>#N/A</v>
      </c>
      <c r="M101" s="55">
        <v>45291</v>
      </c>
      <c r="N101" s="56">
        <v>707189</v>
      </c>
      <c r="O101" s="57" t="e">
        <f t="shared" si="25"/>
        <v>#N/A</v>
      </c>
      <c r="P101" s="56" t="e">
        <f t="shared" si="26"/>
        <v>#N/A</v>
      </c>
      <c r="Q101" s="56">
        <f>0.5940012*1000</f>
        <v>594.00120000000004</v>
      </c>
      <c r="R101" s="57" t="e">
        <f t="shared" si="39"/>
        <v>#N/A</v>
      </c>
      <c r="S101" s="56" t="e">
        <f t="shared" si="40"/>
        <v>#N/A</v>
      </c>
      <c r="T101" s="56" t="s">
        <v>4940</v>
      </c>
      <c r="U101" s="56" t="s">
        <v>4940</v>
      </c>
      <c r="V101" s="56">
        <v>682.76</v>
      </c>
      <c r="W101" s="56" t="s">
        <v>4948</v>
      </c>
      <c r="X101" s="56"/>
      <c r="Y101" s="56" t="s">
        <v>3636</v>
      </c>
      <c r="Z101" s="56">
        <v>1</v>
      </c>
      <c r="AA101" s="56">
        <v>1</v>
      </c>
      <c r="AB101" s="58">
        <f t="shared" si="46"/>
        <v>707189</v>
      </c>
      <c r="AC101" s="58" t="e">
        <f t="shared" si="27"/>
        <v>#N/A</v>
      </c>
      <c r="AD101" s="58" t="e">
        <f t="shared" si="28"/>
        <v>#N/A</v>
      </c>
      <c r="AE101" s="45">
        <v>1</v>
      </c>
      <c r="AF101" s="59">
        <f t="shared" si="29"/>
        <v>3.1428571428571432</v>
      </c>
      <c r="AG101" s="59">
        <f t="shared" si="41"/>
        <v>3.5714285714285716</v>
      </c>
      <c r="AH101" s="60">
        <f t="shared" si="42"/>
        <v>2.7142857142857144</v>
      </c>
      <c r="AI101" s="45">
        <v>3</v>
      </c>
      <c r="AJ101" s="45">
        <v>3</v>
      </c>
      <c r="AK101" s="45">
        <v>3</v>
      </c>
      <c r="AL101" s="45">
        <v>2</v>
      </c>
      <c r="AM101" s="46">
        <f t="shared" si="30"/>
        <v>2.75</v>
      </c>
      <c r="AN101" s="45">
        <v>4</v>
      </c>
      <c r="AO101" s="45">
        <v>3</v>
      </c>
      <c r="AP101" s="45">
        <v>3</v>
      </c>
      <c r="AQ101" s="45">
        <v>2</v>
      </c>
      <c r="AR101" s="61">
        <f t="shared" si="31"/>
        <v>3</v>
      </c>
      <c r="AS101" s="64">
        <v>4</v>
      </c>
      <c r="AT101" s="45">
        <v>4</v>
      </c>
      <c r="AU101" s="45">
        <v>2</v>
      </c>
      <c r="AV101" s="45">
        <v>3</v>
      </c>
      <c r="AW101" s="46">
        <f t="shared" si="32"/>
        <v>3.25</v>
      </c>
      <c r="AX101" s="45"/>
      <c r="AY101" s="45"/>
      <c r="AZ101" s="45"/>
      <c r="BA101" s="45"/>
      <c r="BB101" s="46">
        <f t="shared" si="33"/>
        <v>0</v>
      </c>
      <c r="BC101" s="45">
        <v>4</v>
      </c>
      <c r="BD101" s="45">
        <v>4</v>
      </c>
      <c r="BE101" s="45">
        <v>3</v>
      </c>
      <c r="BF101" s="45">
        <v>2</v>
      </c>
      <c r="BG101" s="47">
        <f t="shared" si="34"/>
        <v>3.25</v>
      </c>
      <c r="BH101" s="45">
        <v>4</v>
      </c>
      <c r="BI101" s="45">
        <v>3</v>
      </c>
      <c r="BJ101" s="45">
        <v>2</v>
      </c>
      <c r="BK101" s="45">
        <v>2</v>
      </c>
      <c r="BL101" s="46">
        <f t="shared" si="47"/>
        <v>2.75</v>
      </c>
      <c r="BM101" s="45">
        <v>3</v>
      </c>
      <c r="BN101" s="45">
        <v>3</v>
      </c>
      <c r="BO101" s="45">
        <v>4</v>
      </c>
      <c r="BP101" s="45">
        <v>4</v>
      </c>
      <c r="BQ101" s="46">
        <f t="shared" si="35"/>
        <v>3.5</v>
      </c>
      <c r="BR101" s="45">
        <v>4</v>
      </c>
      <c r="BS101" s="45">
        <v>4</v>
      </c>
      <c r="BT101" s="45">
        <v>4</v>
      </c>
      <c r="BU101" s="45">
        <v>2</v>
      </c>
      <c r="BV101" s="46">
        <f t="shared" si="36"/>
        <v>3.5</v>
      </c>
      <c r="BW101" s="45"/>
      <c r="BX101" s="45"/>
      <c r="BY101" s="45"/>
      <c r="BZ101" s="45"/>
      <c r="CA101" s="46">
        <f t="shared" si="37"/>
        <v>0</v>
      </c>
      <c r="CB101" s="291"/>
      <c r="CC101" s="291"/>
      <c r="CD101" s="291"/>
      <c r="CE101" s="291"/>
      <c r="CF101" s="291"/>
      <c r="CG101" s="291"/>
      <c r="CH101" s="291"/>
      <c r="CI101" s="291"/>
      <c r="CJ101" s="291"/>
      <c r="CK101" s="291"/>
    </row>
    <row r="102" spans="1:89" ht="91.5">
      <c r="A102" s="45">
        <v>13</v>
      </c>
      <c r="B102" s="50">
        <f t="shared" si="45"/>
        <v>20</v>
      </c>
      <c r="C102" s="51" t="s">
        <v>4654</v>
      </c>
      <c r="D102" s="45" t="s">
        <v>3871</v>
      </c>
      <c r="E102" s="45" t="s">
        <v>5384</v>
      </c>
      <c r="F102" s="45" t="s">
        <v>5380</v>
      </c>
      <c r="G102" s="45" t="s">
        <v>5385</v>
      </c>
      <c r="H102" s="45" t="s">
        <v>5386</v>
      </c>
      <c r="I102" s="52" t="s">
        <v>5387</v>
      </c>
      <c r="J102" s="45" t="s">
        <v>3575</v>
      </c>
      <c r="K102" s="53"/>
      <c r="L102" s="54" t="e">
        <f>INDEX([1]Timeline!$E$10:$E$24,MATCH(A102,[1]Timeline!$C$10:$C$24,0))</f>
        <v>#N/A</v>
      </c>
      <c r="M102" s="55">
        <v>45291</v>
      </c>
      <c r="N102" s="56">
        <v>626667</v>
      </c>
      <c r="O102" s="57" t="e">
        <f t="shared" si="25"/>
        <v>#N/A</v>
      </c>
      <c r="P102" s="56" t="e">
        <f t="shared" si="26"/>
        <v>#N/A</v>
      </c>
      <c r="Q102" s="56">
        <f>V102*0.87</f>
        <v>526.36739999999998</v>
      </c>
      <c r="R102" s="57" t="e">
        <f t="shared" si="39"/>
        <v>#N/A</v>
      </c>
      <c r="S102" s="56" t="e">
        <f t="shared" si="40"/>
        <v>#N/A</v>
      </c>
      <c r="T102" s="56" t="s">
        <v>4940</v>
      </c>
      <c r="U102" s="56" t="s">
        <v>4940</v>
      </c>
      <c r="V102" s="56">
        <v>605.02</v>
      </c>
      <c r="W102" s="56" t="s">
        <v>4948</v>
      </c>
      <c r="X102" s="56"/>
      <c r="Y102" s="56" t="s">
        <v>3871</v>
      </c>
      <c r="Z102" s="56">
        <v>1</v>
      </c>
      <c r="AA102" s="56">
        <v>1</v>
      </c>
      <c r="AB102" s="58">
        <f t="shared" si="46"/>
        <v>626667</v>
      </c>
      <c r="AC102" s="58" t="e">
        <f t="shared" si="27"/>
        <v>#N/A</v>
      </c>
      <c r="AD102" s="58" t="e">
        <f t="shared" si="28"/>
        <v>#N/A</v>
      </c>
      <c r="AE102" s="45">
        <v>1</v>
      </c>
      <c r="AF102" s="59">
        <f t="shared" si="29"/>
        <v>2.5</v>
      </c>
      <c r="AG102" s="59">
        <f t="shared" si="41"/>
        <v>4</v>
      </c>
      <c r="AH102" s="60">
        <f t="shared" si="42"/>
        <v>1</v>
      </c>
      <c r="AI102" s="45"/>
      <c r="AJ102" s="45"/>
      <c r="AK102" s="45"/>
      <c r="AL102" s="45"/>
      <c r="AM102" s="46">
        <f t="shared" si="30"/>
        <v>0</v>
      </c>
      <c r="AN102" s="45"/>
      <c r="AO102" s="45"/>
      <c r="AP102" s="45"/>
      <c r="AQ102" s="45"/>
      <c r="AR102" s="61">
        <f t="shared" si="31"/>
        <v>0</v>
      </c>
      <c r="AS102" s="64"/>
      <c r="AT102" s="45"/>
      <c r="AU102" s="45"/>
      <c r="AV102" s="45"/>
      <c r="AW102" s="46">
        <f t="shared" si="32"/>
        <v>0</v>
      </c>
      <c r="AX102" s="45"/>
      <c r="AY102" s="45"/>
      <c r="AZ102" s="45"/>
      <c r="BA102" s="45"/>
      <c r="BB102" s="46">
        <f t="shared" si="33"/>
        <v>0</v>
      </c>
      <c r="BC102" s="45"/>
      <c r="BD102" s="45"/>
      <c r="BE102" s="45"/>
      <c r="BF102" s="45"/>
      <c r="BG102" s="47">
        <f t="shared" si="34"/>
        <v>0</v>
      </c>
      <c r="BH102" s="45"/>
      <c r="BI102" s="45"/>
      <c r="BJ102" s="45"/>
      <c r="BK102" s="45"/>
      <c r="BL102" s="46">
        <f t="shared" si="47"/>
        <v>0</v>
      </c>
      <c r="BM102" s="45"/>
      <c r="BN102" s="45"/>
      <c r="BO102" s="45"/>
      <c r="BP102" s="45"/>
      <c r="BQ102" s="46">
        <f t="shared" si="35"/>
        <v>0</v>
      </c>
      <c r="BR102" s="45"/>
      <c r="BS102" s="45"/>
      <c r="BT102" s="45"/>
      <c r="BU102" s="45"/>
      <c r="BV102" s="46">
        <f t="shared" si="36"/>
        <v>0</v>
      </c>
      <c r="BW102" s="45"/>
      <c r="BX102" s="45"/>
      <c r="BY102" s="45"/>
      <c r="BZ102" s="45"/>
      <c r="CA102" s="46">
        <f t="shared" si="37"/>
        <v>0</v>
      </c>
      <c r="CB102" s="291">
        <v>4</v>
      </c>
      <c r="CC102" s="291">
        <v>4</v>
      </c>
      <c r="CD102" s="291">
        <v>1</v>
      </c>
      <c r="CE102" s="291">
        <v>1</v>
      </c>
      <c r="CF102" s="291"/>
      <c r="CG102" s="291"/>
      <c r="CH102" s="291"/>
      <c r="CI102" s="291"/>
      <c r="CJ102" s="291"/>
      <c r="CK102" s="291"/>
    </row>
    <row r="103" spans="1:89" ht="198">
      <c r="A103" s="45">
        <v>2</v>
      </c>
      <c r="B103" s="50">
        <f t="shared" si="45"/>
        <v>21</v>
      </c>
      <c r="C103" s="51" t="s">
        <v>3785</v>
      </c>
      <c r="D103" s="45"/>
      <c r="E103" s="351" t="s">
        <v>5388</v>
      </c>
      <c r="F103" s="45" t="s">
        <v>5389</v>
      </c>
      <c r="G103" s="45" t="s">
        <v>5390</v>
      </c>
      <c r="H103" s="74" t="s">
        <v>5391</v>
      </c>
      <c r="I103" s="69" t="s">
        <v>5392</v>
      </c>
      <c r="J103" s="45" t="s">
        <v>3575</v>
      </c>
      <c r="K103" s="53"/>
      <c r="L103" s="54" t="e">
        <f>INDEX([1]Timeline!$E$10:$E$24,MATCH(A103,[1]Timeline!$C$10:$C$24,0))</f>
        <v>#N/A</v>
      </c>
      <c r="M103" s="55">
        <v>45291</v>
      </c>
      <c r="N103" s="57">
        <v>3174830</v>
      </c>
      <c r="O103" s="57" t="e">
        <f t="shared" si="25"/>
        <v>#N/A</v>
      </c>
      <c r="P103" s="57" t="e">
        <f t="shared" si="26"/>
        <v>#N/A</v>
      </c>
      <c r="Q103" s="57"/>
      <c r="R103" s="57" t="e">
        <f t="shared" si="39"/>
        <v>#N/A</v>
      </c>
      <c r="S103" s="56" t="e">
        <f t="shared" si="40"/>
        <v>#N/A</v>
      </c>
      <c r="T103" s="56"/>
      <c r="U103" s="56"/>
      <c r="V103" s="56"/>
      <c r="W103" s="56"/>
      <c r="X103" s="56"/>
      <c r="Y103" s="57" t="s">
        <v>4611</v>
      </c>
      <c r="Z103" s="57">
        <v>1</v>
      </c>
      <c r="AA103" s="57">
        <v>1</v>
      </c>
      <c r="AB103" s="58">
        <f>N103/Z103</f>
        <v>3174830</v>
      </c>
      <c r="AC103" s="58" t="e">
        <f t="shared" si="27"/>
        <v>#N/A</v>
      </c>
      <c r="AD103" s="58" t="e">
        <f t="shared" si="28"/>
        <v>#N/A</v>
      </c>
      <c r="AE103" s="45">
        <v>1</v>
      </c>
      <c r="AF103" s="60">
        <f t="shared" si="29"/>
        <v>2.875</v>
      </c>
      <c r="AG103" s="59">
        <f t="shared" si="41"/>
        <v>4</v>
      </c>
      <c r="AH103" s="60">
        <f t="shared" si="42"/>
        <v>1.75</v>
      </c>
      <c r="AI103" s="45"/>
      <c r="AJ103" s="45"/>
      <c r="AK103" s="45"/>
      <c r="AL103" s="45"/>
      <c r="AM103" s="47">
        <f t="shared" si="30"/>
        <v>0</v>
      </c>
      <c r="AN103" s="45">
        <v>4</v>
      </c>
      <c r="AO103" s="45">
        <v>4</v>
      </c>
      <c r="AP103" s="45">
        <v>2</v>
      </c>
      <c r="AQ103" s="45">
        <v>2</v>
      </c>
      <c r="AR103" s="70">
        <f t="shared" si="31"/>
        <v>3</v>
      </c>
      <c r="AS103" s="103">
        <v>4</v>
      </c>
      <c r="AT103" s="102">
        <v>4</v>
      </c>
      <c r="AU103" s="102">
        <v>2</v>
      </c>
      <c r="AV103" s="102">
        <v>2</v>
      </c>
      <c r="AW103" s="47">
        <f t="shared" si="32"/>
        <v>3</v>
      </c>
      <c r="AX103" s="45">
        <v>4</v>
      </c>
      <c r="AY103" s="45">
        <v>4</v>
      </c>
      <c r="AZ103" s="45">
        <v>2</v>
      </c>
      <c r="BA103" s="45">
        <v>2</v>
      </c>
      <c r="BB103" s="47">
        <f t="shared" si="33"/>
        <v>3</v>
      </c>
      <c r="BC103" s="45"/>
      <c r="BD103" s="45"/>
      <c r="BE103" s="45"/>
      <c r="BF103" s="45"/>
      <c r="BG103" s="47">
        <f t="shared" si="34"/>
        <v>0</v>
      </c>
      <c r="BH103" s="45"/>
      <c r="BI103" s="45"/>
      <c r="BJ103" s="45"/>
      <c r="BK103" s="45"/>
      <c r="BL103" s="46">
        <f t="shared" si="47"/>
        <v>0</v>
      </c>
      <c r="BM103" s="45"/>
      <c r="BN103" s="45"/>
      <c r="BO103" s="45"/>
      <c r="BP103" s="45"/>
      <c r="BQ103" s="47">
        <f t="shared" si="35"/>
        <v>0</v>
      </c>
      <c r="BR103" s="45"/>
      <c r="BS103" s="45"/>
      <c r="BT103" s="45"/>
      <c r="BU103" s="45"/>
      <c r="BV103" s="47">
        <f t="shared" si="36"/>
        <v>0</v>
      </c>
      <c r="BW103" s="45"/>
      <c r="BX103" s="45"/>
      <c r="BY103" s="45"/>
      <c r="BZ103" s="45"/>
      <c r="CA103" s="47">
        <f t="shared" si="37"/>
        <v>0</v>
      </c>
      <c r="CB103" s="291">
        <v>4</v>
      </c>
      <c r="CC103" s="291">
        <v>4</v>
      </c>
      <c r="CD103" s="291">
        <v>1</v>
      </c>
      <c r="CE103" s="291">
        <v>1</v>
      </c>
      <c r="CF103" s="291"/>
      <c r="CG103" s="291"/>
      <c r="CH103" s="291"/>
      <c r="CI103" s="291"/>
      <c r="CJ103" s="291"/>
      <c r="CK103" s="291"/>
    </row>
    <row r="104" spans="1:89" ht="336">
      <c r="A104" s="45">
        <v>4</v>
      </c>
      <c r="B104" s="50">
        <f t="shared" si="45"/>
        <v>22</v>
      </c>
      <c r="C104" s="297" t="s">
        <v>5393</v>
      </c>
      <c r="D104" s="297" t="s">
        <v>5394</v>
      </c>
      <c r="E104" s="45" t="s">
        <v>5395</v>
      </c>
      <c r="F104" s="45" t="s">
        <v>5396</v>
      </c>
      <c r="G104" s="45" t="s">
        <v>5397</v>
      </c>
      <c r="H104" s="45" t="s">
        <v>5398</v>
      </c>
      <c r="I104" s="52" t="s">
        <v>5399</v>
      </c>
      <c r="J104" s="45" t="s">
        <v>3575</v>
      </c>
      <c r="K104" s="53"/>
      <c r="L104" s="54" t="e">
        <f>INDEX([1]Timeline!$E$10:$E$24,MATCH(A104,[1]Timeline!$C$10:$C$24,0))</f>
        <v>#N/A</v>
      </c>
      <c r="M104" s="55">
        <v>45291</v>
      </c>
      <c r="N104" s="56">
        <v>4444575</v>
      </c>
      <c r="O104" s="57" t="e">
        <f t="shared" si="25"/>
        <v>#N/A</v>
      </c>
      <c r="P104" s="56" t="e">
        <f t="shared" si="26"/>
        <v>#N/A</v>
      </c>
      <c r="Q104" s="56"/>
      <c r="R104" s="57" t="e">
        <f t="shared" si="39"/>
        <v>#N/A</v>
      </c>
      <c r="S104" s="56" t="e">
        <f t="shared" si="40"/>
        <v>#N/A</v>
      </c>
      <c r="T104" s="56"/>
      <c r="U104" s="56"/>
      <c r="V104" s="56"/>
      <c r="W104" s="56"/>
      <c r="X104" s="56"/>
      <c r="Y104" s="56" t="s">
        <v>4064</v>
      </c>
      <c r="Z104" s="56">
        <v>1</v>
      </c>
      <c r="AA104" s="56">
        <v>1</v>
      </c>
      <c r="AB104" s="58">
        <f>N104/Z104</f>
        <v>4444575</v>
      </c>
      <c r="AC104" s="58" t="e">
        <f t="shared" si="27"/>
        <v>#N/A</v>
      </c>
      <c r="AD104" s="58" t="e">
        <f t="shared" si="28"/>
        <v>#N/A</v>
      </c>
      <c r="AE104" s="45">
        <v>1</v>
      </c>
      <c r="AF104" s="59">
        <f t="shared" si="29"/>
        <v>2.5</v>
      </c>
      <c r="AG104" s="59">
        <f t="shared" si="41"/>
        <v>3</v>
      </c>
      <c r="AH104" s="60">
        <f t="shared" si="42"/>
        <v>2</v>
      </c>
      <c r="AI104" s="45">
        <v>3</v>
      </c>
      <c r="AJ104" s="45">
        <v>3</v>
      </c>
      <c r="AK104" s="45">
        <v>1</v>
      </c>
      <c r="AL104" s="45">
        <v>2</v>
      </c>
      <c r="AM104" s="46">
        <f t="shared" si="30"/>
        <v>2.25</v>
      </c>
      <c r="AN104" s="45"/>
      <c r="AO104" s="45"/>
      <c r="AP104" s="45"/>
      <c r="AQ104" s="45"/>
      <c r="AR104" s="61">
        <f t="shared" si="31"/>
        <v>0</v>
      </c>
      <c r="AS104" s="64">
        <v>3</v>
      </c>
      <c r="AT104" s="45">
        <v>3</v>
      </c>
      <c r="AU104" s="45">
        <v>3</v>
      </c>
      <c r="AV104" s="45">
        <v>2</v>
      </c>
      <c r="AW104" s="46">
        <f t="shared" si="32"/>
        <v>2.75</v>
      </c>
      <c r="AX104" s="45"/>
      <c r="AY104" s="45"/>
      <c r="AZ104" s="45"/>
      <c r="BA104" s="45"/>
      <c r="BB104" s="46">
        <f t="shared" si="33"/>
        <v>0</v>
      </c>
      <c r="BC104" s="45">
        <v>3</v>
      </c>
      <c r="BD104" s="45">
        <v>3</v>
      </c>
      <c r="BE104" s="45">
        <v>2</v>
      </c>
      <c r="BF104" s="45">
        <v>2</v>
      </c>
      <c r="BG104" s="47">
        <f t="shared" si="34"/>
        <v>2.5</v>
      </c>
      <c r="BH104" s="45"/>
      <c r="BI104" s="45"/>
      <c r="BJ104" s="45"/>
      <c r="BK104" s="45"/>
      <c r="BL104" s="46">
        <f t="shared" si="47"/>
        <v>0</v>
      </c>
      <c r="BM104" s="45"/>
      <c r="BN104" s="45"/>
      <c r="BO104" s="45"/>
      <c r="BP104" s="45"/>
      <c r="BQ104" s="46">
        <f t="shared" si="35"/>
        <v>0</v>
      </c>
      <c r="BR104" s="45"/>
      <c r="BS104" s="45"/>
      <c r="BT104" s="45"/>
      <c r="BU104" s="45"/>
      <c r="BV104" s="46">
        <f t="shared" si="36"/>
        <v>0</v>
      </c>
      <c r="BW104" s="45"/>
      <c r="BX104" s="45"/>
      <c r="BY104" s="45"/>
      <c r="BZ104" s="45"/>
      <c r="CA104" s="46">
        <f t="shared" si="37"/>
        <v>0</v>
      </c>
      <c r="CB104" s="291"/>
      <c r="CC104" s="291"/>
      <c r="CD104" s="291"/>
      <c r="CE104" s="291"/>
      <c r="CF104" s="291"/>
      <c r="CG104" s="291"/>
      <c r="CH104" s="291"/>
      <c r="CI104" s="291"/>
      <c r="CJ104" s="291"/>
      <c r="CK104" s="291"/>
    </row>
    <row r="105" spans="1:89" ht="134.25">
      <c r="A105" s="45">
        <v>5</v>
      </c>
      <c r="B105" s="50">
        <f t="shared" si="45"/>
        <v>23</v>
      </c>
      <c r="C105" s="297" t="s">
        <v>4857</v>
      </c>
      <c r="D105" s="297" t="s">
        <v>5400</v>
      </c>
      <c r="E105" s="298" t="s">
        <v>5401</v>
      </c>
      <c r="F105" s="297" t="s">
        <v>5402</v>
      </c>
      <c r="G105" s="45" t="s">
        <v>5403</v>
      </c>
      <c r="H105" s="45" t="s">
        <v>5404</v>
      </c>
      <c r="I105" s="52" t="s">
        <v>5405</v>
      </c>
      <c r="J105" s="45" t="s">
        <v>3575</v>
      </c>
      <c r="K105" s="53"/>
      <c r="L105" s="54" t="e">
        <f>INDEX([1]Timeline!$E$10:$E$24,MATCH(A105,[1]Timeline!$C$10:$C$24,0))</f>
        <v>#N/A</v>
      </c>
      <c r="M105" s="55">
        <v>45291</v>
      </c>
      <c r="N105" s="56">
        <v>9900000</v>
      </c>
      <c r="O105" s="57" t="e">
        <f t="shared" si="25"/>
        <v>#N/A</v>
      </c>
      <c r="P105" s="56" t="e">
        <f t="shared" si="26"/>
        <v>#N/A</v>
      </c>
      <c r="Q105" s="56"/>
      <c r="R105" s="57" t="e">
        <f t="shared" si="39"/>
        <v>#N/A</v>
      </c>
      <c r="S105" s="56" t="e">
        <f t="shared" si="40"/>
        <v>#N/A</v>
      </c>
      <c r="T105" s="56"/>
      <c r="U105" s="56"/>
      <c r="V105" s="56"/>
      <c r="W105" s="56"/>
      <c r="X105" s="56"/>
      <c r="Y105" s="56" t="s">
        <v>2773</v>
      </c>
      <c r="Z105" s="56">
        <v>1</v>
      </c>
      <c r="AA105" s="56">
        <v>1</v>
      </c>
      <c r="AB105" s="58">
        <f>N105/Z105</f>
        <v>9900000</v>
      </c>
      <c r="AC105" s="58" t="e">
        <f t="shared" si="27"/>
        <v>#N/A</v>
      </c>
      <c r="AD105" s="58" t="e">
        <f t="shared" si="28"/>
        <v>#N/A</v>
      </c>
      <c r="AE105" s="45">
        <v>1</v>
      </c>
      <c r="AF105" s="59">
        <f t="shared" si="29"/>
        <v>2.9166666666666665</v>
      </c>
      <c r="AG105" s="59">
        <f t="shared" si="41"/>
        <v>3.6666666666666665</v>
      </c>
      <c r="AH105" s="60">
        <f t="shared" si="42"/>
        <v>2.1666666666666665</v>
      </c>
      <c r="AI105" s="45">
        <v>3</v>
      </c>
      <c r="AJ105" s="45">
        <v>3</v>
      </c>
      <c r="AK105" s="45">
        <v>2</v>
      </c>
      <c r="AL105" s="45">
        <v>2</v>
      </c>
      <c r="AM105" s="46">
        <f t="shared" si="30"/>
        <v>2.5</v>
      </c>
      <c r="AN105" s="45"/>
      <c r="AO105" s="45"/>
      <c r="AP105" s="45"/>
      <c r="AQ105" s="45"/>
      <c r="AR105" s="61">
        <f t="shared" si="31"/>
        <v>0</v>
      </c>
      <c r="AS105" s="64">
        <v>4</v>
      </c>
      <c r="AT105" s="45">
        <v>4</v>
      </c>
      <c r="AU105" s="45">
        <v>4</v>
      </c>
      <c r="AV105" s="45">
        <v>2</v>
      </c>
      <c r="AW105" s="46">
        <f t="shared" si="32"/>
        <v>3.5</v>
      </c>
      <c r="AX105" s="45"/>
      <c r="AY105" s="45"/>
      <c r="AZ105" s="45"/>
      <c r="BA105" s="45"/>
      <c r="BB105" s="46">
        <f t="shared" si="33"/>
        <v>0</v>
      </c>
      <c r="BC105" s="45">
        <v>4</v>
      </c>
      <c r="BD105" s="45">
        <v>4</v>
      </c>
      <c r="BE105" s="45">
        <v>1</v>
      </c>
      <c r="BF105" s="45">
        <v>2</v>
      </c>
      <c r="BG105" s="47">
        <f t="shared" si="34"/>
        <v>2.75</v>
      </c>
      <c r="BH105" s="45"/>
      <c r="BI105" s="45"/>
      <c r="BJ105" s="45"/>
      <c r="BK105" s="45"/>
      <c r="BL105" s="47">
        <f t="shared" si="47"/>
        <v>0</v>
      </c>
      <c r="BM105" s="45"/>
      <c r="BN105" s="45"/>
      <c r="BO105" s="45"/>
      <c r="BP105" s="45"/>
      <c r="BQ105" s="46">
        <f t="shared" si="35"/>
        <v>0</v>
      </c>
      <c r="BR105" s="45"/>
      <c r="BS105" s="45"/>
      <c r="BT105" s="45"/>
      <c r="BU105" s="45"/>
      <c r="BV105" s="46">
        <f t="shared" si="36"/>
        <v>0</v>
      </c>
      <c r="BW105" s="45"/>
      <c r="BX105" s="45"/>
      <c r="BY105" s="45"/>
      <c r="BZ105" s="45"/>
      <c r="CA105" s="46">
        <f t="shared" si="37"/>
        <v>0</v>
      </c>
      <c r="CB105" s="291"/>
      <c r="CC105" s="291"/>
      <c r="CD105" s="291"/>
      <c r="CE105" s="291"/>
      <c r="CF105" s="291"/>
      <c r="CG105" s="291"/>
      <c r="CH105" s="291"/>
      <c r="CI105" s="291"/>
      <c r="CJ105" s="291"/>
      <c r="CK105" s="291"/>
    </row>
    <row r="106" spans="1:89" ht="351">
      <c r="A106" s="45">
        <v>3</v>
      </c>
      <c r="B106" s="50">
        <f t="shared" si="45"/>
        <v>24</v>
      </c>
      <c r="C106" s="297" t="s">
        <v>5393</v>
      </c>
      <c r="D106" s="297" t="s">
        <v>5406</v>
      </c>
      <c r="E106" s="45" t="s">
        <v>5407</v>
      </c>
      <c r="F106" s="45" t="s">
        <v>5408</v>
      </c>
      <c r="G106" s="45" t="s">
        <v>5409</v>
      </c>
      <c r="H106" s="45" t="s">
        <v>5410</v>
      </c>
      <c r="I106" s="52" t="s">
        <v>5411</v>
      </c>
      <c r="J106" s="45" t="s">
        <v>3575</v>
      </c>
      <c r="K106" s="53"/>
      <c r="L106" s="54" t="e">
        <f>INDEX([1]Timeline!$E$10:$E$24,MATCH(A106,[1]Timeline!$C$10:$C$24,0))</f>
        <v>#N/A</v>
      </c>
      <c r="M106" s="55">
        <v>45291</v>
      </c>
      <c r="N106" s="56">
        <v>408468</v>
      </c>
      <c r="O106" s="57" t="e">
        <f t="shared" si="25"/>
        <v>#N/A</v>
      </c>
      <c r="P106" s="56" t="e">
        <f t="shared" si="26"/>
        <v>#N/A</v>
      </c>
      <c r="Q106" s="56">
        <f>5.08*0.055/8*0.87+30*739.4*2.34/(10^9)</f>
        <v>3.043665588E-2</v>
      </c>
      <c r="R106" s="57" t="e">
        <f t="shared" si="39"/>
        <v>#N/A</v>
      </c>
      <c r="S106" s="56" t="e">
        <f t="shared" si="40"/>
        <v>#N/A</v>
      </c>
      <c r="T106" s="56" t="s">
        <v>5412</v>
      </c>
      <c r="U106" s="56" t="s">
        <v>5413</v>
      </c>
      <c r="V106" s="56" t="s">
        <v>5414</v>
      </c>
      <c r="W106" s="56" t="s">
        <v>5415</v>
      </c>
      <c r="X106" s="56">
        <f>5.08*0.055/8</f>
        <v>3.4924999999999998E-2</v>
      </c>
      <c r="Y106" s="56" t="s">
        <v>3636</v>
      </c>
      <c r="Z106" s="56">
        <v>1</v>
      </c>
      <c r="AA106" s="56">
        <v>1</v>
      </c>
      <c r="AB106" s="58">
        <f>N106/Z106</f>
        <v>408468</v>
      </c>
      <c r="AC106" s="58" t="e">
        <f t="shared" si="27"/>
        <v>#N/A</v>
      </c>
      <c r="AD106" s="58" t="e">
        <f t="shared" si="28"/>
        <v>#N/A</v>
      </c>
      <c r="AE106" s="45">
        <v>1</v>
      </c>
      <c r="AF106" s="59">
        <f t="shared" si="29"/>
        <v>2.666666666666667</v>
      </c>
      <c r="AG106" s="59">
        <f t="shared" si="41"/>
        <v>3.3333333333333335</v>
      </c>
      <c r="AH106" s="60">
        <f t="shared" si="42"/>
        <v>2</v>
      </c>
      <c r="AI106" s="45"/>
      <c r="AJ106" s="45"/>
      <c r="AK106" s="45"/>
      <c r="AL106" s="45"/>
      <c r="AM106" s="46">
        <f t="shared" si="30"/>
        <v>0</v>
      </c>
      <c r="AN106" s="45">
        <v>4</v>
      </c>
      <c r="AO106" s="45">
        <v>4</v>
      </c>
      <c r="AP106" s="45">
        <v>2</v>
      </c>
      <c r="AQ106" s="45">
        <v>2</v>
      </c>
      <c r="AR106" s="61">
        <f t="shared" si="31"/>
        <v>3</v>
      </c>
      <c r="AS106" s="103">
        <v>3</v>
      </c>
      <c r="AT106" s="102">
        <v>3</v>
      </c>
      <c r="AU106" s="102">
        <v>3</v>
      </c>
      <c r="AV106" s="102">
        <v>2</v>
      </c>
      <c r="AW106" s="46">
        <f t="shared" si="32"/>
        <v>2.75</v>
      </c>
      <c r="AX106" s="45">
        <v>3</v>
      </c>
      <c r="AY106" s="45">
        <v>3</v>
      </c>
      <c r="AZ106" s="45">
        <v>1</v>
      </c>
      <c r="BA106" s="45">
        <v>2</v>
      </c>
      <c r="BB106" s="46">
        <f t="shared" si="33"/>
        <v>2.25</v>
      </c>
      <c r="BC106" s="45"/>
      <c r="BD106" s="45"/>
      <c r="BE106" s="45"/>
      <c r="BF106" s="45"/>
      <c r="BG106" s="47">
        <f t="shared" si="34"/>
        <v>0</v>
      </c>
      <c r="BH106" s="45"/>
      <c r="BI106" s="45"/>
      <c r="BJ106" s="45"/>
      <c r="BK106" s="45"/>
      <c r="BL106" s="46">
        <f t="shared" si="47"/>
        <v>0</v>
      </c>
      <c r="BM106" s="45"/>
      <c r="BN106" s="45"/>
      <c r="BO106" s="45"/>
      <c r="BP106" s="45"/>
      <c r="BQ106" s="46">
        <f t="shared" si="35"/>
        <v>0</v>
      </c>
      <c r="BR106" s="45"/>
      <c r="BS106" s="45"/>
      <c r="BT106" s="45"/>
      <c r="BU106" s="45"/>
      <c r="BV106" s="46">
        <f t="shared" si="36"/>
        <v>0</v>
      </c>
      <c r="BW106" s="45"/>
      <c r="BX106" s="45"/>
      <c r="BY106" s="45"/>
      <c r="BZ106" s="45"/>
      <c r="CA106" s="46">
        <f t="shared" si="37"/>
        <v>0</v>
      </c>
      <c r="CB106" s="291"/>
      <c r="CC106" s="291"/>
      <c r="CD106" s="291"/>
      <c r="CE106" s="291"/>
      <c r="CF106" s="291"/>
      <c r="CG106" s="291"/>
      <c r="CH106" s="291"/>
      <c r="CI106" s="291"/>
      <c r="CJ106" s="291"/>
      <c r="CK106" s="291"/>
    </row>
    <row r="107" spans="1:89" ht="198">
      <c r="A107" s="45">
        <v>2</v>
      </c>
      <c r="B107" s="50">
        <f t="shared" si="45"/>
        <v>25</v>
      </c>
      <c r="C107" s="51" t="s">
        <v>5416</v>
      </c>
      <c r="D107" s="45" t="s">
        <v>3636</v>
      </c>
      <c r="E107" s="51" t="s">
        <v>5417</v>
      </c>
      <c r="F107" s="45" t="s">
        <v>5418</v>
      </c>
      <c r="G107" s="45" t="s">
        <v>5419</v>
      </c>
      <c r="H107" s="45" t="s">
        <v>5420</v>
      </c>
      <c r="I107" s="52" t="s">
        <v>5421</v>
      </c>
      <c r="J107" s="45" t="s">
        <v>3575</v>
      </c>
      <c r="K107" s="53"/>
      <c r="L107" s="54" t="e">
        <f>INDEX([1]Timeline!$E$10:$E$24,MATCH(A107,[1]Timeline!$C$10:$C$24,0))</f>
        <v>#N/A</v>
      </c>
      <c r="M107" s="55">
        <v>45291</v>
      </c>
      <c r="N107" s="56">
        <v>169583</v>
      </c>
      <c r="O107" s="57" t="e">
        <f t="shared" si="25"/>
        <v>#N/A</v>
      </c>
      <c r="P107" s="56" t="e">
        <f t="shared" si="26"/>
        <v>#N/A</v>
      </c>
      <c r="Q107" s="56"/>
      <c r="R107" s="57" t="e">
        <f t="shared" si="39"/>
        <v>#N/A</v>
      </c>
      <c r="S107" s="56" t="e">
        <f t="shared" si="40"/>
        <v>#N/A</v>
      </c>
      <c r="T107" s="56"/>
      <c r="U107" s="56"/>
      <c r="V107" s="56"/>
      <c r="W107" s="56"/>
      <c r="X107" s="56"/>
      <c r="Y107" s="56" t="s">
        <v>5422</v>
      </c>
      <c r="Z107" s="56">
        <v>1</v>
      </c>
      <c r="AA107" s="56">
        <v>1</v>
      </c>
      <c r="AB107" s="58">
        <f>N107/Z107</f>
        <v>169583</v>
      </c>
      <c r="AC107" s="58" t="e">
        <f t="shared" si="27"/>
        <v>#N/A</v>
      </c>
      <c r="AD107" s="58" t="e">
        <f t="shared" si="28"/>
        <v>#N/A</v>
      </c>
      <c r="AE107" s="45">
        <v>1</v>
      </c>
      <c r="AF107" s="59">
        <f t="shared" si="29"/>
        <v>2.5833333333333335</v>
      </c>
      <c r="AG107" s="59">
        <f t="shared" si="41"/>
        <v>3.3333333333333335</v>
      </c>
      <c r="AH107" s="60">
        <f t="shared" si="42"/>
        <v>1.8333333333333333</v>
      </c>
      <c r="AI107" s="45"/>
      <c r="AJ107" s="45"/>
      <c r="AK107" s="45"/>
      <c r="AL107" s="45"/>
      <c r="AM107" s="46">
        <f t="shared" si="30"/>
        <v>0</v>
      </c>
      <c r="AN107" s="45">
        <v>4</v>
      </c>
      <c r="AO107" s="45">
        <v>3</v>
      </c>
      <c r="AP107" s="45">
        <v>2</v>
      </c>
      <c r="AQ107" s="45">
        <v>2</v>
      </c>
      <c r="AR107" s="61">
        <f t="shared" si="31"/>
        <v>2.75</v>
      </c>
      <c r="AS107" s="103">
        <v>4</v>
      </c>
      <c r="AT107" s="102">
        <v>2</v>
      </c>
      <c r="AU107" s="102">
        <v>2</v>
      </c>
      <c r="AV107" s="102">
        <v>2</v>
      </c>
      <c r="AW107" s="46">
        <f t="shared" si="32"/>
        <v>2.5</v>
      </c>
      <c r="AX107" s="45">
        <v>4</v>
      </c>
      <c r="AY107" s="45">
        <v>3</v>
      </c>
      <c r="AZ107" s="45">
        <v>2</v>
      </c>
      <c r="BA107" s="45">
        <v>1</v>
      </c>
      <c r="BB107" s="46">
        <f t="shared" si="33"/>
        <v>2.5</v>
      </c>
      <c r="BC107" s="45"/>
      <c r="BD107" s="45"/>
      <c r="BE107" s="45"/>
      <c r="BF107" s="45"/>
      <c r="BG107" s="47">
        <f t="shared" si="34"/>
        <v>0</v>
      </c>
      <c r="BH107" s="45"/>
      <c r="BI107" s="45"/>
      <c r="BJ107" s="45"/>
      <c r="BK107" s="45"/>
      <c r="BL107" s="46">
        <f t="shared" si="47"/>
        <v>0</v>
      </c>
      <c r="BM107" s="45"/>
      <c r="BN107" s="45"/>
      <c r="BO107" s="45"/>
      <c r="BP107" s="45"/>
      <c r="BQ107" s="46">
        <f t="shared" si="35"/>
        <v>0</v>
      </c>
      <c r="BR107" s="45"/>
      <c r="BS107" s="45"/>
      <c r="BT107" s="45"/>
      <c r="BU107" s="45"/>
      <c r="BV107" s="46">
        <f t="shared" si="36"/>
        <v>0</v>
      </c>
      <c r="BW107" s="45"/>
      <c r="BX107" s="45"/>
      <c r="BY107" s="45"/>
      <c r="BZ107" s="45"/>
      <c r="CA107" s="46">
        <f t="shared" si="37"/>
        <v>0</v>
      </c>
      <c r="CB107" s="291"/>
      <c r="CC107" s="291"/>
      <c r="CD107" s="291"/>
      <c r="CE107" s="291"/>
      <c r="CF107" s="291"/>
      <c r="CG107" s="291"/>
      <c r="CH107" s="291"/>
      <c r="CI107" s="291"/>
      <c r="CJ107" s="291"/>
      <c r="CK107" s="291"/>
    </row>
    <row r="108" spans="1:89" ht="91.5">
      <c r="A108" s="45">
        <v>9</v>
      </c>
      <c r="B108" s="50">
        <f t="shared" si="45"/>
        <v>26</v>
      </c>
      <c r="C108" s="352" t="s">
        <v>4654</v>
      </c>
      <c r="D108" s="45" t="s">
        <v>5423</v>
      </c>
      <c r="E108" s="45" t="s">
        <v>5424</v>
      </c>
      <c r="F108" s="45" t="s">
        <v>5425</v>
      </c>
      <c r="G108" s="45" t="s">
        <v>5426</v>
      </c>
      <c r="H108" s="45" t="s">
        <v>5427</v>
      </c>
      <c r="I108" s="52" t="s">
        <v>5428</v>
      </c>
      <c r="J108" s="45" t="s">
        <v>3575</v>
      </c>
      <c r="K108" s="53"/>
      <c r="L108" s="54" t="e">
        <f>INDEX([1]Timeline!$E$10:$E$24,MATCH(A108,[1]Timeline!$C$10:$C$24,0))</f>
        <v>#N/A</v>
      </c>
      <c r="M108" s="55">
        <v>45291</v>
      </c>
      <c r="N108" s="56">
        <v>660803</v>
      </c>
      <c r="O108" s="57" t="e">
        <f t="shared" si="25"/>
        <v>#N/A</v>
      </c>
      <c r="P108" s="56" t="e">
        <f t="shared" si="26"/>
        <v>#N/A</v>
      </c>
      <c r="Q108" s="56">
        <v>0</v>
      </c>
      <c r="R108" s="57" t="e">
        <f t="shared" si="39"/>
        <v>#N/A</v>
      </c>
      <c r="S108" s="56" t="e">
        <f t="shared" si="40"/>
        <v>#N/A</v>
      </c>
      <c r="T108" s="56"/>
      <c r="U108" s="56"/>
      <c r="V108" s="56"/>
      <c r="W108" s="56"/>
      <c r="X108" s="56"/>
      <c r="Y108" s="56" t="s">
        <v>5429</v>
      </c>
      <c r="Z108" s="56">
        <v>1</v>
      </c>
      <c r="AA108" s="56">
        <v>1</v>
      </c>
      <c r="AB108" s="58">
        <f>N108/1</f>
        <v>660803</v>
      </c>
      <c r="AC108" s="58" t="e">
        <f t="shared" si="27"/>
        <v>#N/A</v>
      </c>
      <c r="AD108" s="58" t="e">
        <f t="shared" si="28"/>
        <v>#N/A</v>
      </c>
      <c r="AE108" s="45">
        <v>1</v>
      </c>
      <c r="AF108" s="59">
        <f t="shared" si="29"/>
        <v>2.8571428571428572</v>
      </c>
      <c r="AG108" s="59">
        <f t="shared" si="41"/>
        <v>3.7142857142857144</v>
      </c>
      <c r="AH108" s="60">
        <f t="shared" si="42"/>
        <v>2</v>
      </c>
      <c r="AI108" s="45">
        <v>4</v>
      </c>
      <c r="AJ108" s="45">
        <v>4</v>
      </c>
      <c r="AK108" s="45">
        <v>1</v>
      </c>
      <c r="AL108" s="45">
        <v>3</v>
      </c>
      <c r="AM108" s="46">
        <f t="shared" si="30"/>
        <v>3</v>
      </c>
      <c r="AN108" s="45">
        <v>4</v>
      </c>
      <c r="AO108" s="45">
        <v>4</v>
      </c>
      <c r="AP108" s="45">
        <v>1</v>
      </c>
      <c r="AQ108" s="45">
        <v>2</v>
      </c>
      <c r="AR108" s="61">
        <f t="shared" si="31"/>
        <v>2.75</v>
      </c>
      <c r="AS108" s="64">
        <v>4</v>
      </c>
      <c r="AT108" s="45">
        <v>3</v>
      </c>
      <c r="AU108" s="45">
        <v>2</v>
      </c>
      <c r="AV108" s="45">
        <v>2</v>
      </c>
      <c r="AW108" s="46">
        <f t="shared" si="32"/>
        <v>2.75</v>
      </c>
      <c r="AX108" s="45"/>
      <c r="AY108" s="45"/>
      <c r="AZ108" s="45"/>
      <c r="BA108" s="45"/>
      <c r="BB108" s="46">
        <f t="shared" si="33"/>
        <v>0</v>
      </c>
      <c r="BC108" s="45">
        <v>4</v>
      </c>
      <c r="BD108" s="45">
        <v>4</v>
      </c>
      <c r="BE108" s="45">
        <v>1</v>
      </c>
      <c r="BF108" s="45">
        <v>1</v>
      </c>
      <c r="BG108" s="47">
        <f t="shared" si="34"/>
        <v>2.5</v>
      </c>
      <c r="BH108" s="45">
        <v>4</v>
      </c>
      <c r="BI108" s="45">
        <v>3</v>
      </c>
      <c r="BJ108" s="45">
        <v>2</v>
      </c>
      <c r="BK108" s="45">
        <v>2</v>
      </c>
      <c r="BL108" s="46">
        <f t="shared" si="47"/>
        <v>2.75</v>
      </c>
      <c r="BM108" s="45">
        <v>3</v>
      </c>
      <c r="BN108" s="45">
        <v>3</v>
      </c>
      <c r="BO108" s="45">
        <v>3</v>
      </c>
      <c r="BP108" s="45">
        <v>4</v>
      </c>
      <c r="BQ108" s="46">
        <f t="shared" si="35"/>
        <v>3.25</v>
      </c>
      <c r="BR108" s="45">
        <v>4</v>
      </c>
      <c r="BS108" s="45">
        <v>4</v>
      </c>
      <c r="BT108" s="45">
        <v>2</v>
      </c>
      <c r="BU108" s="45">
        <v>2</v>
      </c>
      <c r="BV108" s="46">
        <f t="shared" si="36"/>
        <v>3</v>
      </c>
      <c r="BW108" s="45"/>
      <c r="BX108" s="45"/>
      <c r="BY108" s="45"/>
      <c r="BZ108" s="45"/>
      <c r="CA108" s="46">
        <f t="shared" si="37"/>
        <v>0</v>
      </c>
      <c r="CB108" s="291"/>
      <c r="CC108" s="291"/>
      <c r="CD108" s="291"/>
      <c r="CE108" s="291"/>
      <c r="CF108" s="291"/>
      <c r="CG108" s="291"/>
      <c r="CH108" s="291"/>
      <c r="CI108" s="291"/>
      <c r="CJ108" s="291"/>
      <c r="CK108" s="291"/>
    </row>
    <row r="109" spans="1:89" ht="267.75">
      <c r="A109" s="45">
        <v>2</v>
      </c>
      <c r="B109" s="50">
        <f t="shared" si="45"/>
        <v>27</v>
      </c>
      <c r="C109" s="51" t="s">
        <v>4654</v>
      </c>
      <c r="D109" s="45" t="s">
        <v>5143</v>
      </c>
      <c r="E109" s="51" t="s">
        <v>5430</v>
      </c>
      <c r="F109" s="45" t="s">
        <v>5431</v>
      </c>
      <c r="G109" s="351" t="s">
        <v>5432</v>
      </c>
      <c r="H109" s="351" t="s">
        <v>5433</v>
      </c>
      <c r="I109" s="52" t="s">
        <v>5434</v>
      </c>
      <c r="J109" s="45" t="s">
        <v>3575</v>
      </c>
      <c r="K109" s="53"/>
      <c r="L109" s="54" t="e">
        <f>INDEX([1]Timeline!$E$10:$E$24,MATCH(A109,[1]Timeline!$C$10:$C$24,0))</f>
        <v>#N/A</v>
      </c>
      <c r="M109" s="55">
        <v>45291</v>
      </c>
      <c r="N109" s="56">
        <v>8415000</v>
      </c>
      <c r="O109" s="57" t="e">
        <f t="shared" si="25"/>
        <v>#N/A</v>
      </c>
      <c r="P109" s="56" t="e">
        <f t="shared" si="26"/>
        <v>#N/A</v>
      </c>
      <c r="Q109" s="56"/>
      <c r="R109" s="57" t="e">
        <f t="shared" si="39"/>
        <v>#N/A</v>
      </c>
      <c r="S109" s="56" t="e">
        <f t="shared" si="40"/>
        <v>#N/A</v>
      </c>
      <c r="T109" s="56"/>
      <c r="U109" s="56"/>
      <c r="V109" s="56"/>
      <c r="W109" s="56"/>
      <c r="X109" s="56"/>
      <c r="Y109" s="56" t="s">
        <v>5143</v>
      </c>
      <c r="Z109" s="56">
        <v>1</v>
      </c>
      <c r="AA109" s="56">
        <v>1</v>
      </c>
      <c r="AB109" s="58">
        <f>N109/Z109</f>
        <v>8415000</v>
      </c>
      <c r="AC109" s="58" t="e">
        <f t="shared" si="27"/>
        <v>#N/A</v>
      </c>
      <c r="AD109" s="58" t="e">
        <f t="shared" si="28"/>
        <v>#N/A</v>
      </c>
      <c r="AE109" s="45">
        <v>1</v>
      </c>
      <c r="AF109" s="59">
        <f t="shared" si="29"/>
        <v>2.75</v>
      </c>
      <c r="AG109" s="59">
        <f t="shared" si="41"/>
        <v>3.3333333333333335</v>
      </c>
      <c r="AH109" s="60">
        <f t="shared" si="42"/>
        <v>2.1666666666666665</v>
      </c>
      <c r="AI109" s="45"/>
      <c r="AJ109" s="45"/>
      <c r="AK109" s="45"/>
      <c r="AL109" s="45"/>
      <c r="AM109" s="46">
        <f t="shared" si="30"/>
        <v>0</v>
      </c>
      <c r="AN109" s="45">
        <v>3</v>
      </c>
      <c r="AO109" s="45">
        <v>4</v>
      </c>
      <c r="AP109" s="45">
        <v>2</v>
      </c>
      <c r="AQ109" s="45">
        <v>2</v>
      </c>
      <c r="AR109" s="61">
        <f t="shared" si="31"/>
        <v>2.75</v>
      </c>
      <c r="AS109" s="103">
        <v>3</v>
      </c>
      <c r="AT109" s="102">
        <v>3</v>
      </c>
      <c r="AU109" s="102">
        <v>3</v>
      </c>
      <c r="AV109" s="102">
        <v>2</v>
      </c>
      <c r="AW109" s="46">
        <f t="shared" si="32"/>
        <v>2.75</v>
      </c>
      <c r="AX109" s="45">
        <v>3</v>
      </c>
      <c r="AY109" s="45">
        <v>4</v>
      </c>
      <c r="AZ109" s="45">
        <v>2</v>
      </c>
      <c r="BA109" s="45">
        <v>2</v>
      </c>
      <c r="BB109" s="46">
        <f t="shared" si="33"/>
        <v>2.75</v>
      </c>
      <c r="BC109" s="45"/>
      <c r="BD109" s="45"/>
      <c r="BE109" s="45"/>
      <c r="BF109" s="45"/>
      <c r="BG109" s="47">
        <f t="shared" si="34"/>
        <v>0</v>
      </c>
      <c r="BH109" s="45"/>
      <c r="BI109" s="45"/>
      <c r="BJ109" s="45"/>
      <c r="BK109" s="45"/>
      <c r="BL109" s="46">
        <f t="shared" si="47"/>
        <v>0</v>
      </c>
      <c r="BM109" s="45"/>
      <c r="BN109" s="45"/>
      <c r="BO109" s="45"/>
      <c r="BP109" s="45"/>
      <c r="BQ109" s="46">
        <f t="shared" si="35"/>
        <v>0</v>
      </c>
      <c r="BR109" s="45"/>
      <c r="BS109" s="45"/>
      <c r="BT109" s="45"/>
      <c r="BU109" s="45"/>
      <c r="BV109" s="46">
        <f t="shared" si="36"/>
        <v>0</v>
      </c>
      <c r="BW109" s="45"/>
      <c r="BX109" s="45"/>
      <c r="BY109" s="45"/>
      <c r="BZ109" s="45"/>
      <c r="CA109" s="46">
        <f t="shared" si="37"/>
        <v>0</v>
      </c>
      <c r="CB109" s="291"/>
      <c r="CC109" s="291"/>
      <c r="CD109" s="291"/>
      <c r="CE109" s="291"/>
      <c r="CF109" s="291"/>
      <c r="CG109" s="291"/>
      <c r="CH109" s="291"/>
      <c r="CI109" s="291"/>
      <c r="CJ109" s="291"/>
      <c r="CK109" s="291"/>
    </row>
    <row r="110" spans="1:89" ht="106.5">
      <c r="A110" s="45">
        <v>10</v>
      </c>
      <c r="B110" s="50">
        <f t="shared" si="45"/>
        <v>28</v>
      </c>
      <c r="C110" s="51" t="s">
        <v>4654</v>
      </c>
      <c r="D110" s="45" t="s">
        <v>5435</v>
      </c>
      <c r="E110" s="45" t="s">
        <v>5436</v>
      </c>
      <c r="F110" s="45" t="s">
        <v>5437</v>
      </c>
      <c r="G110" s="45" t="s">
        <v>5438</v>
      </c>
      <c r="H110" s="45" t="s">
        <v>5439</v>
      </c>
      <c r="I110" s="52" t="s">
        <v>5440</v>
      </c>
      <c r="J110" s="45" t="s">
        <v>3575</v>
      </c>
      <c r="K110" s="53"/>
      <c r="L110" s="54" t="e">
        <f>INDEX([1]Timeline!$E$10:$E$24,MATCH(A110,[1]Timeline!$C$10:$C$24,0))</f>
        <v>#N/A</v>
      </c>
      <c r="M110" s="55">
        <v>45291</v>
      </c>
      <c r="N110" s="56">
        <v>700000</v>
      </c>
      <c r="O110" s="57" t="e">
        <f t="shared" si="25"/>
        <v>#N/A</v>
      </c>
      <c r="P110" s="56" t="e">
        <f t="shared" si="26"/>
        <v>#N/A</v>
      </c>
      <c r="Q110" s="56">
        <v>0</v>
      </c>
      <c r="R110" s="57" t="e">
        <f t="shared" si="39"/>
        <v>#N/A</v>
      </c>
      <c r="S110" s="56" t="e">
        <f t="shared" si="40"/>
        <v>#N/A</v>
      </c>
      <c r="T110" s="56"/>
      <c r="U110" s="56"/>
      <c r="V110" s="56"/>
      <c r="W110" s="56"/>
      <c r="X110" s="56"/>
      <c r="Y110" s="56" t="s">
        <v>4520</v>
      </c>
      <c r="Z110" s="56">
        <v>1</v>
      </c>
      <c r="AA110" s="56">
        <v>1</v>
      </c>
      <c r="AB110" s="58">
        <f>N110/1</f>
        <v>700000</v>
      </c>
      <c r="AC110" s="58" t="e">
        <f t="shared" si="27"/>
        <v>#N/A</v>
      </c>
      <c r="AD110" s="58" t="e">
        <f t="shared" si="28"/>
        <v>#N/A</v>
      </c>
      <c r="AE110" s="45">
        <v>1</v>
      </c>
      <c r="AF110" s="59">
        <f t="shared" si="29"/>
        <v>2.4166666666666665</v>
      </c>
      <c r="AG110" s="59">
        <f t="shared" si="41"/>
        <v>3.1666666666666665</v>
      </c>
      <c r="AH110" s="60">
        <f t="shared" si="42"/>
        <v>1.6666666666666667</v>
      </c>
      <c r="AI110" s="45">
        <v>3</v>
      </c>
      <c r="AJ110" s="45">
        <v>3</v>
      </c>
      <c r="AK110" s="45">
        <v>1</v>
      </c>
      <c r="AL110" s="45">
        <v>2</v>
      </c>
      <c r="AM110" s="46">
        <f t="shared" si="30"/>
        <v>2.25</v>
      </c>
      <c r="AN110" s="45">
        <v>3</v>
      </c>
      <c r="AO110" s="45">
        <v>3</v>
      </c>
      <c r="AP110" s="45">
        <v>1</v>
      </c>
      <c r="AQ110" s="45">
        <v>2</v>
      </c>
      <c r="AR110" s="61">
        <f t="shared" si="31"/>
        <v>2.25</v>
      </c>
      <c r="AS110" s="64"/>
      <c r="AT110" s="45"/>
      <c r="AU110" s="45"/>
      <c r="AV110" s="45"/>
      <c r="AW110" s="46">
        <f t="shared" si="32"/>
        <v>0</v>
      </c>
      <c r="AX110" s="45"/>
      <c r="AY110" s="45"/>
      <c r="AZ110" s="45"/>
      <c r="BA110" s="45"/>
      <c r="BB110" s="46">
        <f t="shared" si="33"/>
        <v>0</v>
      </c>
      <c r="BC110" s="45">
        <v>3</v>
      </c>
      <c r="BD110" s="45">
        <v>3</v>
      </c>
      <c r="BE110" s="45">
        <v>1</v>
      </c>
      <c r="BF110" s="45">
        <v>2</v>
      </c>
      <c r="BG110" s="47">
        <f t="shared" si="34"/>
        <v>2.25</v>
      </c>
      <c r="BH110" s="45">
        <v>3</v>
      </c>
      <c r="BI110" s="45">
        <v>3</v>
      </c>
      <c r="BJ110" s="45">
        <v>2</v>
      </c>
      <c r="BK110" s="45">
        <v>2</v>
      </c>
      <c r="BL110" s="46">
        <f t="shared" si="47"/>
        <v>2.5</v>
      </c>
      <c r="BM110" s="45">
        <v>3</v>
      </c>
      <c r="BN110" s="45">
        <v>3</v>
      </c>
      <c r="BO110" s="45">
        <v>1</v>
      </c>
      <c r="BP110" s="45">
        <v>2</v>
      </c>
      <c r="BQ110" s="46">
        <f t="shared" si="35"/>
        <v>2.25</v>
      </c>
      <c r="BR110" s="45">
        <v>4</v>
      </c>
      <c r="BS110" s="45">
        <v>4</v>
      </c>
      <c r="BT110" s="45">
        <v>2</v>
      </c>
      <c r="BU110" s="45">
        <v>2</v>
      </c>
      <c r="BV110" s="46">
        <f t="shared" si="36"/>
        <v>3</v>
      </c>
      <c r="BW110" s="45"/>
      <c r="BX110" s="45"/>
      <c r="BY110" s="45"/>
      <c r="BZ110" s="45"/>
      <c r="CA110" s="46">
        <f t="shared" si="37"/>
        <v>0</v>
      </c>
      <c r="CB110" s="291"/>
      <c r="CC110" s="291"/>
      <c r="CD110" s="291"/>
      <c r="CE110" s="291"/>
      <c r="CF110" s="291"/>
      <c r="CG110" s="291"/>
      <c r="CH110" s="291"/>
      <c r="CI110" s="291"/>
      <c r="CJ110" s="291"/>
      <c r="CK110" s="291"/>
    </row>
    <row r="111" spans="1:89" ht="76.5">
      <c r="A111" s="45">
        <v>6</v>
      </c>
      <c r="B111" s="50">
        <f t="shared" si="45"/>
        <v>29</v>
      </c>
      <c r="C111" s="297" t="s">
        <v>4324</v>
      </c>
      <c r="D111" s="297" t="s">
        <v>3645</v>
      </c>
      <c r="E111" s="353" t="s">
        <v>5441</v>
      </c>
      <c r="F111" s="354" t="s">
        <v>5442</v>
      </c>
      <c r="G111" s="45" t="s">
        <v>5443</v>
      </c>
      <c r="H111" s="74" t="s">
        <v>5444</v>
      </c>
      <c r="I111" s="52" t="s">
        <v>5445</v>
      </c>
      <c r="J111" s="45" t="s">
        <v>3575</v>
      </c>
      <c r="K111" s="53"/>
      <c r="L111" s="54" t="e">
        <f>INDEX([1]Timeline!$E$10:$E$24,MATCH(A111,[1]Timeline!$C$10:$C$24,0))</f>
        <v>#N/A</v>
      </c>
      <c r="M111" s="55">
        <v>45291</v>
      </c>
      <c r="N111" s="56">
        <v>31357500</v>
      </c>
      <c r="O111" s="57" t="e">
        <f t="shared" si="25"/>
        <v>#N/A</v>
      </c>
      <c r="P111" s="56" t="e">
        <f t="shared" si="26"/>
        <v>#N/A</v>
      </c>
      <c r="Q111" s="56">
        <f>(111+74.8)*30/8*2.76</f>
        <v>1923.0299999999997</v>
      </c>
      <c r="R111" s="57" t="e">
        <f t="shared" si="39"/>
        <v>#N/A</v>
      </c>
      <c r="S111" s="56" t="e">
        <f t="shared" si="40"/>
        <v>#N/A</v>
      </c>
      <c r="T111" s="56" t="s">
        <v>5306</v>
      </c>
      <c r="U111" s="56" t="s">
        <v>5307</v>
      </c>
      <c r="V111" s="56">
        <f>111+74.8</f>
        <v>185.8</v>
      </c>
      <c r="W111" s="56" t="s">
        <v>5308</v>
      </c>
      <c r="X111" s="56"/>
      <c r="Y111" s="56" t="s">
        <v>3645</v>
      </c>
      <c r="Z111" s="56">
        <v>1</v>
      </c>
      <c r="AA111" s="56">
        <v>1</v>
      </c>
      <c r="AB111" s="58">
        <f>N111/1</f>
        <v>31357500</v>
      </c>
      <c r="AC111" s="58" t="e">
        <f t="shared" si="27"/>
        <v>#N/A</v>
      </c>
      <c r="AD111" s="58" t="e">
        <f t="shared" si="28"/>
        <v>#N/A</v>
      </c>
      <c r="AE111" s="45">
        <v>1</v>
      </c>
      <c r="AF111" s="59">
        <f t="shared" si="29"/>
        <v>2.75</v>
      </c>
      <c r="AG111" s="59">
        <f t="shared" si="41"/>
        <v>3.5</v>
      </c>
      <c r="AH111" s="60">
        <f t="shared" si="42"/>
        <v>2</v>
      </c>
      <c r="AI111" s="45"/>
      <c r="AJ111" s="45"/>
      <c r="AK111" s="45"/>
      <c r="AL111" s="45"/>
      <c r="AM111" s="46">
        <f t="shared" si="30"/>
        <v>0</v>
      </c>
      <c r="AN111" s="45"/>
      <c r="AO111" s="45"/>
      <c r="AP111" s="45"/>
      <c r="AQ111" s="45"/>
      <c r="AR111" s="61">
        <f t="shared" si="31"/>
        <v>0</v>
      </c>
      <c r="AS111" s="64">
        <v>3</v>
      </c>
      <c r="AT111" s="45">
        <v>3</v>
      </c>
      <c r="AU111" s="45">
        <v>2</v>
      </c>
      <c r="AV111" s="45">
        <v>2</v>
      </c>
      <c r="AW111" s="46">
        <f t="shared" si="32"/>
        <v>2.5</v>
      </c>
      <c r="AX111" s="45"/>
      <c r="AY111" s="45"/>
      <c r="AZ111" s="45"/>
      <c r="BA111" s="45"/>
      <c r="BB111" s="46">
        <f t="shared" si="33"/>
        <v>0</v>
      </c>
      <c r="BC111" s="45">
        <v>4</v>
      </c>
      <c r="BD111" s="45">
        <v>4</v>
      </c>
      <c r="BE111" s="45">
        <v>2</v>
      </c>
      <c r="BF111" s="45">
        <v>2</v>
      </c>
      <c r="BG111" s="47">
        <f t="shared" si="34"/>
        <v>3</v>
      </c>
      <c r="BH111" s="45"/>
      <c r="BI111" s="45"/>
      <c r="BJ111" s="45"/>
      <c r="BK111" s="45"/>
      <c r="BL111" s="45"/>
      <c r="BM111" s="45"/>
      <c r="BN111" s="45"/>
      <c r="BO111" s="45"/>
      <c r="BP111" s="45"/>
      <c r="BQ111" s="46">
        <f t="shared" si="35"/>
        <v>0</v>
      </c>
      <c r="BR111" s="45"/>
      <c r="BS111" s="45"/>
      <c r="BT111" s="45"/>
      <c r="BU111" s="45"/>
      <c r="BV111" s="46">
        <f t="shared" si="36"/>
        <v>0</v>
      </c>
      <c r="BW111" s="45"/>
      <c r="BX111" s="45"/>
      <c r="BY111" s="45"/>
      <c r="BZ111" s="45"/>
      <c r="CA111" s="46">
        <f t="shared" si="37"/>
        <v>0</v>
      </c>
      <c r="CB111" s="291"/>
      <c r="CC111" s="291"/>
      <c r="CD111" s="291"/>
      <c r="CE111" s="291"/>
      <c r="CF111" s="291"/>
      <c r="CG111" s="291"/>
      <c r="CH111" s="291"/>
      <c r="CI111" s="291"/>
      <c r="CJ111" s="291"/>
      <c r="CK111" s="291"/>
    </row>
    <row r="112" spans="1:89" ht="91.5">
      <c r="A112" s="45">
        <v>8</v>
      </c>
      <c r="B112" s="50">
        <f t="shared" si="45"/>
        <v>30</v>
      </c>
      <c r="C112" s="297" t="s">
        <v>4591</v>
      </c>
      <c r="D112" s="297" t="s">
        <v>5446</v>
      </c>
      <c r="E112" s="45" t="s">
        <v>5447</v>
      </c>
      <c r="F112" s="45" t="s">
        <v>5448</v>
      </c>
      <c r="G112" s="45" t="s">
        <v>5449</v>
      </c>
      <c r="H112" s="45" t="s">
        <v>5450</v>
      </c>
      <c r="I112" s="52" t="s">
        <v>5451</v>
      </c>
      <c r="J112" s="45" t="s">
        <v>3575</v>
      </c>
      <c r="K112" s="53"/>
      <c r="L112" s="54" t="e">
        <f>INDEX([1]Timeline!$E$10:$E$24,MATCH(A112,[1]Timeline!$C$10:$C$24,0))</f>
        <v>#N/A</v>
      </c>
      <c r="M112" s="55">
        <v>45291</v>
      </c>
      <c r="N112" s="56">
        <v>80333</v>
      </c>
      <c r="O112" s="57" t="e">
        <f t="shared" si="25"/>
        <v>#N/A</v>
      </c>
      <c r="P112" s="56" t="e">
        <f t="shared" si="26"/>
        <v>#N/A</v>
      </c>
      <c r="Q112" s="56">
        <v>0</v>
      </c>
      <c r="R112" s="57" t="e">
        <f t="shared" si="39"/>
        <v>#N/A</v>
      </c>
      <c r="S112" s="56" t="e">
        <f t="shared" si="40"/>
        <v>#N/A</v>
      </c>
      <c r="T112" s="56"/>
      <c r="U112" s="56"/>
      <c r="V112" s="56"/>
      <c r="W112" s="56"/>
      <c r="X112" s="56"/>
      <c r="Y112" s="56" t="s">
        <v>5452</v>
      </c>
      <c r="Z112" s="56">
        <v>1</v>
      </c>
      <c r="AA112" s="56">
        <v>1</v>
      </c>
      <c r="AB112" s="58">
        <f>N112/1</f>
        <v>80333</v>
      </c>
      <c r="AC112" s="58" t="e">
        <f t="shared" si="27"/>
        <v>#N/A</v>
      </c>
      <c r="AD112" s="58" t="e">
        <f t="shared" si="28"/>
        <v>#N/A</v>
      </c>
      <c r="AE112" s="45">
        <v>1</v>
      </c>
      <c r="AF112" s="59">
        <f t="shared" si="29"/>
        <v>2.8571428571428568</v>
      </c>
      <c r="AG112" s="59">
        <f t="shared" si="41"/>
        <v>3.2857142857142856</v>
      </c>
      <c r="AH112" s="60">
        <f t="shared" si="42"/>
        <v>2.4285714285714284</v>
      </c>
      <c r="AI112" s="45">
        <v>3</v>
      </c>
      <c r="AJ112" s="45">
        <v>3</v>
      </c>
      <c r="AK112" s="45">
        <v>2</v>
      </c>
      <c r="AL112" s="45">
        <v>2</v>
      </c>
      <c r="AM112" s="46">
        <f t="shared" si="30"/>
        <v>2.5</v>
      </c>
      <c r="AN112" s="45">
        <v>3</v>
      </c>
      <c r="AO112" s="45">
        <v>3</v>
      </c>
      <c r="AP112" s="45">
        <v>2</v>
      </c>
      <c r="AQ112" s="45">
        <v>2</v>
      </c>
      <c r="AR112" s="61">
        <f t="shared" si="31"/>
        <v>2.5</v>
      </c>
      <c r="AS112" s="64">
        <v>3</v>
      </c>
      <c r="AT112" s="45">
        <v>3</v>
      </c>
      <c r="AU112" s="45">
        <v>2</v>
      </c>
      <c r="AV112" s="45">
        <v>2</v>
      </c>
      <c r="AW112" s="46">
        <f t="shared" si="32"/>
        <v>2.5</v>
      </c>
      <c r="AX112" s="45"/>
      <c r="AY112" s="45"/>
      <c r="AZ112" s="45"/>
      <c r="BA112" s="45"/>
      <c r="BB112" s="46">
        <f t="shared" si="33"/>
        <v>0</v>
      </c>
      <c r="BC112" s="45">
        <v>4</v>
      </c>
      <c r="BD112" s="45">
        <v>4</v>
      </c>
      <c r="BE112" s="45">
        <v>3</v>
      </c>
      <c r="BF112" s="45">
        <v>4</v>
      </c>
      <c r="BG112" s="47">
        <f t="shared" si="34"/>
        <v>3.75</v>
      </c>
      <c r="BH112" s="45">
        <v>3</v>
      </c>
      <c r="BI112" s="45">
        <v>3</v>
      </c>
      <c r="BJ112" s="45">
        <v>2</v>
      </c>
      <c r="BK112" s="45">
        <v>2</v>
      </c>
      <c r="BL112" s="46">
        <f>IFERROR(SUM(BH112:BK112)/4,0)</f>
        <v>2.5</v>
      </c>
      <c r="BM112" s="45">
        <v>4</v>
      </c>
      <c r="BN112" s="45">
        <v>4</v>
      </c>
      <c r="BO112" s="45">
        <v>3</v>
      </c>
      <c r="BP112" s="45">
        <v>4</v>
      </c>
      <c r="BQ112" s="46">
        <f t="shared" si="35"/>
        <v>3.75</v>
      </c>
      <c r="BR112" s="45">
        <v>3</v>
      </c>
      <c r="BS112" s="45">
        <v>3</v>
      </c>
      <c r="BT112" s="45">
        <v>2</v>
      </c>
      <c r="BU112" s="45">
        <v>2</v>
      </c>
      <c r="BV112" s="46">
        <f t="shared" si="36"/>
        <v>2.5</v>
      </c>
      <c r="BW112" s="45"/>
      <c r="BX112" s="45"/>
      <c r="BY112" s="45"/>
      <c r="BZ112" s="45"/>
      <c r="CA112" s="46">
        <f t="shared" si="37"/>
        <v>0</v>
      </c>
      <c r="CB112" s="291"/>
      <c r="CC112" s="291"/>
      <c r="CD112" s="291"/>
      <c r="CE112" s="291"/>
      <c r="CF112" s="291"/>
      <c r="CG112" s="291"/>
      <c r="CH112" s="291"/>
      <c r="CI112" s="291"/>
      <c r="CJ112" s="291"/>
      <c r="CK112" s="291"/>
    </row>
    <row r="113" spans="1:89" ht="76.5">
      <c r="A113" s="45">
        <v>9</v>
      </c>
      <c r="B113" s="50">
        <f t="shared" si="45"/>
        <v>31</v>
      </c>
      <c r="C113" s="352" t="s">
        <v>5319</v>
      </c>
      <c r="D113" s="45" t="s">
        <v>5453</v>
      </c>
      <c r="E113" s="45" t="s">
        <v>5454</v>
      </c>
      <c r="F113" s="45" t="s">
        <v>5455</v>
      </c>
      <c r="G113" s="45" t="s">
        <v>5456</v>
      </c>
      <c r="H113" s="45" t="s">
        <v>5457</v>
      </c>
      <c r="I113" s="52" t="s">
        <v>5458</v>
      </c>
      <c r="J113" s="45" t="s">
        <v>3575</v>
      </c>
      <c r="K113" s="53"/>
      <c r="L113" s="54" t="e">
        <f>INDEX([1]Timeline!$E$10:$E$24,MATCH(A113,[1]Timeline!$C$10:$C$24,0))</f>
        <v>#N/A</v>
      </c>
      <c r="M113" s="55">
        <v>45291</v>
      </c>
      <c r="N113" s="56">
        <v>108000</v>
      </c>
      <c r="O113" s="57" t="e">
        <f t="shared" si="25"/>
        <v>#N/A</v>
      </c>
      <c r="P113" s="56" t="e">
        <f t="shared" si="26"/>
        <v>#N/A</v>
      </c>
      <c r="Q113" s="56">
        <v>6.87</v>
      </c>
      <c r="R113" s="57" t="e">
        <f t="shared" si="39"/>
        <v>#N/A</v>
      </c>
      <c r="S113" s="56" t="e">
        <f t="shared" si="40"/>
        <v>#N/A</v>
      </c>
      <c r="T113" s="56" t="s">
        <v>5459</v>
      </c>
      <c r="U113" s="56" t="s">
        <v>5459</v>
      </c>
      <c r="V113" s="56">
        <v>60</v>
      </c>
      <c r="W113" s="56" t="s">
        <v>4992</v>
      </c>
      <c r="X113" s="56"/>
      <c r="Y113" s="56" t="s">
        <v>4197</v>
      </c>
      <c r="Z113" s="56">
        <v>1</v>
      </c>
      <c r="AA113" s="56">
        <v>1</v>
      </c>
      <c r="AB113" s="58">
        <f>N113/1</f>
        <v>108000</v>
      </c>
      <c r="AC113" s="58" t="e">
        <f t="shared" si="27"/>
        <v>#N/A</v>
      </c>
      <c r="AD113" s="58" t="e">
        <f t="shared" si="28"/>
        <v>#N/A</v>
      </c>
      <c r="AE113" s="45">
        <v>1</v>
      </c>
      <c r="AF113" s="59">
        <f t="shared" si="29"/>
        <v>3.0714285714285712</v>
      </c>
      <c r="AG113" s="59">
        <f t="shared" si="41"/>
        <v>3.2142857142857144</v>
      </c>
      <c r="AH113" s="60">
        <f t="shared" si="42"/>
        <v>2.9285714285714284</v>
      </c>
      <c r="AI113" s="45">
        <v>3</v>
      </c>
      <c r="AJ113" s="45">
        <v>3</v>
      </c>
      <c r="AK113" s="45">
        <v>2</v>
      </c>
      <c r="AL113" s="45">
        <v>4</v>
      </c>
      <c r="AM113" s="46">
        <f t="shared" si="30"/>
        <v>3</v>
      </c>
      <c r="AN113" s="45">
        <v>4</v>
      </c>
      <c r="AO113" s="45">
        <v>3</v>
      </c>
      <c r="AP113" s="45">
        <v>2</v>
      </c>
      <c r="AQ113" s="45">
        <v>4</v>
      </c>
      <c r="AR113" s="61">
        <f t="shared" si="31"/>
        <v>3.25</v>
      </c>
      <c r="AS113" s="64">
        <v>4</v>
      </c>
      <c r="AT113" s="45">
        <v>2</v>
      </c>
      <c r="AU113" s="45">
        <v>4</v>
      </c>
      <c r="AV113" s="45">
        <v>1</v>
      </c>
      <c r="AW113" s="46">
        <f t="shared" si="32"/>
        <v>2.75</v>
      </c>
      <c r="AX113" s="45"/>
      <c r="AY113" s="45"/>
      <c r="AZ113" s="45"/>
      <c r="BA113" s="45"/>
      <c r="BB113" s="46">
        <f t="shared" si="33"/>
        <v>0</v>
      </c>
      <c r="BC113" s="45">
        <v>4</v>
      </c>
      <c r="BD113" s="45">
        <v>4</v>
      </c>
      <c r="BE113" s="45">
        <v>2</v>
      </c>
      <c r="BF113" s="45">
        <v>4</v>
      </c>
      <c r="BG113" s="47">
        <f t="shared" si="34"/>
        <v>3.5</v>
      </c>
      <c r="BH113" s="45">
        <v>3</v>
      </c>
      <c r="BI113" s="45">
        <v>3</v>
      </c>
      <c r="BJ113" s="45">
        <v>2</v>
      </c>
      <c r="BK113" s="45">
        <v>2</v>
      </c>
      <c r="BL113" s="46">
        <f>IFERROR(SUM(BH113:BK113)/4,0)</f>
        <v>2.5</v>
      </c>
      <c r="BM113" s="45">
        <v>2</v>
      </c>
      <c r="BN113" s="45">
        <v>2</v>
      </c>
      <c r="BO113" s="45">
        <v>4</v>
      </c>
      <c r="BP113" s="45">
        <v>4</v>
      </c>
      <c r="BQ113" s="46">
        <f t="shared" si="35"/>
        <v>3</v>
      </c>
      <c r="BR113" s="45">
        <v>4</v>
      </c>
      <c r="BS113" s="45">
        <v>4</v>
      </c>
      <c r="BT113" s="45">
        <v>2</v>
      </c>
      <c r="BU113" s="45">
        <v>4</v>
      </c>
      <c r="BV113" s="46">
        <f t="shared" si="36"/>
        <v>3.5</v>
      </c>
      <c r="BW113" s="45"/>
      <c r="BX113" s="45"/>
      <c r="BY113" s="45"/>
      <c r="BZ113" s="45"/>
      <c r="CA113" s="46">
        <f t="shared" si="37"/>
        <v>0</v>
      </c>
      <c r="CB113" s="291"/>
      <c r="CC113" s="291"/>
      <c r="CD113" s="291"/>
      <c r="CE113" s="291"/>
      <c r="CF113" s="291"/>
      <c r="CG113" s="291"/>
      <c r="CH113" s="291"/>
      <c r="CI113" s="291"/>
      <c r="CJ113" s="291"/>
      <c r="CK113" s="291"/>
    </row>
    <row r="114" spans="1:89" ht="106.5">
      <c r="A114" s="45">
        <v>9</v>
      </c>
      <c r="B114" s="50">
        <f t="shared" si="45"/>
        <v>32</v>
      </c>
      <c r="C114" s="352" t="s">
        <v>4857</v>
      </c>
      <c r="D114" s="45" t="s">
        <v>4953</v>
      </c>
      <c r="E114" s="45" t="s">
        <v>5460</v>
      </c>
      <c r="F114" s="45" t="s">
        <v>5461</v>
      </c>
      <c r="G114" s="45" t="s">
        <v>5462</v>
      </c>
      <c r="H114" s="45" t="s">
        <v>5463</v>
      </c>
      <c r="I114" s="52" t="s">
        <v>5464</v>
      </c>
      <c r="J114" s="45" t="s">
        <v>3575</v>
      </c>
      <c r="K114" s="53"/>
      <c r="L114" s="54" t="e">
        <f>INDEX([1]Timeline!$E$10:$E$24,MATCH(A114,[1]Timeline!$C$10:$C$24,0))</f>
        <v>#N/A</v>
      </c>
      <c r="M114" s="55">
        <v>45291</v>
      </c>
      <c r="N114" s="56">
        <v>2918667</v>
      </c>
      <c r="O114" s="57" t="e">
        <f t="shared" si="25"/>
        <v>#N/A</v>
      </c>
      <c r="P114" s="56" t="e">
        <f t="shared" si="26"/>
        <v>#N/A</v>
      </c>
      <c r="Q114" s="56">
        <f>V114*0.055/8*0.87</f>
        <v>0.43645181249999998</v>
      </c>
      <c r="R114" s="57" t="e">
        <f t="shared" si="39"/>
        <v>#N/A</v>
      </c>
      <c r="S114" s="56" t="e">
        <f t="shared" si="40"/>
        <v>#N/A</v>
      </c>
      <c r="T114" s="56" t="s">
        <v>4940</v>
      </c>
      <c r="U114" s="56" t="s">
        <v>4941</v>
      </c>
      <c r="V114" s="56">
        <v>72.97</v>
      </c>
      <c r="W114" s="56" t="s">
        <v>4959</v>
      </c>
      <c r="X114" s="56">
        <f>V114*0.055/8</f>
        <v>0.50166875</v>
      </c>
      <c r="Y114" s="56" t="s">
        <v>2773</v>
      </c>
      <c r="Z114" s="56">
        <v>1</v>
      </c>
      <c r="AA114" s="56">
        <v>1</v>
      </c>
      <c r="AB114" s="58">
        <f>N114/1</f>
        <v>2918667</v>
      </c>
      <c r="AC114" s="58" t="e">
        <f t="shared" si="27"/>
        <v>#N/A</v>
      </c>
      <c r="AD114" s="58" t="e">
        <f t="shared" si="28"/>
        <v>#N/A</v>
      </c>
      <c r="AE114" s="45">
        <v>1</v>
      </c>
      <c r="AF114" s="59">
        <f t="shared" si="29"/>
        <v>2.7857142857142856</v>
      </c>
      <c r="AG114" s="59">
        <f t="shared" si="41"/>
        <v>3.7142857142857144</v>
      </c>
      <c r="AH114" s="60">
        <f t="shared" si="42"/>
        <v>1.8571428571428572</v>
      </c>
      <c r="AI114" s="45">
        <v>4</v>
      </c>
      <c r="AJ114" s="45">
        <v>4</v>
      </c>
      <c r="AK114" s="45">
        <v>1</v>
      </c>
      <c r="AL114" s="45">
        <v>2</v>
      </c>
      <c r="AM114" s="46">
        <f t="shared" si="30"/>
        <v>2.75</v>
      </c>
      <c r="AN114" s="45">
        <v>4</v>
      </c>
      <c r="AO114" s="45">
        <v>4</v>
      </c>
      <c r="AP114" s="45">
        <v>1</v>
      </c>
      <c r="AQ114" s="45">
        <v>2</v>
      </c>
      <c r="AR114" s="61">
        <f t="shared" si="31"/>
        <v>2.75</v>
      </c>
      <c r="AS114" s="64">
        <v>4</v>
      </c>
      <c r="AT114" s="45">
        <v>3</v>
      </c>
      <c r="AU114" s="45">
        <v>1</v>
      </c>
      <c r="AV114" s="45">
        <v>3</v>
      </c>
      <c r="AW114" s="46">
        <f t="shared" si="32"/>
        <v>2.75</v>
      </c>
      <c r="AX114" s="45"/>
      <c r="AY114" s="45"/>
      <c r="AZ114" s="45"/>
      <c r="BA114" s="45"/>
      <c r="BB114" s="46">
        <f t="shared" si="33"/>
        <v>0</v>
      </c>
      <c r="BC114" s="45">
        <v>4</v>
      </c>
      <c r="BD114" s="45">
        <v>4</v>
      </c>
      <c r="BE114" s="45">
        <v>2</v>
      </c>
      <c r="BF114" s="45">
        <v>3</v>
      </c>
      <c r="BG114" s="47">
        <f t="shared" si="34"/>
        <v>3.25</v>
      </c>
      <c r="BH114" s="45">
        <v>4</v>
      </c>
      <c r="BI114" s="45">
        <v>3</v>
      </c>
      <c r="BJ114" s="45">
        <v>2</v>
      </c>
      <c r="BK114" s="45">
        <v>2</v>
      </c>
      <c r="BL114" s="46">
        <f>IFERROR(SUM(BH114:BK114)/4,0)</f>
        <v>2.75</v>
      </c>
      <c r="BM114" s="45">
        <v>3</v>
      </c>
      <c r="BN114" s="45">
        <v>3</v>
      </c>
      <c r="BO114" s="45">
        <v>2</v>
      </c>
      <c r="BP114" s="45">
        <v>3</v>
      </c>
      <c r="BQ114" s="46">
        <f t="shared" si="35"/>
        <v>2.75</v>
      </c>
      <c r="BR114" s="45">
        <v>4</v>
      </c>
      <c r="BS114" s="45">
        <v>4</v>
      </c>
      <c r="BT114" s="45">
        <v>1</v>
      </c>
      <c r="BU114" s="45">
        <v>1</v>
      </c>
      <c r="BV114" s="46">
        <f t="shared" si="36"/>
        <v>2.5</v>
      </c>
      <c r="BW114" s="45"/>
      <c r="BX114" s="45"/>
      <c r="BY114" s="45"/>
      <c r="BZ114" s="45"/>
      <c r="CA114" s="46">
        <f t="shared" si="37"/>
        <v>0</v>
      </c>
      <c r="CB114" s="291"/>
      <c r="CC114" s="291"/>
      <c r="CD114" s="291"/>
      <c r="CE114" s="291"/>
      <c r="CF114" s="291"/>
      <c r="CG114" s="291"/>
      <c r="CH114" s="291"/>
      <c r="CI114" s="291"/>
      <c r="CJ114" s="291"/>
      <c r="CK114" s="291"/>
    </row>
    <row r="115" spans="1:89" ht="229.5">
      <c r="A115" s="45">
        <v>1</v>
      </c>
      <c r="B115" s="50">
        <f>IFERROR(#REF!+1,1)</f>
        <v>1</v>
      </c>
      <c r="C115" s="51" t="s">
        <v>3457</v>
      </c>
      <c r="D115" s="45" t="s">
        <v>5465</v>
      </c>
      <c r="E115" s="45" t="s">
        <v>5466</v>
      </c>
      <c r="F115" s="45" t="s">
        <v>5467</v>
      </c>
      <c r="G115" s="45" t="s">
        <v>5468</v>
      </c>
      <c r="H115" s="45" t="s">
        <v>5469</v>
      </c>
      <c r="I115" s="52" t="s">
        <v>5470</v>
      </c>
      <c r="J115" s="45" t="s">
        <v>3575</v>
      </c>
      <c r="K115" s="53"/>
      <c r="L115" s="54" t="e">
        <f>INDEX([1]Timeline!$E$10:$E$24,MATCH(A115,[1]Timeline!$C$10:$C$24,0))</f>
        <v>#N/A</v>
      </c>
      <c r="M115" s="55">
        <v>45291</v>
      </c>
      <c r="N115" s="56">
        <v>1150000</v>
      </c>
      <c r="O115" s="57" t="e">
        <f t="shared" si="25"/>
        <v>#N/A</v>
      </c>
      <c r="P115" s="56" t="e">
        <f>(MONTH($M115)-MONTH($L115)+1)*N115</f>
        <v>#N/A</v>
      </c>
      <c r="Q115" s="56">
        <f>V115*0.055/8*0.87</f>
        <v>0.17229322916666667</v>
      </c>
      <c r="R115" s="57" t="e">
        <f t="shared" si="39"/>
        <v>#N/A</v>
      </c>
      <c r="S115" s="56" t="e">
        <f t="shared" si="40"/>
        <v>#N/A</v>
      </c>
      <c r="T115" s="56" t="s">
        <v>4940</v>
      </c>
      <c r="U115" s="56" t="s">
        <v>4941</v>
      </c>
      <c r="V115" s="56">
        <f>103700/3600</f>
        <v>28.805555555555557</v>
      </c>
      <c r="W115" s="56" t="s">
        <v>4959</v>
      </c>
      <c r="X115" s="56">
        <f>V115*0.055/8</f>
        <v>0.19803819444444445</v>
      </c>
      <c r="Y115" s="56" t="s">
        <v>5471</v>
      </c>
      <c r="Z115" s="56">
        <v>1</v>
      </c>
      <c r="AA115" s="56">
        <v>1</v>
      </c>
      <c r="AB115" s="58">
        <f>N115/Z115</f>
        <v>1150000</v>
      </c>
      <c r="AC115" s="58" t="e">
        <f t="shared" si="27"/>
        <v>#N/A</v>
      </c>
      <c r="AD115" s="58" t="e">
        <f t="shared" si="28"/>
        <v>#N/A</v>
      </c>
      <c r="AE115" s="45">
        <v>1</v>
      </c>
      <c r="AF115" s="59">
        <f t="shared" si="29"/>
        <v>2.4166666666666665</v>
      </c>
      <c r="AG115" s="59">
        <f t="shared" si="41"/>
        <v>3.25</v>
      </c>
      <c r="AH115" s="60">
        <f t="shared" si="42"/>
        <v>1.5833333333333333</v>
      </c>
      <c r="AI115" s="45"/>
      <c r="AJ115" s="45"/>
      <c r="AK115" s="45"/>
      <c r="AL115" s="45"/>
      <c r="AM115" s="46">
        <f t="shared" si="30"/>
        <v>0</v>
      </c>
      <c r="AN115" s="45">
        <v>4</v>
      </c>
      <c r="AO115" s="45">
        <v>3</v>
      </c>
      <c r="AP115" s="45">
        <v>1</v>
      </c>
      <c r="AQ115" s="45">
        <v>2</v>
      </c>
      <c r="AR115" s="61">
        <f t="shared" si="31"/>
        <v>2.5</v>
      </c>
      <c r="AS115" s="103">
        <v>3</v>
      </c>
      <c r="AT115" s="102">
        <v>3</v>
      </c>
      <c r="AU115" s="102">
        <v>1</v>
      </c>
      <c r="AV115" s="102">
        <v>2</v>
      </c>
      <c r="AW115" s="46">
        <f t="shared" si="32"/>
        <v>2.25</v>
      </c>
      <c r="AX115" s="45">
        <v>4</v>
      </c>
      <c r="AY115" s="45">
        <v>3</v>
      </c>
      <c r="AZ115" s="45">
        <v>1</v>
      </c>
      <c r="BA115" s="45">
        <v>2</v>
      </c>
      <c r="BB115" s="46">
        <f t="shared" si="33"/>
        <v>2.5</v>
      </c>
      <c r="BC115" s="45"/>
      <c r="BD115" s="45"/>
      <c r="BE115" s="45"/>
      <c r="BF115" s="45"/>
      <c r="BG115" s="47">
        <f t="shared" si="34"/>
        <v>0</v>
      </c>
      <c r="BH115" s="45"/>
      <c r="BI115" s="45"/>
      <c r="BJ115" s="45"/>
      <c r="BK115" s="45"/>
      <c r="BL115" s="46">
        <f>IFERROR(SUM(BH115:BK115)/4,0)</f>
        <v>0</v>
      </c>
      <c r="BM115" s="45">
        <v>4</v>
      </c>
      <c r="BN115" s="45">
        <v>4</v>
      </c>
      <c r="BO115" s="45">
        <v>2</v>
      </c>
      <c r="BP115" s="45">
        <v>2</v>
      </c>
      <c r="BQ115" s="46">
        <f t="shared" si="35"/>
        <v>3</v>
      </c>
      <c r="BR115" s="45">
        <v>4</v>
      </c>
      <c r="BS115" s="45">
        <v>4</v>
      </c>
      <c r="BT115" s="45">
        <v>1</v>
      </c>
      <c r="BU115" s="45">
        <v>2</v>
      </c>
      <c r="BV115" s="46">
        <f t="shared" si="36"/>
        <v>2.75</v>
      </c>
      <c r="BW115" s="45">
        <v>3</v>
      </c>
      <c r="BX115" s="45">
        <v>3</v>
      </c>
      <c r="BY115" s="45">
        <v>1</v>
      </c>
      <c r="BZ115" s="45">
        <v>2</v>
      </c>
      <c r="CA115" s="46">
        <f t="shared" si="37"/>
        <v>2.25</v>
      </c>
      <c r="CB115" s="291"/>
      <c r="CC115" s="291"/>
      <c r="CD115" s="291"/>
      <c r="CE115" s="291"/>
      <c r="CF115" s="291"/>
      <c r="CG115" s="291"/>
      <c r="CH115" s="291"/>
      <c r="CI115" s="291"/>
      <c r="CJ115" s="291"/>
      <c r="CK115" s="291"/>
    </row>
    <row r="116" spans="1:89" ht="152.25">
      <c r="A116" s="45">
        <v>7</v>
      </c>
      <c r="B116" s="50">
        <f>IFERROR(B115+1,1)</f>
        <v>2</v>
      </c>
      <c r="C116" s="297" t="s">
        <v>5237</v>
      </c>
      <c r="D116" s="297" t="s">
        <v>3978</v>
      </c>
      <c r="E116" s="298" t="s">
        <v>5472</v>
      </c>
      <c r="F116" s="297" t="s">
        <v>5473</v>
      </c>
      <c r="G116" s="45" t="s">
        <v>5474</v>
      </c>
      <c r="H116" s="74" t="s">
        <v>5475</v>
      </c>
      <c r="I116" s="52" t="s">
        <v>5476</v>
      </c>
      <c r="J116" s="45" t="s">
        <v>3575</v>
      </c>
      <c r="K116" s="53"/>
      <c r="L116" s="54" t="e">
        <f>INDEX([1]Timeline!$E$10:$E$24,MATCH(A116,[1]Timeline!$C$10:$C$24,0))</f>
        <v>#N/A</v>
      </c>
      <c r="M116" s="55">
        <v>45291</v>
      </c>
      <c r="N116" s="56">
        <v>104666</v>
      </c>
      <c r="O116" s="57" t="e">
        <f t="shared" si="25"/>
        <v>#N/A</v>
      </c>
      <c r="P116" s="56" t="e">
        <f>(MONTH(M116)-MONTH(L116)+1)*N116</f>
        <v>#N/A</v>
      </c>
      <c r="Q116" s="56">
        <f>V116*0.055/8*0.87</f>
        <v>1.5351875000000003E-2</v>
      </c>
      <c r="R116" s="57" t="e">
        <f t="shared" si="39"/>
        <v>#N/A</v>
      </c>
      <c r="S116" s="56" t="e">
        <f t="shared" si="40"/>
        <v>#N/A</v>
      </c>
      <c r="T116" s="56" t="s">
        <v>4940</v>
      </c>
      <c r="U116" s="56" t="s">
        <v>4941</v>
      </c>
      <c r="V116" s="56">
        <f>9240/3600</f>
        <v>2.5666666666666669</v>
      </c>
      <c r="W116" s="56" t="s">
        <v>4959</v>
      </c>
      <c r="X116" s="56">
        <f>V116*0.055/8</f>
        <v>1.7645833333333336E-2</v>
      </c>
      <c r="Y116" s="56" t="s">
        <v>2817</v>
      </c>
      <c r="Z116" s="56">
        <v>1</v>
      </c>
      <c r="AA116" s="56">
        <v>1</v>
      </c>
      <c r="AB116" s="58">
        <f>N116/1</f>
        <v>104666</v>
      </c>
      <c r="AC116" s="58" t="e">
        <f t="shared" si="27"/>
        <v>#N/A</v>
      </c>
      <c r="AD116" s="58" t="e">
        <f t="shared" si="28"/>
        <v>#N/A</v>
      </c>
      <c r="AE116" s="45">
        <v>1</v>
      </c>
      <c r="AF116" s="59">
        <f t="shared" si="29"/>
        <v>2.25</v>
      </c>
      <c r="AG116" s="59">
        <f t="shared" si="41"/>
        <v>3</v>
      </c>
      <c r="AH116" s="60">
        <f t="shared" si="42"/>
        <v>1.5</v>
      </c>
      <c r="AI116" s="45"/>
      <c r="AJ116" s="45"/>
      <c r="AK116" s="45"/>
      <c r="AL116" s="45"/>
      <c r="AM116" s="46">
        <f t="shared" si="30"/>
        <v>0</v>
      </c>
      <c r="AN116" s="45"/>
      <c r="AO116" s="45"/>
      <c r="AP116" s="45"/>
      <c r="AQ116" s="45"/>
      <c r="AR116" s="61">
        <f t="shared" si="31"/>
        <v>0</v>
      </c>
      <c r="AS116" s="64"/>
      <c r="AT116" s="45"/>
      <c r="AU116" s="45"/>
      <c r="AV116" s="45"/>
      <c r="AW116" s="46">
        <f t="shared" si="32"/>
        <v>0</v>
      </c>
      <c r="AX116" s="45"/>
      <c r="AY116" s="45"/>
      <c r="AZ116" s="45"/>
      <c r="BA116" s="45"/>
      <c r="BB116" s="46">
        <f t="shared" si="33"/>
        <v>0</v>
      </c>
      <c r="BC116" s="45">
        <v>3</v>
      </c>
      <c r="BD116" s="45">
        <v>3</v>
      </c>
      <c r="BE116" s="45">
        <v>1</v>
      </c>
      <c r="BF116" s="45">
        <v>2</v>
      </c>
      <c r="BG116" s="47">
        <f t="shared" si="34"/>
        <v>2.25</v>
      </c>
      <c r="BH116" s="45"/>
      <c r="BI116" s="45"/>
      <c r="BJ116" s="45"/>
      <c r="BK116" s="45"/>
      <c r="BL116" s="45"/>
      <c r="BM116" s="45"/>
      <c r="BN116" s="45"/>
      <c r="BO116" s="45"/>
      <c r="BP116" s="45"/>
      <c r="BQ116" s="46">
        <f t="shared" si="35"/>
        <v>0</v>
      </c>
      <c r="BR116" s="45"/>
      <c r="BS116" s="45"/>
      <c r="BT116" s="45"/>
      <c r="BU116" s="45"/>
      <c r="BV116" s="46">
        <f t="shared" si="36"/>
        <v>0</v>
      </c>
      <c r="BW116" s="45"/>
      <c r="BX116" s="45"/>
      <c r="BY116" s="45"/>
      <c r="BZ116" s="45"/>
      <c r="CA116" s="46">
        <f t="shared" si="37"/>
        <v>0</v>
      </c>
      <c r="CB116" s="291"/>
      <c r="CC116" s="291"/>
      <c r="CD116" s="291"/>
      <c r="CE116" s="291"/>
      <c r="CF116" s="291"/>
      <c r="CG116" s="291"/>
      <c r="CH116" s="291"/>
      <c r="CI116" s="291"/>
      <c r="CJ116" s="291"/>
      <c r="CK116" s="291"/>
    </row>
    <row r="117" spans="1:89" ht="183">
      <c r="A117" s="45">
        <v>7</v>
      </c>
      <c r="B117" s="50">
        <f>IFERROR(B116+1,1)</f>
        <v>3</v>
      </c>
      <c r="C117" s="297" t="s">
        <v>2817</v>
      </c>
      <c r="D117" s="297" t="s">
        <v>3978</v>
      </c>
      <c r="E117" s="298" t="s">
        <v>5477</v>
      </c>
      <c r="F117" s="297" t="s">
        <v>5478</v>
      </c>
      <c r="G117" s="45" t="s">
        <v>5479</v>
      </c>
      <c r="H117" s="74" t="s">
        <v>5480</v>
      </c>
      <c r="I117" s="52" t="s">
        <v>5481</v>
      </c>
      <c r="J117" s="45" t="s">
        <v>3575</v>
      </c>
      <c r="K117" s="53"/>
      <c r="L117" s="54" t="e">
        <f>INDEX([1]Timeline!$E$10:$E$24,MATCH(A117,[1]Timeline!$C$10:$C$24,0))</f>
        <v>#N/A</v>
      </c>
      <c r="M117" s="55">
        <v>45291</v>
      </c>
      <c r="N117" s="56">
        <v>220000</v>
      </c>
      <c r="O117" s="57" t="e">
        <f t="shared" si="25"/>
        <v>#N/A</v>
      </c>
      <c r="P117" s="56" t="e">
        <f>(MONTH(M117)-MONTH(L117)+1)*N117</f>
        <v>#N/A</v>
      </c>
      <c r="Q117" s="56">
        <f>V117*0.055/8*0.87</f>
        <v>3.2896874999999999E-2</v>
      </c>
      <c r="R117" s="57" t="e">
        <f t="shared" si="39"/>
        <v>#N/A</v>
      </c>
      <c r="S117" s="56" t="e">
        <f t="shared" si="40"/>
        <v>#N/A</v>
      </c>
      <c r="T117" s="56" t="s">
        <v>4940</v>
      </c>
      <c r="U117" s="56" t="s">
        <v>4941</v>
      </c>
      <c r="V117" s="56">
        <v>5.5</v>
      </c>
      <c r="W117" s="56" t="s">
        <v>4959</v>
      </c>
      <c r="X117" s="56">
        <f>V117*0.055/8</f>
        <v>3.7812499999999999E-2</v>
      </c>
      <c r="Y117" s="56" t="s">
        <v>2817</v>
      </c>
      <c r="Z117" s="56">
        <v>1</v>
      </c>
      <c r="AA117" s="56">
        <v>1</v>
      </c>
      <c r="AB117" s="58">
        <f>N117/1</f>
        <v>220000</v>
      </c>
      <c r="AC117" s="58" t="e">
        <f t="shared" si="27"/>
        <v>#N/A</v>
      </c>
      <c r="AD117" s="58" t="e">
        <f t="shared" si="28"/>
        <v>#N/A</v>
      </c>
      <c r="AE117" s="45">
        <v>1</v>
      </c>
      <c r="AF117" s="59">
        <f t="shared" si="29"/>
        <v>2.75</v>
      </c>
      <c r="AG117" s="59">
        <f t="shared" si="41"/>
        <v>3.5</v>
      </c>
      <c r="AH117" s="60">
        <f t="shared" si="42"/>
        <v>2</v>
      </c>
      <c r="AI117" s="45"/>
      <c r="AJ117" s="45"/>
      <c r="AK117" s="45"/>
      <c r="AL117" s="45"/>
      <c r="AM117" s="46">
        <f t="shared" si="30"/>
        <v>0</v>
      </c>
      <c r="AN117" s="45"/>
      <c r="AO117" s="45"/>
      <c r="AP117" s="45"/>
      <c r="AQ117" s="45"/>
      <c r="AR117" s="61">
        <f t="shared" si="31"/>
        <v>0</v>
      </c>
      <c r="AS117" s="64">
        <v>4</v>
      </c>
      <c r="AT117" s="45">
        <v>4</v>
      </c>
      <c r="AU117" s="45">
        <v>2</v>
      </c>
      <c r="AV117" s="45">
        <v>4</v>
      </c>
      <c r="AW117" s="46">
        <f t="shared" si="32"/>
        <v>3.5</v>
      </c>
      <c r="AX117" s="45"/>
      <c r="AY117" s="45"/>
      <c r="AZ117" s="45"/>
      <c r="BA117" s="45"/>
      <c r="BB117" s="46">
        <f t="shared" si="33"/>
        <v>0</v>
      </c>
      <c r="BC117" s="45">
        <v>3</v>
      </c>
      <c r="BD117" s="45">
        <v>3</v>
      </c>
      <c r="BE117" s="45">
        <v>1</v>
      </c>
      <c r="BF117" s="45">
        <v>1</v>
      </c>
      <c r="BG117" s="47">
        <f t="shared" si="34"/>
        <v>2</v>
      </c>
      <c r="BH117" s="45"/>
      <c r="BI117" s="45"/>
      <c r="BJ117" s="45"/>
      <c r="BK117" s="45"/>
      <c r="BL117" s="45"/>
      <c r="BM117" s="45"/>
      <c r="BN117" s="45"/>
      <c r="BO117" s="45"/>
      <c r="BP117" s="45"/>
      <c r="BQ117" s="46">
        <f t="shared" si="35"/>
        <v>0</v>
      </c>
      <c r="BR117" s="45"/>
      <c r="BS117" s="45"/>
      <c r="BT117" s="45"/>
      <c r="BU117" s="45"/>
      <c r="BV117" s="46">
        <f t="shared" si="36"/>
        <v>0</v>
      </c>
      <c r="BW117" s="45"/>
      <c r="BX117" s="45"/>
      <c r="BY117" s="45"/>
      <c r="BZ117" s="45"/>
      <c r="CA117" s="46">
        <f t="shared" si="37"/>
        <v>0</v>
      </c>
      <c r="CB117" s="291"/>
      <c r="CC117" s="291"/>
      <c r="CD117" s="291"/>
      <c r="CE117" s="291"/>
      <c r="CF117" s="291"/>
      <c r="CG117" s="291"/>
      <c r="CH117" s="291"/>
      <c r="CI117" s="291"/>
      <c r="CJ117" s="291"/>
      <c r="CK117" s="291"/>
    </row>
    <row r="118" spans="1:89" ht="167.25">
      <c r="A118" s="45">
        <v>7</v>
      </c>
      <c r="B118" s="50">
        <f>IFERROR(B117+1,1)</f>
        <v>4</v>
      </c>
      <c r="C118" s="297" t="s">
        <v>2817</v>
      </c>
      <c r="D118" s="297" t="s">
        <v>5482</v>
      </c>
      <c r="E118" s="298" t="s">
        <v>5483</v>
      </c>
      <c r="F118" s="297" t="s">
        <v>5484</v>
      </c>
      <c r="G118" s="45" t="s">
        <v>5485</v>
      </c>
      <c r="H118" s="74" t="s">
        <v>5486</v>
      </c>
      <c r="I118" s="52" t="s">
        <v>5487</v>
      </c>
      <c r="J118" s="45" t="s">
        <v>3575</v>
      </c>
      <c r="K118" s="53"/>
      <c r="L118" s="54" t="e">
        <f>INDEX([1]Timeline!$E$10:$E$24,MATCH(A118,[1]Timeline!$C$10:$C$24,0))</f>
        <v>#N/A</v>
      </c>
      <c r="M118" s="55">
        <v>45291</v>
      </c>
      <c r="N118" s="56">
        <v>635333</v>
      </c>
      <c r="O118" s="57" t="e">
        <f t="shared" si="25"/>
        <v>#N/A</v>
      </c>
      <c r="P118" s="56" t="e">
        <f>(MONTH(M118)-MONTH(L118)+1)*N118</f>
        <v>#N/A</v>
      </c>
      <c r="Q118" s="56">
        <f>V118*0.055/8*0.87</f>
        <v>9.5002187499999988E-2</v>
      </c>
      <c r="R118" s="57" t="e">
        <f t="shared" si="39"/>
        <v>#N/A</v>
      </c>
      <c r="S118" s="56" t="e">
        <f t="shared" si="40"/>
        <v>#N/A</v>
      </c>
      <c r="T118" s="56" t="s">
        <v>4940</v>
      </c>
      <c r="U118" s="56" t="s">
        <v>4941</v>
      </c>
      <c r="V118" s="56">
        <f>57180/3600</f>
        <v>15.883333333333333</v>
      </c>
      <c r="W118" s="56" t="s">
        <v>4959</v>
      </c>
      <c r="X118" s="56">
        <f>V118*0.055/8</f>
        <v>0.10919791666666666</v>
      </c>
      <c r="Y118" s="56" t="s">
        <v>2817</v>
      </c>
      <c r="Z118" s="56">
        <v>1</v>
      </c>
      <c r="AA118" s="56">
        <v>1</v>
      </c>
      <c r="AB118" s="58">
        <f>N118/1</f>
        <v>635333</v>
      </c>
      <c r="AC118" s="58" t="e">
        <f t="shared" si="27"/>
        <v>#N/A</v>
      </c>
      <c r="AD118" s="58" t="e">
        <f t="shared" si="28"/>
        <v>#N/A</v>
      </c>
      <c r="AE118" s="45">
        <v>1</v>
      </c>
      <c r="AF118" s="59">
        <f t="shared" si="29"/>
        <v>2.25</v>
      </c>
      <c r="AG118" s="59">
        <f t="shared" si="41"/>
        <v>3</v>
      </c>
      <c r="AH118" s="60">
        <f t="shared" si="42"/>
        <v>1.5</v>
      </c>
      <c r="AI118" s="45"/>
      <c r="AJ118" s="45"/>
      <c r="AK118" s="45"/>
      <c r="AL118" s="45"/>
      <c r="AM118" s="46">
        <f t="shared" si="30"/>
        <v>0</v>
      </c>
      <c r="AN118" s="45"/>
      <c r="AO118" s="45"/>
      <c r="AP118" s="45"/>
      <c r="AQ118" s="45"/>
      <c r="AR118" s="61">
        <f t="shared" si="31"/>
        <v>0</v>
      </c>
      <c r="AS118" s="64"/>
      <c r="AT118" s="45"/>
      <c r="AU118" s="45"/>
      <c r="AV118" s="45"/>
      <c r="AW118" s="46">
        <f t="shared" si="32"/>
        <v>0</v>
      </c>
      <c r="AX118" s="45"/>
      <c r="AY118" s="45"/>
      <c r="AZ118" s="45"/>
      <c r="BA118" s="45"/>
      <c r="BB118" s="46">
        <f t="shared" si="33"/>
        <v>0</v>
      </c>
      <c r="BC118" s="45">
        <v>3</v>
      </c>
      <c r="BD118" s="45">
        <v>3</v>
      </c>
      <c r="BE118" s="45">
        <v>1</v>
      </c>
      <c r="BF118" s="45">
        <v>2</v>
      </c>
      <c r="BG118" s="47">
        <f t="shared" si="34"/>
        <v>2.25</v>
      </c>
      <c r="BH118" s="45"/>
      <c r="BI118" s="45"/>
      <c r="BJ118" s="45"/>
      <c r="BK118" s="45"/>
      <c r="BL118" s="45"/>
      <c r="BM118" s="45"/>
      <c r="BN118" s="45"/>
      <c r="BO118" s="45"/>
      <c r="BP118" s="45"/>
      <c r="BQ118" s="46">
        <f t="shared" si="35"/>
        <v>0</v>
      </c>
      <c r="BR118" s="45"/>
      <c r="BS118" s="45"/>
      <c r="BT118" s="45"/>
      <c r="BU118" s="45"/>
      <c r="BV118" s="46">
        <f t="shared" si="36"/>
        <v>0</v>
      </c>
      <c r="BW118" s="45"/>
      <c r="BX118" s="45"/>
      <c r="BY118" s="45"/>
      <c r="BZ118" s="45"/>
      <c r="CA118" s="46">
        <f t="shared" si="37"/>
        <v>0</v>
      </c>
      <c r="CB118" s="291"/>
      <c r="CC118" s="291"/>
      <c r="CD118" s="291"/>
      <c r="CE118" s="291"/>
      <c r="CF118" s="291"/>
      <c r="CG118" s="291"/>
      <c r="CH118" s="291"/>
      <c r="CI118" s="291"/>
      <c r="CJ118" s="291"/>
      <c r="CK118" s="291"/>
    </row>
    <row r="119" spans="1:89" ht="275.25">
      <c r="A119" s="45">
        <v>10</v>
      </c>
      <c r="B119" s="50">
        <f>IFERROR(B118+1,1)</f>
        <v>5</v>
      </c>
      <c r="C119" s="51" t="s">
        <v>4654</v>
      </c>
      <c r="D119" s="45" t="s">
        <v>3636</v>
      </c>
      <c r="E119" s="45" t="s">
        <v>5488</v>
      </c>
      <c r="F119" s="45" t="s">
        <v>5489</v>
      </c>
      <c r="G119" s="45" t="s">
        <v>5490</v>
      </c>
      <c r="H119" s="45" t="s">
        <v>5491</v>
      </c>
      <c r="I119" s="52" t="s">
        <v>5492</v>
      </c>
      <c r="J119" s="45" t="s">
        <v>3575</v>
      </c>
      <c r="K119" s="53"/>
      <c r="L119" s="54" t="e">
        <f>INDEX([1]Timeline!$E$10:$E$24,MATCH(A119,[1]Timeline!$C$10:$C$24,0))</f>
        <v>#N/A</v>
      </c>
      <c r="M119" s="55">
        <v>45291</v>
      </c>
      <c r="N119" s="56">
        <v>7440000</v>
      </c>
      <c r="O119" s="57" t="e">
        <f t="shared" si="25"/>
        <v>#N/A</v>
      </c>
      <c r="P119" s="56" t="e">
        <f>(MONTH(M119)-MONTH(L119)+1)*N119</f>
        <v>#N/A</v>
      </c>
      <c r="Q119" s="56">
        <v>0</v>
      </c>
      <c r="R119" s="57" t="e">
        <f t="shared" si="39"/>
        <v>#N/A</v>
      </c>
      <c r="S119" s="56" t="e">
        <f t="shared" si="40"/>
        <v>#N/A</v>
      </c>
      <c r="T119" s="56"/>
      <c r="U119" s="56"/>
      <c r="V119" s="56"/>
      <c r="W119" s="56"/>
      <c r="X119" s="56"/>
      <c r="Y119" s="56" t="s">
        <v>3636</v>
      </c>
      <c r="Z119" s="56">
        <v>1</v>
      </c>
      <c r="AA119" s="56">
        <v>1</v>
      </c>
      <c r="AB119" s="58">
        <f>N119/1</f>
        <v>7440000</v>
      </c>
      <c r="AC119" s="58" t="e">
        <f t="shared" si="27"/>
        <v>#N/A</v>
      </c>
      <c r="AD119" s="58" t="e">
        <f t="shared" si="28"/>
        <v>#N/A</v>
      </c>
      <c r="AE119" s="45">
        <v>1</v>
      </c>
      <c r="AF119" s="59">
        <f t="shared" si="29"/>
        <v>2.916666666666667</v>
      </c>
      <c r="AG119" s="59">
        <f t="shared" si="41"/>
        <v>3.5</v>
      </c>
      <c r="AH119" s="60">
        <f t="shared" si="42"/>
        <v>2.3333333333333335</v>
      </c>
      <c r="AI119" s="45">
        <v>3</v>
      </c>
      <c r="AJ119" s="45">
        <v>3</v>
      </c>
      <c r="AK119" s="45">
        <v>2</v>
      </c>
      <c r="AL119" s="45">
        <v>2</v>
      </c>
      <c r="AM119" s="46">
        <f t="shared" si="30"/>
        <v>2.5</v>
      </c>
      <c r="AN119" s="45">
        <v>3</v>
      </c>
      <c r="AO119" s="45">
        <v>3</v>
      </c>
      <c r="AP119" s="45">
        <v>2</v>
      </c>
      <c r="AQ119" s="45">
        <v>2</v>
      </c>
      <c r="AR119" s="61">
        <f t="shared" si="31"/>
        <v>2.5</v>
      </c>
      <c r="AS119" s="64"/>
      <c r="AT119" s="45"/>
      <c r="AU119" s="45"/>
      <c r="AV119" s="45"/>
      <c r="AW119" s="46">
        <f t="shared" si="32"/>
        <v>0</v>
      </c>
      <c r="AX119" s="45"/>
      <c r="AY119" s="45"/>
      <c r="AZ119" s="45"/>
      <c r="BA119" s="45"/>
      <c r="BB119" s="46">
        <f t="shared" si="33"/>
        <v>0</v>
      </c>
      <c r="BC119" s="45">
        <v>3</v>
      </c>
      <c r="BD119" s="45">
        <v>3</v>
      </c>
      <c r="BE119" s="45">
        <v>2</v>
      </c>
      <c r="BF119" s="45">
        <v>2</v>
      </c>
      <c r="BG119" s="47">
        <f t="shared" si="34"/>
        <v>2.5</v>
      </c>
      <c r="BH119" s="45">
        <v>4</v>
      </c>
      <c r="BI119" s="45">
        <v>4</v>
      </c>
      <c r="BJ119" s="45">
        <v>2</v>
      </c>
      <c r="BK119" s="45">
        <v>2</v>
      </c>
      <c r="BL119" s="46">
        <f>IFERROR(SUM(BH119:BK119)/4,0)</f>
        <v>3</v>
      </c>
      <c r="BM119" s="45">
        <v>4</v>
      </c>
      <c r="BN119" s="45">
        <v>4</v>
      </c>
      <c r="BO119" s="45">
        <v>3</v>
      </c>
      <c r="BP119" s="45">
        <v>3</v>
      </c>
      <c r="BQ119" s="46">
        <f t="shared" si="35"/>
        <v>3.5</v>
      </c>
      <c r="BR119" s="45">
        <v>4</v>
      </c>
      <c r="BS119" s="45">
        <v>4</v>
      </c>
      <c r="BT119" s="45">
        <v>2</v>
      </c>
      <c r="BU119" s="45">
        <v>4</v>
      </c>
      <c r="BV119" s="46">
        <f t="shared" si="36"/>
        <v>3.5</v>
      </c>
      <c r="BW119" s="45"/>
      <c r="BX119" s="45"/>
      <c r="BY119" s="45"/>
      <c r="BZ119" s="45"/>
      <c r="CA119" s="46">
        <f t="shared" si="37"/>
        <v>0</v>
      </c>
      <c r="CB119" s="291"/>
      <c r="CC119" s="291"/>
      <c r="CD119" s="291"/>
      <c r="CE119" s="291"/>
      <c r="CF119" s="291"/>
      <c r="CG119" s="291"/>
      <c r="CH119" s="291"/>
      <c r="CI119" s="291"/>
      <c r="CJ119" s="291"/>
      <c r="CK119" s="291"/>
    </row>
    <row r="120" spans="1:89" ht="183">
      <c r="A120" s="45">
        <v>7</v>
      </c>
      <c r="B120" s="50">
        <f>IFERROR(B119+1,1)</f>
        <v>6</v>
      </c>
      <c r="C120" s="297" t="s">
        <v>4970</v>
      </c>
      <c r="D120" s="297" t="s">
        <v>5493</v>
      </c>
      <c r="E120" s="298" t="s">
        <v>5494</v>
      </c>
      <c r="F120" s="297" t="s">
        <v>5495</v>
      </c>
      <c r="G120" s="45" t="s">
        <v>5496</v>
      </c>
      <c r="H120" s="45" t="s">
        <v>5497</v>
      </c>
      <c r="I120" s="52" t="s">
        <v>5498</v>
      </c>
      <c r="J120" s="45" t="s">
        <v>3575</v>
      </c>
      <c r="K120" s="53"/>
      <c r="L120" s="54" t="e">
        <f>INDEX([1]Timeline!$E$10:$E$24,MATCH(A120,[1]Timeline!$C$10:$C$24,0))</f>
        <v>#N/A</v>
      </c>
      <c r="M120" s="55">
        <v>45291</v>
      </c>
      <c r="N120" s="56">
        <v>300000</v>
      </c>
      <c r="O120" s="57" t="e">
        <f t="shared" si="25"/>
        <v>#N/A</v>
      </c>
      <c r="P120" s="56" t="e">
        <f>(MONTH(M120)-MONTH(L120)+1)*N120</f>
        <v>#N/A</v>
      </c>
      <c r="Q120" s="56">
        <f>V120*0.055/8*0.87</f>
        <v>4.7849999999999997E-2</v>
      </c>
      <c r="R120" s="57" t="e">
        <f t="shared" si="39"/>
        <v>#N/A</v>
      </c>
      <c r="S120" s="56" t="e">
        <f t="shared" si="40"/>
        <v>#N/A</v>
      </c>
      <c r="T120" s="56" t="s">
        <v>4940</v>
      </c>
      <c r="U120" s="56" t="s">
        <v>4941</v>
      </c>
      <c r="V120" s="56">
        <v>8</v>
      </c>
      <c r="W120" s="56" t="s">
        <v>4959</v>
      </c>
      <c r="X120" s="56">
        <f>V120*0.055/8</f>
        <v>5.5E-2</v>
      </c>
      <c r="Y120" s="56" t="s">
        <v>2817</v>
      </c>
      <c r="Z120" s="56">
        <v>1</v>
      </c>
      <c r="AA120" s="56">
        <v>1</v>
      </c>
      <c r="AB120" s="58">
        <f>N120/1</f>
        <v>300000</v>
      </c>
      <c r="AC120" s="58" t="e">
        <f t="shared" si="27"/>
        <v>#N/A</v>
      </c>
      <c r="AD120" s="58" t="e">
        <f t="shared" si="28"/>
        <v>#N/A</v>
      </c>
      <c r="AE120" s="45">
        <v>1</v>
      </c>
      <c r="AF120" s="59">
        <f t="shared" si="29"/>
        <v>2.25</v>
      </c>
      <c r="AG120" s="59">
        <f t="shared" si="41"/>
        <v>3</v>
      </c>
      <c r="AH120" s="60">
        <f t="shared" si="42"/>
        <v>1.5</v>
      </c>
      <c r="AI120" s="45"/>
      <c r="AJ120" s="45"/>
      <c r="AK120" s="45"/>
      <c r="AL120" s="45"/>
      <c r="AM120" s="46">
        <f t="shared" si="30"/>
        <v>0</v>
      </c>
      <c r="AN120" s="45"/>
      <c r="AO120" s="45"/>
      <c r="AP120" s="45"/>
      <c r="AQ120" s="45"/>
      <c r="AR120" s="61">
        <f t="shared" si="31"/>
        <v>0</v>
      </c>
      <c r="AS120" s="64"/>
      <c r="AT120" s="45"/>
      <c r="AU120" s="45"/>
      <c r="AV120" s="45"/>
      <c r="AW120" s="46">
        <f t="shared" si="32"/>
        <v>0</v>
      </c>
      <c r="AX120" s="45"/>
      <c r="AY120" s="45"/>
      <c r="AZ120" s="45"/>
      <c r="BA120" s="45"/>
      <c r="BB120" s="46">
        <f t="shared" si="33"/>
        <v>0</v>
      </c>
      <c r="BC120" s="45">
        <v>3</v>
      </c>
      <c r="BD120" s="45">
        <v>3</v>
      </c>
      <c r="BE120" s="45">
        <v>1</v>
      </c>
      <c r="BF120" s="45">
        <v>2</v>
      </c>
      <c r="BG120" s="47">
        <f t="shared" si="34"/>
        <v>2.25</v>
      </c>
      <c r="BH120" s="45"/>
      <c r="BI120" s="45"/>
      <c r="BJ120" s="45"/>
      <c r="BK120" s="45"/>
      <c r="BL120" s="45"/>
      <c r="BM120" s="45"/>
      <c r="BN120" s="45"/>
      <c r="BO120" s="45"/>
      <c r="BP120" s="45"/>
      <c r="BQ120" s="46">
        <f t="shared" si="35"/>
        <v>0</v>
      </c>
      <c r="BR120" s="45"/>
      <c r="BS120" s="45"/>
      <c r="BT120" s="45"/>
      <c r="BU120" s="45"/>
      <c r="BV120" s="46">
        <f t="shared" si="36"/>
        <v>0</v>
      </c>
      <c r="BW120" s="45"/>
      <c r="BX120" s="45"/>
      <c r="BY120" s="45"/>
      <c r="BZ120" s="45"/>
      <c r="CA120" s="46">
        <f t="shared" si="37"/>
        <v>0</v>
      </c>
      <c r="CB120" s="291"/>
      <c r="CC120" s="291"/>
      <c r="CD120" s="291"/>
      <c r="CE120" s="291"/>
      <c r="CF120" s="291"/>
      <c r="CG120" s="291"/>
      <c r="CH120" s="291"/>
      <c r="CI120" s="291"/>
      <c r="CJ120" s="291"/>
      <c r="CK120" s="291"/>
    </row>
    <row r="121" spans="1:89">
      <c r="O121" s="57">
        <f t="shared" si="25"/>
        <v>0</v>
      </c>
      <c r="R121" s="57">
        <f>MAX((6-MONTH(O121)+1)*Q121,0)</f>
        <v>0</v>
      </c>
      <c r="BL121" s="46">
        <f t="shared" ref="BL121:BL123" si="48">IFERROR(SUM(BH121:BK121)/4,0)</f>
        <v>0</v>
      </c>
    </row>
    <row r="122" spans="1:89">
      <c r="O122" s="57">
        <f t="shared" si="25"/>
        <v>0</v>
      </c>
      <c r="R122" s="57">
        <f>MAX((6-MONTH(O122)+1)*Q122,0)</f>
        <v>0</v>
      </c>
      <c r="BL122" s="46">
        <f t="shared" si="48"/>
        <v>0</v>
      </c>
    </row>
    <row r="123" spans="1:89">
      <c r="O123" s="57">
        <f t="shared" si="25"/>
        <v>0</v>
      </c>
      <c r="R123" s="57">
        <f>MAX((6-MONTH(O123)+1)*Q123,0)</f>
        <v>0</v>
      </c>
      <c r="BL123" s="46">
        <f t="shared" si="48"/>
        <v>0</v>
      </c>
    </row>
  </sheetData>
  <autoFilter ref="A3:CA123" xr:uid="{01DD57C4-E273-4458-AE46-F770E70B0E69}"/>
  <mergeCells count="11">
    <mergeCell ref="BM1:BQ1"/>
    <mergeCell ref="BR1:BV1"/>
    <mergeCell ref="BW1:CA1"/>
    <mergeCell ref="CB1:CF1"/>
    <mergeCell ref="CG1:CK1"/>
    <mergeCell ref="AI1:AM1"/>
    <mergeCell ref="AN1:AR1"/>
    <mergeCell ref="AS1:AW1"/>
    <mergeCell ref="AX1:BB1"/>
    <mergeCell ref="BC1:BG1"/>
    <mergeCell ref="BH1:BL1"/>
  </mergeCells>
  <hyperlinks>
    <hyperlink ref="I115" r:id="rId1" xr:uid="{3DC4D5DD-1797-459D-9827-D77BF1AE4283}"/>
    <hyperlink ref="I83" r:id="rId2" xr:uid="{F8AD200C-AFE6-4DF2-9844-1521DD39DC4C}"/>
    <hyperlink ref="I79" r:id="rId3" xr:uid="{93974B98-BC21-4D55-88A0-E10D42153FFA}"/>
    <hyperlink ref="I82" r:id="rId4" xr:uid="{7925031E-2811-4603-A0A8-CC251B3870F0}"/>
    <hyperlink ref="I90" r:id="rId5" xr:uid="{E5B401B5-F201-487F-9A67-0E95540C838E}"/>
    <hyperlink ref="I65" r:id="rId6" xr:uid="{910995C8-BA52-4152-8106-F03805B61826}"/>
    <hyperlink ref="I66" r:id="rId7" xr:uid="{7EB22481-2C66-4158-8DC8-2718C4E23155}"/>
    <hyperlink ref="I49" r:id="rId8" xr:uid="{83853C1D-DC3D-44FD-BB84-A54B583EA617}"/>
    <hyperlink ref="I67" r:id="rId9" xr:uid="{BDC4F219-1967-4499-B730-8719F39A39B1}"/>
    <hyperlink ref="I70" r:id="rId10" xr:uid="{28655AE7-999F-487F-850B-499DE0988E54}"/>
    <hyperlink ref="I109" r:id="rId11" xr:uid="{0DC846B2-7A13-4D12-94ED-4AE36B4D23EE}"/>
    <hyperlink ref="I45" r:id="rId12" xr:uid="{12F4B184-B4AA-4BB8-A64F-C4297715C601}"/>
    <hyperlink ref="I107" r:id="rId13" xr:uid="{19CB6DDB-953F-4D2C-9ACA-43E3DE702E51}"/>
    <hyperlink ref="I6" r:id="rId14" xr:uid="{5AC4D471-8875-42EE-96A0-B04815DBACEF}"/>
    <hyperlink ref="I91" r:id="rId15" xr:uid="{17E62932-4231-419C-B21A-B90720F186B9}"/>
    <hyperlink ref="I103" r:id="rId16" xr:uid="{7DA01A61-6F6E-4C31-93D1-8A55761CED86}"/>
    <hyperlink ref="I39" r:id="rId17" xr:uid="{2A7A8D01-C21A-40FF-89DD-6D9E7B455D86}"/>
    <hyperlink ref="I58" r:id="rId18" xr:uid="{FE9D8204-219E-4512-9EE3-C5F735911FDE}"/>
    <hyperlink ref="I61" r:id="rId19" xr:uid="{D4CA69AF-77B3-4BED-9DDB-CB350A2FCE29}"/>
    <hyperlink ref="I52" r:id="rId20" xr:uid="{6DD7C1E4-CC83-4FF0-BD0E-1399ACF60DFC}"/>
    <hyperlink ref="I68" r:id="rId21" xr:uid="{9623AD90-CB11-4D9C-B493-EA776B1AFF11}"/>
    <hyperlink ref="I64" r:id="rId22" xr:uid="{72D82F8B-89D9-4C2A-BE78-A17E71EA8431}"/>
    <hyperlink ref="I106" r:id="rId23" xr:uid="{A93DCDD5-159E-4446-AA07-F3EF4396B060}"/>
    <hyperlink ref="I5" r:id="rId24" xr:uid="{B2801B17-C75B-4C62-940C-B3C9D3B6F2C2}"/>
    <hyperlink ref="I42" r:id="rId25" xr:uid="{746AF40B-57C2-4FE7-811C-6184A5E80280}"/>
    <hyperlink ref="I75" r:id="rId26" xr:uid="{7918082C-AD95-4CA5-AB6A-E496581A86EA}"/>
    <hyperlink ref="I96" r:id="rId27" xr:uid="{15D50D30-5C99-4073-93BB-1B8C8D55A9C0}"/>
    <hyperlink ref="I56" r:id="rId28" xr:uid="{95BA56DB-3293-40E0-9551-9386C8857F5F}"/>
    <hyperlink ref="I104" r:id="rId29" xr:uid="{9CC439A2-FED1-4958-BEF3-FD5FE106F717}"/>
    <hyperlink ref="E13" r:id="rId30" xr:uid="{6C4CD77A-00E4-4B36-B596-FE4AC471D2C4}"/>
    <hyperlink ref="E76" r:id="rId31" xr:uid="{234CEBF0-1D48-4848-88DD-EC0D3E0F3085}"/>
    <hyperlink ref="E16" r:id="rId32" xr:uid="{E19D86DF-7094-4DF8-A96A-01DC26B036B1}"/>
    <hyperlink ref="E17" r:id="rId33" xr:uid="{C6B01A3E-266A-47B6-AE38-67C7F6020469}"/>
    <hyperlink ref="E111" r:id="rId34" xr:uid="{2DC8E9ED-85C2-485E-9E8D-C202ED819039}"/>
    <hyperlink ref="I47" r:id="rId35" display="https://gdncomm.sharepoint.com/:x:/s/Operation/EdpaDi6BSCJCumRLhmpqNEUBQXxxUd7j28GtLOs68JFm2Q?e=tN4Les" xr:uid="{40E9D842-0DE1-4788-B5B6-0F9015CE55AE}"/>
    <hyperlink ref="I95" r:id="rId36" xr:uid="{09B8EAD5-41B8-47C7-83D6-860C9AF7F025}"/>
    <hyperlink ref="I63" r:id="rId37" xr:uid="{7112BF2C-43DD-4B63-A644-4A9BCE9B2997}"/>
    <hyperlink ref="I19" r:id="rId38" xr:uid="{F2BC8499-B456-4AB6-A4E7-DB15BD6F628E}"/>
    <hyperlink ref="I105" r:id="rId39" xr:uid="{5DE05A6B-1C2C-44A2-A8E9-D390D5E33E5D}"/>
    <hyperlink ref="I89" r:id="rId40" xr:uid="{CCDE53F3-F93D-4569-896E-99CF2E973632}"/>
    <hyperlink ref="I76" r:id="rId41" xr:uid="{D78D8C06-510D-4594-A598-0B9D73FFE45C}"/>
    <hyperlink ref="I16" r:id="rId42" xr:uid="{965B69EA-01F3-4A27-9DB1-EC2AE8714CC7}"/>
    <hyperlink ref="I111" r:id="rId43" xr:uid="{E4F408BF-BFA4-42DB-834D-1E183B833685}"/>
    <hyperlink ref="I60" r:id="rId44" xr:uid="{E2E45F55-4082-4A9B-8858-A6DA6212187B}"/>
    <hyperlink ref="I41" r:id="rId45" xr:uid="{B94E9805-E3A3-4A5F-AB41-D97A8F37EFE1}"/>
    <hyperlink ref="I59" r:id="rId46" xr:uid="{7D8513A3-7077-4ACB-9CC6-49AE7883ECAC}"/>
    <hyperlink ref="I69" r:id="rId47" xr:uid="{E0FA4DD3-1441-41E1-A2B5-F5852B25AE21}"/>
    <hyperlink ref="I48" r:id="rId48" xr:uid="{81A61B07-FB1A-4DA6-9843-84B00FB8596A}"/>
    <hyperlink ref="I99" r:id="rId49" xr:uid="{EA43FA2E-EE78-4BCA-9BD3-07EDF7274000}"/>
    <hyperlink ref="I11" r:id="rId50" xr:uid="{5EAA3C93-94DA-4DCF-B047-EE5F5C7DEF0C}"/>
    <hyperlink ref="I43" r:id="rId51" xr:uid="{10A63F4D-0C32-41DD-94C9-B5C2DDD65FDA}"/>
    <hyperlink ref="I117" r:id="rId52" xr:uid="{E72D59D9-6DCA-4E37-BFB2-D41CD4FDC30C}"/>
    <hyperlink ref="I94" r:id="rId53" xr:uid="{C2164297-2CD3-4B93-96F8-D5FF5C3E7C9E}"/>
    <hyperlink ref="I120" r:id="rId54" xr:uid="{A0DC2088-3F27-4ABB-A2A1-D55649915FAF}"/>
    <hyperlink ref="I92" r:id="rId55" xr:uid="{BED55347-5E5E-47AA-8EE7-BD6B5A0A43D3}"/>
    <hyperlink ref="I85" r:id="rId56" xr:uid="{6C7181B4-3F3A-49B8-8C9F-1F6B301BBEA0}"/>
    <hyperlink ref="I116" r:id="rId57" xr:uid="{A2DFDBC4-F6F1-4CAD-9BF3-1D4EF14A36BB}"/>
    <hyperlink ref="I118" r:id="rId58" xr:uid="{88DDF273-7281-468F-9BF3-7FCD3F476753}"/>
    <hyperlink ref="I71" r:id="rId59" xr:uid="{86F49521-11D6-4255-AED1-EFF22778D81C}"/>
    <hyperlink ref="I87" r:id="rId60" xr:uid="{0BF87906-DC00-437E-8919-0DA329901825}"/>
    <hyperlink ref="I101" r:id="rId61" xr:uid="{A0C36116-A067-45C3-AC6F-FA90FEEE3415}"/>
    <hyperlink ref="I77" r:id="rId62" xr:uid="{64DB2F09-E9B5-4F53-BE6E-E2EC8E54E104}"/>
    <hyperlink ref="I112" r:id="rId63" xr:uid="{DC669D0A-46C0-41A9-BCB3-3E606DEE7F51}"/>
    <hyperlink ref="I72" r:id="rId64" xr:uid="{9E3DA470-CFE3-4CCC-B8E8-89A9AA673DD4}"/>
    <hyperlink ref="I80" r:id="rId65" xr:uid="{EAE00D98-6F05-44C4-9962-2A3BBAD68D7E}"/>
    <hyperlink ref="I55" r:id="rId66" xr:uid="{21B90E83-EBE3-4951-A84E-CE162E5282DF}"/>
    <hyperlink ref="I40" r:id="rId67" xr:uid="{FDBF77D4-F352-4DFE-82BA-CA192DD25A9C}"/>
    <hyperlink ref="I108" r:id="rId68" xr:uid="{8DC19976-8855-4C6D-8FE6-A45F324B426C}"/>
    <hyperlink ref="I113" r:id="rId69" xr:uid="{F8FF5398-D086-4597-8E45-403B467AAA30}"/>
    <hyperlink ref="I114" r:id="rId70" xr:uid="{DFFB97AF-AFE0-49A4-85AC-C5CE34FD3AF7}"/>
    <hyperlink ref="I81" r:id="rId71" xr:uid="{3C6DBF43-5B81-4731-9E53-65DF7464A449}"/>
    <hyperlink ref="I119" r:id="rId72" xr:uid="{384C9FD6-68F7-4113-A08C-421A2DE6F7C4}"/>
    <hyperlink ref="I84" r:id="rId73" xr:uid="{60DCB536-1528-4951-9717-A06413F32B65}"/>
    <hyperlink ref="I74" r:id="rId74" xr:uid="{1D681AE1-0CC1-4DDC-913D-82D7CBE7FE4B}"/>
    <hyperlink ref="I9" r:id="rId75" xr:uid="{5BA83B22-705C-487F-910D-124F21425EFC}"/>
    <hyperlink ref="I46" r:id="rId76" xr:uid="{221E308E-A13B-427F-9A9C-352B633EE33F}"/>
    <hyperlink ref="I100" r:id="rId77" xr:uid="{8CC2A96D-DBEE-4AB0-8514-3937CDE14725}"/>
    <hyperlink ref="I88" r:id="rId78" xr:uid="{AD10871B-6332-4439-AA73-8587D654CCED}"/>
    <hyperlink ref="I57" r:id="rId79" xr:uid="{E96BF91A-0307-49D5-B5FE-C070D6AAD943}"/>
    <hyperlink ref="I78" r:id="rId80" xr:uid="{00A1DB9F-C730-4F9B-93FF-36C0317358B3}"/>
    <hyperlink ref="I110" r:id="rId81" xr:uid="{CDDAF932-BF1E-448F-A883-373E4BB1AB56}"/>
    <hyperlink ref="I50" r:id="rId82" xr:uid="{CC815CFF-72B2-4D94-9D69-BD7E65D0A120}"/>
    <hyperlink ref="I51" r:id="rId83" xr:uid="{BA1CEEE6-6FCA-42F3-9031-831D56628518}"/>
    <hyperlink ref="I4" r:id="rId84" xr:uid="{C2D8C109-CB57-4AD6-B5B8-58E1CFE8B03A}"/>
    <hyperlink ref="I54" r:id="rId85" xr:uid="{C5D1D51F-D608-4706-9F8D-CF109FB47ECB}"/>
    <hyperlink ref="I7" r:id="rId86" xr:uid="{00E7B4A1-4C35-48AB-9AB5-90080CA9E91F}"/>
    <hyperlink ref="I62" r:id="rId87" xr:uid="{41128904-C941-4524-ABD0-5C6FFFA1C332}"/>
    <hyperlink ref="I10" r:id="rId88" xr:uid="{C475908C-B147-4C33-A16C-3BD891A125BE}"/>
    <hyperlink ref="I8" r:id="rId89" xr:uid="{03A17351-F11E-4016-B32F-F96708898769}"/>
    <hyperlink ref="I102" r:id="rId90" xr:uid="{D9C66374-A923-49FD-A4EA-BEF3675D025C}"/>
    <hyperlink ref="I53" r:id="rId91" xr:uid="{4BB88E29-0D4E-4280-AE9E-338A4A704D6A}"/>
    <hyperlink ref="I86" r:id="rId92" xr:uid="{7BFF72DF-9871-4279-B142-47A8F0D608EE}"/>
    <hyperlink ref="I21" r:id="rId93" xr:uid="{2CBBBADE-45FB-478E-9648-A1258D3988CB}"/>
    <hyperlink ref="E97" r:id="rId94" display="https://confluence.gdn-app.com/display/~zahra.addini" xr:uid="{58A13559-6EC7-4E8C-BD1D-8E60804F6EB8}"/>
    <hyperlink ref="I97" r:id="rId95" xr:uid="{5CEC9274-704D-43FA-BAE7-6145B6FF3D0F}"/>
    <hyperlink ref="E98" r:id="rId96" display="https://confluence.gdn-app.com/display/~zahra.addini" xr:uid="{1DB75419-4901-461B-9C6F-839AEC024826}"/>
    <hyperlink ref="I98" r:id="rId97" xr:uid="{04DB3394-2E4F-4DC0-82CA-CCBB513C5326}"/>
  </hyperlinks>
  <pageMargins left="0.7" right="0.7" top="0.75" bottom="0.75" header="0.3" footer="0.3"/>
  <pageSetup orientation="portrait"/>
  <legacyDrawing r:id="rId98"/>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2026-10-29T03:25:19Z</dcterms:created>
  <dcterms:modified xsi:type="dcterms:W3CDTF">2026-10-29T03:33:47Z</dcterms:modified>
  <cp:category/>
  <cp:contentStatus/>
</cp:coreProperties>
</file>